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124226"/>
  <mc:AlternateContent xmlns:mc="http://schemas.openxmlformats.org/markup-compatibility/2006">
    <mc:Choice Requires="x15">
      <x15ac:absPath xmlns:x15ac="http://schemas.microsoft.com/office/spreadsheetml/2010/11/ac" url="https://d.docs.live.net/1f7f31b6b0745689/FIS GS/NTS Dung chung/TuVan/"/>
    </mc:Choice>
  </mc:AlternateContent>
  <xr:revisionPtr revIDLastSave="3" documentId="13_ncr:1_{8D4A3134-2068-4A22-A72D-7C040876E5F3}" xr6:coauthVersionLast="47" xr6:coauthVersionMax="47" xr10:uidLastSave="{B46A1E79-9011-4D28-B6CC-699FE7DFA29D}"/>
  <bookViews>
    <workbookView xWindow="-120" yWindow="0" windowWidth="13830" windowHeight="15585" tabRatio="1000" xr2:uid="{BD3B36B1-CEEE-4380-852C-C048FD8354ED}"/>
  </bookViews>
  <sheets>
    <sheet name="DS Chức năng" sheetId="54" r:id="rId1"/>
    <sheet name="4.6. Bảng lương" sheetId="38" state="hidden" r:id="rId2"/>
  </sheets>
  <definedNames>
    <definedName name="_xlnm._FilterDatabase" localSheetId="0" hidden="1">'DS Chức năng'!$A$3:$I$809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10" i="54" l="1"/>
  <c r="A211" i="54"/>
  <c r="G696" i="54"/>
  <c r="G697" i="54"/>
  <c r="G698" i="54"/>
  <c r="A696" i="54"/>
  <c r="B696" i="54"/>
  <c r="A697" i="54"/>
  <c r="B697" i="54"/>
  <c r="A698" i="54"/>
  <c r="B698" i="54"/>
  <c r="G673" i="54"/>
  <c r="A673" i="54"/>
  <c r="B673" i="54"/>
  <c r="G614" i="54"/>
  <c r="G613" i="54"/>
  <c r="G612" i="54"/>
  <c r="G611" i="54"/>
  <c r="G610" i="54"/>
  <c r="G609" i="54"/>
  <c r="G608" i="54"/>
  <c r="G607" i="54"/>
  <c r="G606" i="54"/>
  <c r="G605" i="54"/>
  <c r="G604" i="54"/>
  <c r="G603" i="54"/>
  <c r="B614" i="54"/>
  <c r="B613" i="54"/>
  <c r="B612" i="54"/>
  <c r="B611" i="54"/>
  <c r="B610" i="54"/>
  <c r="B609" i="54"/>
  <c r="B608" i="54"/>
  <c r="B607" i="54"/>
  <c r="B606" i="54"/>
  <c r="B605" i="54"/>
  <c r="B604" i="54"/>
  <c r="B603" i="54"/>
  <c r="A614" i="54"/>
  <c r="A613" i="54"/>
  <c r="A612" i="54"/>
  <c r="A611" i="54"/>
  <c r="A610" i="54"/>
  <c r="A609" i="54"/>
  <c r="A608" i="54"/>
  <c r="A607" i="54"/>
  <c r="A606" i="54"/>
  <c r="A605" i="54"/>
  <c r="A604" i="54"/>
  <c r="A603" i="54"/>
  <c r="A602" i="54"/>
  <c r="A601" i="54"/>
  <c r="G434" i="54"/>
  <c r="G433" i="54"/>
  <c r="G432" i="54"/>
  <c r="G431" i="54"/>
  <c r="G430" i="54"/>
  <c r="G429" i="54"/>
  <c r="G428" i="54"/>
  <c r="G427" i="54"/>
  <c r="G426" i="54"/>
  <c r="B434" i="54"/>
  <c r="A434" i="54"/>
  <c r="B433" i="54"/>
  <c r="A433" i="54"/>
  <c r="B432" i="54"/>
  <c r="A432" i="54"/>
  <c r="B431" i="54"/>
  <c r="A431" i="54"/>
  <c r="B430" i="54"/>
  <c r="A430" i="54"/>
  <c r="B429" i="54"/>
  <c r="A429" i="54"/>
  <c r="B428" i="54"/>
  <c r="A428" i="54"/>
  <c r="B427" i="54"/>
  <c r="A427" i="54"/>
  <c r="B426" i="54"/>
  <c r="A426" i="54"/>
  <c r="G365" i="54"/>
  <c r="B365" i="54"/>
  <c r="A365" i="54"/>
  <c r="G364" i="54"/>
  <c r="B364" i="54"/>
  <c r="A364" i="54"/>
  <c r="G363" i="54"/>
  <c r="B363" i="54"/>
  <c r="A363" i="54"/>
  <c r="G209" i="54"/>
  <c r="G208" i="54"/>
  <c r="G207" i="54"/>
  <c r="G206" i="54"/>
  <c r="G205" i="54"/>
  <c r="G204" i="54"/>
  <c r="G203" i="54"/>
  <c r="G202" i="54"/>
  <c r="G201" i="54"/>
  <c r="G200" i="54"/>
  <c r="G199" i="54"/>
  <c r="G198" i="54"/>
  <c r="B198" i="54"/>
  <c r="B199" i="54"/>
  <c r="B200" i="54"/>
  <c r="B201" i="54"/>
  <c r="B202" i="54"/>
  <c r="B203" i="54"/>
  <c r="B204" i="54"/>
  <c r="B205" i="54"/>
  <c r="B206" i="54"/>
  <c r="B207" i="54"/>
  <c r="B208" i="54"/>
  <c r="B209" i="54"/>
  <c r="A209" i="54"/>
  <c r="A208" i="54"/>
  <c r="A207" i="54"/>
  <c r="A206" i="54"/>
  <c r="A205" i="54"/>
  <c r="A204" i="54"/>
  <c r="A203" i="54"/>
  <c r="A202" i="54"/>
  <c r="A201" i="54"/>
  <c r="A200" i="54"/>
  <c r="A199" i="54"/>
  <c r="A198" i="54"/>
  <c r="G212" i="54" l="1"/>
  <c r="G211" i="54"/>
  <c r="G210" i="54"/>
  <c r="A212" i="54"/>
  <c r="B212" i="54"/>
  <c r="B211" i="54"/>
  <c r="B210" i="54"/>
  <c r="G167" i="54"/>
  <c r="A167" i="54"/>
  <c r="G113" i="54"/>
  <c r="G112" i="54"/>
  <c r="G111" i="54"/>
  <c r="A111" i="54"/>
  <c r="B111" i="54"/>
  <c r="A112" i="54"/>
  <c r="B112" i="54"/>
  <c r="A113" i="54"/>
  <c r="B113" i="54"/>
  <c r="G88" i="54"/>
  <c r="A88" i="54"/>
  <c r="B88" i="54"/>
  <c r="G20" i="54"/>
  <c r="G21" i="54"/>
  <c r="G22" i="54"/>
  <c r="G23" i="54"/>
  <c r="G24" i="54"/>
  <c r="G25" i="54"/>
  <c r="G26" i="54"/>
  <c r="G27" i="54"/>
  <c r="G28" i="54"/>
  <c r="G29" i="54"/>
  <c r="A20" i="54"/>
  <c r="B20" i="54"/>
  <c r="A21" i="54"/>
  <c r="B21" i="54"/>
  <c r="A22" i="54"/>
  <c r="B22" i="54"/>
  <c r="A23" i="54"/>
  <c r="B23" i="54"/>
  <c r="A24" i="54"/>
  <c r="B24" i="54"/>
  <c r="A25" i="54"/>
  <c r="B25" i="54"/>
  <c r="A26" i="54"/>
  <c r="B26" i="54"/>
  <c r="A27" i="54"/>
  <c r="B27" i="54"/>
  <c r="A28" i="54"/>
  <c r="B28" i="54"/>
  <c r="A29" i="54"/>
  <c r="B29" i="54"/>
  <c r="G19" i="54"/>
  <c r="B19" i="54"/>
  <c r="A19" i="54"/>
  <c r="A9" i="54"/>
  <c r="B9" i="54"/>
  <c r="G18" i="54"/>
  <c r="B18" i="54"/>
  <c r="A18" i="54"/>
  <c r="G9" i="54"/>
  <c r="G789" i="54"/>
  <c r="A789" i="54"/>
  <c r="G761" i="54"/>
  <c r="A761" i="54"/>
  <c r="G785" i="54"/>
  <c r="A785" i="54"/>
  <c r="K818" i="54"/>
  <c r="K819" i="54"/>
  <c r="K817" i="54"/>
  <c r="J818" i="54"/>
  <c r="J819" i="54"/>
  <c r="J817" i="54"/>
  <c r="I818" i="54"/>
  <c r="I819" i="54"/>
  <c r="I817" i="54"/>
  <c r="G726" i="54"/>
  <c r="B726" i="54"/>
  <c r="A726" i="54"/>
  <c r="G725" i="54"/>
  <c r="B725" i="54"/>
  <c r="A725" i="54"/>
  <c r="G724" i="54"/>
  <c r="B724" i="54"/>
  <c r="A724" i="54"/>
  <c r="G723" i="54"/>
  <c r="B723" i="54"/>
  <c r="A723" i="54"/>
  <c r="G722" i="54"/>
  <c r="B722" i="54"/>
  <c r="A722" i="54"/>
  <c r="G721" i="54"/>
  <c r="B721" i="54"/>
  <c r="A721" i="54"/>
  <c r="G677" i="54"/>
  <c r="G678" i="54"/>
  <c r="G679" i="54"/>
  <c r="G680" i="54"/>
  <c r="G681" i="54"/>
  <c r="G682" i="54"/>
  <c r="G683" i="54"/>
  <c r="G684" i="54"/>
  <c r="G685" i="54"/>
  <c r="G686" i="54"/>
  <c r="G687" i="54"/>
  <c r="G688" i="54"/>
  <c r="G689" i="54"/>
  <c r="G690" i="54"/>
  <c r="G691" i="54"/>
  <c r="A677" i="54"/>
  <c r="B677" i="54"/>
  <c r="A678" i="54"/>
  <c r="B678" i="54"/>
  <c r="A679" i="54"/>
  <c r="B679" i="54"/>
  <c r="A680" i="54"/>
  <c r="B680" i="54"/>
  <c r="A681" i="54"/>
  <c r="B681" i="54"/>
  <c r="A682" i="54"/>
  <c r="B682" i="54"/>
  <c r="A683" i="54"/>
  <c r="B683" i="54"/>
  <c r="A684" i="54"/>
  <c r="B684" i="54"/>
  <c r="A685" i="54"/>
  <c r="B685" i="54"/>
  <c r="A686" i="54"/>
  <c r="B686" i="54"/>
  <c r="A687" i="54"/>
  <c r="B687" i="54"/>
  <c r="A688" i="54"/>
  <c r="B688" i="54"/>
  <c r="A689" i="54"/>
  <c r="B689" i="54"/>
  <c r="A690" i="54"/>
  <c r="B690" i="54"/>
  <c r="A691" i="54"/>
  <c r="B691" i="54"/>
  <c r="G514" i="54"/>
  <c r="B514" i="54"/>
  <c r="A514" i="54"/>
  <c r="G513" i="54"/>
  <c r="B513" i="54"/>
  <c r="A513" i="54"/>
  <c r="G512" i="54"/>
  <c r="B512" i="54"/>
  <c r="A512" i="54"/>
  <c r="G511" i="54"/>
  <c r="B511" i="54"/>
  <c r="A511" i="54"/>
  <c r="G510" i="54"/>
  <c r="B510" i="54"/>
  <c r="A510" i="54"/>
  <c r="G509" i="54"/>
  <c r="B509" i="54"/>
  <c r="A509" i="54"/>
  <c r="G508" i="54"/>
  <c r="B508" i="54"/>
  <c r="A508" i="54"/>
  <c r="G507" i="54"/>
  <c r="B507" i="54"/>
  <c r="A507" i="54"/>
  <c r="G506" i="54"/>
  <c r="B506" i="54"/>
  <c r="A506" i="54"/>
  <c r="G505" i="54"/>
  <c r="B505" i="54"/>
  <c r="A505" i="54"/>
  <c r="G504" i="54"/>
  <c r="B504" i="54"/>
  <c r="A504" i="54"/>
  <c r="G503" i="54"/>
  <c r="B503" i="54"/>
  <c r="A503" i="54"/>
  <c r="G502" i="54"/>
  <c r="B502" i="54"/>
  <c r="A502" i="54"/>
  <c r="G501" i="54"/>
  <c r="B501" i="54"/>
  <c r="A501" i="54"/>
  <c r="G500" i="54"/>
  <c r="B500" i="54"/>
  <c r="A500" i="54"/>
  <c r="G499" i="54"/>
  <c r="B499" i="54"/>
  <c r="A499" i="54"/>
  <c r="G498" i="54"/>
  <c r="B498" i="54"/>
  <c r="A498" i="54"/>
  <c r="G497" i="54"/>
  <c r="B497" i="54"/>
  <c r="A497" i="54"/>
  <c r="G414" i="54"/>
  <c r="B414" i="54"/>
  <c r="A414" i="54"/>
  <c r="G413" i="54"/>
  <c r="B413" i="54"/>
  <c r="A413" i="54"/>
  <c r="G412" i="54"/>
  <c r="B412" i="54"/>
  <c r="A412" i="54"/>
  <c r="G405" i="54"/>
  <c r="B405" i="54"/>
  <c r="A405" i="54"/>
  <c r="G404" i="54"/>
  <c r="B404" i="54"/>
  <c r="A404" i="54"/>
  <c r="G403" i="54"/>
  <c r="B403" i="54"/>
  <c r="A403" i="54"/>
  <c r="G408" i="54"/>
  <c r="B408" i="54"/>
  <c r="A408" i="54"/>
  <c r="G407" i="54"/>
  <c r="B407" i="54"/>
  <c r="A407" i="54"/>
  <c r="G406" i="54"/>
  <c r="B406" i="54"/>
  <c r="A406" i="54"/>
  <c r="G411" i="54"/>
  <c r="B411" i="54"/>
  <c r="A411" i="54"/>
  <c r="G410" i="54"/>
  <c r="B410" i="54"/>
  <c r="A410" i="54"/>
  <c r="G409" i="54"/>
  <c r="B409" i="54"/>
  <c r="A409" i="54"/>
  <c r="G375" i="54"/>
  <c r="B375" i="54"/>
  <c r="A375" i="54"/>
  <c r="G374" i="54"/>
  <c r="B374" i="54"/>
  <c r="A374" i="54"/>
  <c r="G373" i="54"/>
  <c r="B373" i="54"/>
  <c r="A373" i="54"/>
  <c r="G372" i="54"/>
  <c r="B372" i="54"/>
  <c r="A372" i="54"/>
  <c r="G371" i="54"/>
  <c r="B371" i="54"/>
  <c r="A371" i="54"/>
  <c r="G370" i="54"/>
  <c r="B370" i="54"/>
  <c r="A370" i="54"/>
  <c r="G381" i="54"/>
  <c r="B381" i="54"/>
  <c r="A381" i="54"/>
  <c r="G380" i="54"/>
  <c r="B380" i="54"/>
  <c r="A380" i="54"/>
  <c r="G379" i="54"/>
  <c r="B379" i="54"/>
  <c r="A379" i="54"/>
  <c r="G378" i="54"/>
  <c r="B378" i="54"/>
  <c r="A378" i="54"/>
  <c r="G377" i="54"/>
  <c r="B377" i="54"/>
  <c r="A377" i="54"/>
  <c r="G376" i="54"/>
  <c r="B376" i="54"/>
  <c r="A376" i="54"/>
  <c r="G387" i="54"/>
  <c r="B387" i="54"/>
  <c r="A387" i="54"/>
  <c r="G386" i="54"/>
  <c r="B386" i="54"/>
  <c r="A386" i="54"/>
  <c r="G385" i="54"/>
  <c r="B385" i="54"/>
  <c r="A385" i="54"/>
  <c r="G384" i="54"/>
  <c r="B384" i="54"/>
  <c r="A384" i="54"/>
  <c r="G383" i="54"/>
  <c r="B383" i="54"/>
  <c r="A383" i="54"/>
  <c r="G382" i="54"/>
  <c r="B382" i="54"/>
  <c r="A382" i="54"/>
  <c r="G393" i="54"/>
  <c r="B393" i="54"/>
  <c r="A393" i="54"/>
  <c r="G392" i="54"/>
  <c r="B392" i="54"/>
  <c r="A392" i="54"/>
  <c r="G391" i="54"/>
  <c r="B391" i="54"/>
  <c r="A391" i="54"/>
  <c r="G390" i="54"/>
  <c r="B390" i="54"/>
  <c r="A390" i="54"/>
  <c r="G389" i="54"/>
  <c r="B389" i="54"/>
  <c r="A389" i="54"/>
  <c r="G388" i="54"/>
  <c r="B388" i="54"/>
  <c r="A388" i="54"/>
  <c r="G399" i="54"/>
  <c r="B399" i="54"/>
  <c r="A399" i="54"/>
  <c r="G398" i="54"/>
  <c r="B398" i="54"/>
  <c r="A398" i="54"/>
  <c r="G397" i="54"/>
  <c r="B397" i="54"/>
  <c r="A397" i="54"/>
  <c r="G396" i="54"/>
  <c r="B396" i="54"/>
  <c r="A396" i="54"/>
  <c r="G395" i="54"/>
  <c r="B395" i="54"/>
  <c r="A395" i="54"/>
  <c r="G394" i="54"/>
  <c r="B394" i="54"/>
  <c r="A394" i="54"/>
  <c r="G417" i="54"/>
  <c r="B417" i="54"/>
  <c r="A417" i="54"/>
  <c r="G416" i="54"/>
  <c r="B416" i="54"/>
  <c r="A416" i="54"/>
  <c r="G415" i="54"/>
  <c r="B415" i="54"/>
  <c r="A415" i="54"/>
  <c r="G140" i="54"/>
  <c r="B140" i="54"/>
  <c r="A140" i="54"/>
  <c r="G139" i="54"/>
  <c r="B139" i="54"/>
  <c r="A139" i="54"/>
  <c r="G138" i="54"/>
  <c r="B138" i="54"/>
  <c r="A138" i="54"/>
  <c r="G137" i="54"/>
  <c r="B137" i="54"/>
  <c r="A137" i="54"/>
  <c r="G136" i="54"/>
  <c r="B136" i="54"/>
  <c r="A136" i="54"/>
  <c r="G135" i="54"/>
  <c r="B135" i="54"/>
  <c r="A135" i="54"/>
  <c r="G92" i="54"/>
  <c r="G93" i="54"/>
  <c r="G94" i="54"/>
  <c r="G95" i="54"/>
  <c r="G96" i="54"/>
  <c r="G97" i="54"/>
  <c r="G98" i="54"/>
  <c r="G99" i="54"/>
  <c r="G100" i="54"/>
  <c r="G101" i="54"/>
  <c r="G102" i="54"/>
  <c r="G103" i="54"/>
  <c r="G104" i="54"/>
  <c r="G105" i="54"/>
  <c r="G106" i="54"/>
  <c r="A92" i="54"/>
  <c r="B92" i="54"/>
  <c r="A93" i="54"/>
  <c r="B93" i="54"/>
  <c r="A94" i="54"/>
  <c r="B94" i="54"/>
  <c r="A95" i="54"/>
  <c r="B95" i="54"/>
  <c r="A96" i="54"/>
  <c r="B96" i="54"/>
  <c r="A97" i="54"/>
  <c r="B97" i="54"/>
  <c r="A98" i="54"/>
  <c r="B98" i="54"/>
  <c r="A99" i="54"/>
  <c r="B99" i="54"/>
  <c r="A100" i="54"/>
  <c r="B100" i="54"/>
  <c r="A101" i="54"/>
  <c r="B101" i="54"/>
  <c r="A102" i="54"/>
  <c r="B102" i="54"/>
  <c r="A103" i="54"/>
  <c r="B103" i="54"/>
  <c r="A104" i="54"/>
  <c r="B104" i="54"/>
  <c r="A105" i="54"/>
  <c r="B105" i="54"/>
  <c r="A106" i="54"/>
  <c r="B106" i="54"/>
  <c r="K820" i="54" l="1"/>
  <c r="J820" i="54"/>
  <c r="G783" i="54" l="1"/>
  <c r="G781" i="54"/>
  <c r="G779" i="54"/>
  <c r="G777" i="54"/>
  <c r="G775" i="54"/>
  <c r="G773" i="54"/>
  <c r="G771" i="54"/>
  <c r="G769" i="54"/>
  <c r="G767" i="54"/>
  <c r="G759" i="54"/>
  <c r="G758" i="54"/>
  <c r="G757" i="54"/>
  <c r="G756" i="54"/>
  <c r="G755" i="54"/>
  <c r="G754" i="54"/>
  <c r="G753" i="54"/>
  <c r="G752" i="54"/>
  <c r="G751" i="54"/>
  <c r="G750" i="54"/>
  <c r="G749" i="54"/>
  <c r="G748" i="54"/>
  <c r="G747" i="54"/>
  <c r="G746" i="54"/>
  <c r="G745" i="54"/>
  <c r="G744" i="54"/>
  <c r="G743" i="54"/>
  <c r="G742" i="54"/>
  <c r="G741" i="54"/>
  <c r="G740" i="54"/>
  <c r="G739" i="54"/>
  <c r="G738" i="54"/>
  <c r="G737" i="54"/>
  <c r="G736" i="54"/>
  <c r="G735" i="54"/>
  <c r="G734" i="54"/>
  <c r="G733" i="54"/>
  <c r="G732" i="54"/>
  <c r="G731" i="54"/>
  <c r="G730" i="54"/>
  <c r="G729" i="54"/>
  <c r="G728" i="54"/>
  <c r="G718" i="54"/>
  <c r="G717" i="54"/>
  <c r="G716" i="54"/>
  <c r="G715" i="54"/>
  <c r="G714" i="54"/>
  <c r="G713" i="54"/>
  <c r="G712" i="54"/>
  <c r="G711" i="54"/>
  <c r="G710" i="54"/>
  <c r="G709" i="54"/>
  <c r="G708" i="54"/>
  <c r="G707" i="54"/>
  <c r="G706" i="54"/>
  <c r="G705" i="54"/>
  <c r="G704" i="54"/>
  <c r="G703" i="54"/>
  <c r="G702" i="54"/>
  <c r="G701" i="54"/>
  <c r="G700" i="54"/>
  <c r="G699" i="54"/>
  <c r="G695" i="54"/>
  <c r="G694" i="54"/>
  <c r="G676" i="54"/>
  <c r="G674" i="54"/>
  <c r="G672" i="54"/>
  <c r="G671" i="54"/>
  <c r="G670" i="54"/>
  <c r="G669" i="54"/>
  <c r="G667" i="54"/>
  <c r="G666" i="54"/>
  <c r="G664" i="54"/>
  <c r="G663" i="54"/>
  <c r="G662" i="54"/>
  <c r="G661" i="54"/>
  <c r="G660" i="54"/>
  <c r="G657" i="54"/>
  <c r="G656" i="54"/>
  <c r="G655" i="54"/>
  <c r="G654" i="54"/>
  <c r="G651" i="54"/>
  <c r="G650" i="54"/>
  <c r="G649" i="54"/>
  <c r="G648" i="54"/>
  <c r="G647" i="54"/>
  <c r="G646" i="54"/>
  <c r="G645" i="54"/>
  <c r="G644" i="54"/>
  <c r="G643" i="54"/>
  <c r="G642" i="54"/>
  <c r="G641" i="54"/>
  <c r="G640" i="54"/>
  <c r="G639" i="54"/>
  <c r="G638" i="54"/>
  <c r="G637" i="54"/>
  <c r="G636" i="54"/>
  <c r="G601" i="54"/>
  <c r="G633" i="54"/>
  <c r="G632" i="54"/>
  <c r="G631" i="54"/>
  <c r="G629" i="54"/>
  <c r="G628" i="54"/>
  <c r="G627" i="54"/>
  <c r="G626" i="54"/>
  <c r="G625" i="54"/>
  <c r="G624" i="54"/>
  <c r="G623" i="54"/>
  <c r="G622" i="54"/>
  <c r="G621" i="54"/>
  <c r="G620" i="54"/>
  <c r="G619" i="54"/>
  <c r="G618" i="54"/>
  <c r="G602" i="54"/>
  <c r="G251" i="54" l="1"/>
  <c r="G250" i="54"/>
  <c r="G249" i="54"/>
  <c r="G248" i="54"/>
  <c r="G247" i="54"/>
  <c r="G246" i="54"/>
  <c r="G245" i="54"/>
  <c r="G244" i="54"/>
  <c r="G243" i="54"/>
  <c r="G242" i="54"/>
  <c r="G241" i="54"/>
  <c r="G240" i="54"/>
  <c r="G239" i="54"/>
  <c r="G238" i="54"/>
  <c r="G237" i="54"/>
  <c r="G236" i="54"/>
  <c r="G235" i="54"/>
  <c r="G234" i="54"/>
  <c r="G233" i="54"/>
  <c r="G232" i="54"/>
  <c r="G231" i="54"/>
  <c r="G230" i="54"/>
  <c r="G229" i="54"/>
  <c r="G228" i="54"/>
  <c r="G227" i="54"/>
  <c r="G226" i="54"/>
  <c r="G225" i="54"/>
  <c r="G224" i="54"/>
  <c r="G223" i="54"/>
  <c r="G222" i="54"/>
  <c r="G221" i="54"/>
  <c r="G220" i="54"/>
  <c r="G219" i="54"/>
  <c r="G216" i="54"/>
  <c r="G218" i="54"/>
  <c r="G197" i="54"/>
  <c r="B197" i="54"/>
  <c r="G194" i="54"/>
  <c r="G191" i="54"/>
  <c r="G188" i="54"/>
  <c r="G186" i="54"/>
  <c r="G184" i="54"/>
  <c r="G182" i="54"/>
  <c r="G179" i="54"/>
  <c r="G176" i="54"/>
  <c r="G173" i="54"/>
  <c r="G171" i="54"/>
  <c r="G166" i="54"/>
  <c r="G163" i="54"/>
  <c r="G162" i="54"/>
  <c r="G161" i="54"/>
  <c r="G160" i="54"/>
  <c r="G159" i="54"/>
  <c r="G158" i="54"/>
  <c r="G157" i="54"/>
  <c r="G156" i="54"/>
  <c r="G155" i="54"/>
  <c r="G154" i="54"/>
  <c r="G153" i="54"/>
  <c r="G152" i="54"/>
  <c r="G151" i="54"/>
  <c r="G150" i="54"/>
  <c r="G149" i="54"/>
  <c r="G148" i="54"/>
  <c r="G147" i="54"/>
  <c r="G146" i="54"/>
  <c r="G145" i="54"/>
  <c r="G144" i="54"/>
  <c r="G143" i="54"/>
  <c r="G132" i="54"/>
  <c r="G131" i="54"/>
  <c r="G130" i="54"/>
  <c r="G129" i="54"/>
  <c r="G128" i="54"/>
  <c r="G127" i="54"/>
  <c r="G126" i="54"/>
  <c r="G125" i="54"/>
  <c r="G124" i="54"/>
  <c r="G123" i="54"/>
  <c r="G122" i="54"/>
  <c r="G121" i="54"/>
  <c r="G120" i="54"/>
  <c r="G119" i="54"/>
  <c r="G118" i="54"/>
  <c r="G117" i="54"/>
  <c r="G116" i="54"/>
  <c r="G115" i="54"/>
  <c r="G114" i="54"/>
  <c r="G110" i="54"/>
  <c r="G109" i="54"/>
  <c r="G91" i="54"/>
  <c r="G89" i="54"/>
  <c r="G87" i="54"/>
  <c r="G86" i="54"/>
  <c r="G85" i="54"/>
  <c r="G84" i="54"/>
  <c r="G82" i="54"/>
  <c r="G81" i="54"/>
  <c r="G79" i="54"/>
  <c r="G78" i="54"/>
  <c r="G77" i="54"/>
  <c r="G76" i="54"/>
  <c r="G75" i="54"/>
  <c r="G72" i="54"/>
  <c r="G71" i="54"/>
  <c r="G70" i="54"/>
  <c r="G69" i="54"/>
  <c r="G66" i="54"/>
  <c r="G65" i="54"/>
  <c r="G64" i="54"/>
  <c r="G63" i="54"/>
  <c r="G62" i="54"/>
  <c r="G61" i="54"/>
  <c r="G60" i="54"/>
  <c r="G59" i="54"/>
  <c r="G58" i="54"/>
  <c r="G57" i="54"/>
  <c r="G56" i="54"/>
  <c r="G55" i="54"/>
  <c r="G54" i="54"/>
  <c r="G53" i="54"/>
  <c r="G52" i="54"/>
  <c r="G51" i="54"/>
  <c r="G46" i="54"/>
  <c r="G48" i="54"/>
  <c r="G47" i="54"/>
  <c r="G44" i="54"/>
  <c r="G43" i="54"/>
  <c r="G42" i="54"/>
  <c r="G41" i="54"/>
  <c r="G40" i="54"/>
  <c r="G39" i="54"/>
  <c r="G38" i="54"/>
  <c r="G37" i="54"/>
  <c r="G36" i="54"/>
  <c r="G35" i="54"/>
  <c r="G34" i="54"/>
  <c r="G33" i="54"/>
  <c r="G17" i="54"/>
  <c r="G16" i="54"/>
  <c r="G11" i="54"/>
  <c r="G12" i="54"/>
  <c r="G13" i="54"/>
  <c r="G14" i="54"/>
  <c r="G15" i="54"/>
  <c r="G10" i="54"/>
  <c r="A804" i="54"/>
  <c r="A803" i="54"/>
  <c r="A806" i="54"/>
  <c r="A805" i="54"/>
  <c r="A802" i="54"/>
  <c r="A799" i="54"/>
  <c r="A798" i="54"/>
  <c r="A808" i="54"/>
  <c r="A809" i="54"/>
  <c r="A552" i="54"/>
  <c r="A553" i="54"/>
  <c r="G797" i="54"/>
  <c r="G494" i="54" l="1"/>
  <c r="G491" i="54"/>
  <c r="G488" i="54"/>
  <c r="G485" i="54"/>
  <c r="G482" i="54"/>
  <c r="G479" i="54"/>
  <c r="G476" i="54"/>
  <c r="G473" i="54"/>
  <c r="G470" i="54"/>
  <c r="G467" i="54"/>
  <c r="G464" i="54"/>
  <c r="G461" i="54"/>
  <c r="G458" i="54"/>
  <c r="G455" i="54"/>
  <c r="G452" i="54"/>
  <c r="G449" i="54"/>
  <c r="G446" i="54"/>
  <c r="G443" i="54"/>
  <c r="G440" i="54"/>
  <c r="G437" i="54"/>
  <c r="G425" i="54"/>
  <c r="G422" i="54"/>
  <c r="G402" i="54"/>
  <c r="G368" i="54"/>
  <c r="G362" i="54"/>
  <c r="G359" i="54"/>
  <c r="G356" i="54"/>
  <c r="G353" i="54"/>
  <c r="G349" i="54"/>
  <c r="G346" i="54"/>
  <c r="G342" i="54"/>
  <c r="G339" i="54"/>
  <c r="G336" i="54"/>
  <c r="G333" i="54"/>
  <c r="G330" i="54"/>
  <c r="G325" i="54"/>
  <c r="G322" i="54"/>
  <c r="G319" i="54"/>
  <c r="G316" i="54"/>
  <c r="G311" i="54"/>
  <c r="G308" i="54"/>
  <c r="G305" i="54"/>
  <c r="G302" i="54"/>
  <c r="G299" i="54"/>
  <c r="G296" i="54"/>
  <c r="G293" i="54"/>
  <c r="G290" i="54"/>
  <c r="G287" i="54"/>
  <c r="G284" i="54"/>
  <c r="G281" i="54"/>
  <c r="G278" i="54"/>
  <c r="G275" i="54"/>
  <c r="G272" i="54"/>
  <c r="G269" i="54"/>
  <c r="G266" i="54"/>
  <c r="G261" i="54"/>
  <c r="G258" i="54"/>
  <c r="G255" i="54"/>
  <c r="G787" i="54"/>
  <c r="A787" i="54"/>
  <c r="A764" i="54"/>
  <c r="A767" i="54"/>
  <c r="A783" i="54"/>
  <c r="A781" i="54"/>
  <c r="A779" i="54"/>
  <c r="A777" i="54"/>
  <c r="A775" i="54"/>
  <c r="A773" i="54"/>
  <c r="A771" i="54"/>
  <c r="A769" i="54"/>
  <c r="A759" i="54"/>
  <c r="A758" i="54"/>
  <c r="A757" i="54"/>
  <c r="A756" i="54"/>
  <c r="A755" i="54"/>
  <c r="A754" i="54"/>
  <c r="A753" i="54"/>
  <c r="A752" i="54"/>
  <c r="A751" i="54"/>
  <c r="A750" i="54"/>
  <c r="A749" i="54"/>
  <c r="A748" i="54"/>
  <c r="A747" i="54"/>
  <c r="A746" i="54"/>
  <c r="A745" i="54"/>
  <c r="A744" i="54"/>
  <c r="A743" i="54"/>
  <c r="A742" i="54"/>
  <c r="A741" i="54"/>
  <c r="A740" i="54"/>
  <c r="A739" i="54"/>
  <c r="A738" i="54"/>
  <c r="A737" i="54"/>
  <c r="A736" i="54"/>
  <c r="A735" i="54"/>
  <c r="A734" i="54"/>
  <c r="A733" i="54"/>
  <c r="A732" i="54"/>
  <c r="A731" i="54"/>
  <c r="A730" i="54"/>
  <c r="A729" i="54"/>
  <c r="A728" i="54"/>
  <c r="A718" i="54"/>
  <c r="A717" i="54"/>
  <c r="A716" i="54"/>
  <c r="A715" i="54"/>
  <c r="A714" i="54"/>
  <c r="A713" i="54"/>
  <c r="A712" i="54"/>
  <c r="A711" i="54"/>
  <c r="A710" i="54"/>
  <c r="A709" i="54"/>
  <c r="A708" i="54"/>
  <c r="A707" i="54"/>
  <c r="A706" i="54"/>
  <c r="A705" i="54"/>
  <c r="A704" i="54"/>
  <c r="A703" i="54"/>
  <c r="A702" i="54"/>
  <c r="A701" i="54"/>
  <c r="A700" i="54"/>
  <c r="A699" i="54"/>
  <c r="A695" i="54"/>
  <c r="A694" i="54"/>
  <c r="A676" i="54"/>
  <c r="A674" i="54"/>
  <c r="A672" i="54"/>
  <c r="A671" i="54"/>
  <c r="A670" i="54"/>
  <c r="A669" i="54"/>
  <c r="A667" i="54"/>
  <c r="A666" i="54"/>
  <c r="A664" i="54"/>
  <c r="A663" i="54"/>
  <c r="A662" i="54"/>
  <c r="A661" i="54"/>
  <c r="A660" i="54"/>
  <c r="A657" i="54"/>
  <c r="A656" i="54"/>
  <c r="A655" i="54"/>
  <c r="A654" i="54"/>
  <c r="A651" i="54"/>
  <c r="A650" i="54"/>
  <c r="A649" i="54"/>
  <c r="A648" i="54"/>
  <c r="A647" i="54"/>
  <c r="A646" i="54"/>
  <c r="A645" i="54"/>
  <c r="A644" i="54"/>
  <c r="A643" i="54"/>
  <c r="A642" i="54"/>
  <c r="A641" i="54"/>
  <c r="A640" i="54"/>
  <c r="A639" i="54"/>
  <c r="A638" i="54"/>
  <c r="A637" i="54"/>
  <c r="A636" i="54"/>
  <c r="A633" i="54"/>
  <c r="A632" i="54"/>
  <c r="A631" i="54"/>
  <c r="A629" i="54"/>
  <c r="A628" i="54"/>
  <c r="A627" i="54"/>
  <c r="A626" i="54"/>
  <c r="A625" i="54"/>
  <c r="A624" i="54"/>
  <c r="A623" i="54"/>
  <c r="A622" i="54"/>
  <c r="A621" i="54"/>
  <c r="A620" i="54"/>
  <c r="A619" i="54"/>
  <c r="A618" i="54"/>
  <c r="A598" i="54"/>
  <c r="A597" i="54"/>
  <c r="A595" i="54"/>
  <c r="A594" i="54"/>
  <c r="A593" i="54"/>
  <c r="A592" i="54"/>
  <c r="A591" i="54"/>
  <c r="A590" i="54"/>
  <c r="A588" i="54"/>
  <c r="A587" i="54"/>
  <c r="A586" i="54"/>
  <c r="A585" i="54"/>
  <c r="A584" i="54"/>
  <c r="A582" i="54"/>
  <c r="A581" i="54"/>
  <c r="A580" i="54"/>
  <c r="A579" i="54"/>
  <c r="A578" i="54"/>
  <c r="A575" i="54"/>
  <c r="A574" i="54"/>
  <c r="A573" i="54"/>
  <c r="A571" i="54"/>
  <c r="A570" i="54"/>
  <c r="A569" i="54"/>
  <c r="A568" i="54"/>
  <c r="A567" i="54"/>
  <c r="A566" i="54"/>
  <c r="A565" i="54"/>
  <c r="A564" i="54"/>
  <c r="A562" i="54"/>
  <c r="A561" i="54"/>
  <c r="A560" i="54"/>
  <c r="A559" i="54"/>
  <c r="A558" i="54"/>
  <c r="A557" i="54"/>
  <c r="A554" i="54"/>
  <c r="A551" i="54"/>
  <c r="A549" i="54"/>
  <c r="A548" i="54"/>
  <c r="A547" i="54"/>
  <c r="A546" i="54"/>
  <c r="A544" i="54"/>
  <c r="A543" i="54"/>
  <c r="A542" i="54"/>
  <c r="A539" i="54"/>
  <c r="A538" i="54"/>
  <c r="A537" i="54"/>
  <c r="A536" i="54"/>
  <c r="A535" i="54"/>
  <c r="A534" i="54"/>
  <c r="A533" i="54"/>
  <c r="A531" i="54"/>
  <c r="A530" i="54"/>
  <c r="A529" i="54"/>
  <c r="A528" i="54"/>
  <c r="A527" i="54"/>
  <c r="A525" i="54"/>
  <c r="A524" i="54"/>
  <c r="A523" i="54"/>
  <c r="A522" i="54"/>
  <c r="A521" i="54"/>
  <c r="A520" i="54"/>
  <c r="A519" i="54"/>
  <c r="A518" i="54"/>
  <c r="A517" i="54"/>
  <c r="A494" i="54"/>
  <c r="A493" i="54"/>
  <c r="A492" i="54"/>
  <c r="A491" i="54"/>
  <c r="A490" i="54"/>
  <c r="A489" i="54"/>
  <c r="A488" i="54"/>
  <c r="A487" i="54"/>
  <c r="A486" i="54"/>
  <c r="A485" i="54"/>
  <c r="A484" i="54"/>
  <c r="A483" i="54"/>
  <c r="A482" i="54"/>
  <c r="A481" i="54"/>
  <c r="A480" i="54"/>
  <c r="A479" i="54"/>
  <c r="A478" i="54"/>
  <c r="A477" i="54"/>
  <c r="A476" i="54"/>
  <c r="A475" i="54"/>
  <c r="A474" i="54"/>
  <c r="A473" i="54"/>
  <c r="A472" i="54"/>
  <c r="A471" i="54"/>
  <c r="A470" i="54"/>
  <c r="A469" i="54"/>
  <c r="A468" i="54"/>
  <c r="A467" i="54"/>
  <c r="A466" i="54"/>
  <c r="A465" i="54"/>
  <c r="A464" i="54"/>
  <c r="A463" i="54"/>
  <c r="A462" i="54"/>
  <c r="A461" i="54"/>
  <c r="A460" i="54"/>
  <c r="A459" i="54"/>
  <c r="A458" i="54"/>
  <c r="A457" i="54"/>
  <c r="A456" i="54"/>
  <c r="A455" i="54"/>
  <c r="A454" i="54"/>
  <c r="A453" i="54"/>
  <c r="A452" i="54"/>
  <c r="A451" i="54"/>
  <c r="A450" i="54"/>
  <c r="A449" i="54"/>
  <c r="A448" i="54"/>
  <c r="A447" i="54"/>
  <c r="A446" i="54"/>
  <c r="A445" i="54"/>
  <c r="A444" i="54"/>
  <c r="A443" i="54"/>
  <c r="A442" i="54"/>
  <c r="A441" i="54"/>
  <c r="A440" i="54"/>
  <c r="A439" i="54"/>
  <c r="A438" i="54"/>
  <c r="A437" i="54"/>
  <c r="A436" i="54"/>
  <c r="A435" i="54"/>
  <c r="A425" i="54"/>
  <c r="A424" i="54"/>
  <c r="A423" i="54"/>
  <c r="A422" i="54"/>
  <c r="A421" i="54"/>
  <c r="A420" i="54"/>
  <c r="A402" i="54"/>
  <c r="A401" i="54"/>
  <c r="A400" i="54"/>
  <c r="A368" i="54"/>
  <c r="A367" i="54"/>
  <c r="A366" i="54"/>
  <c r="A362" i="54"/>
  <c r="A361" i="54"/>
  <c r="A360" i="54"/>
  <c r="A359" i="54"/>
  <c r="A358" i="54"/>
  <c r="A357" i="54"/>
  <c r="A356" i="54"/>
  <c r="A355" i="54"/>
  <c r="A354" i="54"/>
  <c r="A353" i="54"/>
  <c r="A352" i="54"/>
  <c r="A351" i="54"/>
  <c r="A349" i="54"/>
  <c r="A348" i="54"/>
  <c r="A347" i="54"/>
  <c r="A346" i="54"/>
  <c r="A345" i="54"/>
  <c r="A344" i="54"/>
  <c r="A342" i="54"/>
  <c r="A341" i="54"/>
  <c r="A340" i="54"/>
  <c r="A339" i="54"/>
  <c r="A338" i="54"/>
  <c r="A337" i="54"/>
  <c r="A336" i="54"/>
  <c r="A335" i="54"/>
  <c r="A334" i="54"/>
  <c r="A333" i="54"/>
  <c r="A332" i="54"/>
  <c r="A331" i="54"/>
  <c r="A330" i="54"/>
  <c r="A329" i="54"/>
  <c r="A328" i="54"/>
  <c r="A325" i="54"/>
  <c r="A324" i="54"/>
  <c r="A323" i="54"/>
  <c r="A322" i="54"/>
  <c r="A321" i="54"/>
  <c r="A320" i="54"/>
  <c r="A319" i="54"/>
  <c r="A318" i="54"/>
  <c r="A317" i="54"/>
  <c r="A316" i="54"/>
  <c r="A315" i="54"/>
  <c r="A314" i="54"/>
  <c r="A311" i="54"/>
  <c r="A310" i="54"/>
  <c r="A309" i="54"/>
  <c r="A308" i="54"/>
  <c r="A307" i="54"/>
  <c r="A306" i="54"/>
  <c r="A305" i="54"/>
  <c r="A304" i="54"/>
  <c r="A303" i="54"/>
  <c r="A302" i="54"/>
  <c r="A301" i="54"/>
  <c r="A300" i="54"/>
  <c r="A299" i="54"/>
  <c r="A298" i="54"/>
  <c r="A297" i="54"/>
  <c r="A296" i="54"/>
  <c r="A295" i="54"/>
  <c r="A294" i="54"/>
  <c r="A293" i="54"/>
  <c r="A292" i="54"/>
  <c r="A291" i="54"/>
  <c r="A290" i="54"/>
  <c r="A289" i="54"/>
  <c r="A288" i="54"/>
  <c r="A287" i="54"/>
  <c r="A286" i="54"/>
  <c r="A285" i="54"/>
  <c r="A284" i="54"/>
  <c r="A283" i="54"/>
  <c r="A282" i="54"/>
  <c r="A281" i="54"/>
  <c r="A280" i="54"/>
  <c r="A279" i="54"/>
  <c r="A278" i="54"/>
  <c r="A277" i="54"/>
  <c r="A276" i="54"/>
  <c r="A275" i="54"/>
  <c r="A274" i="54"/>
  <c r="A273" i="54"/>
  <c r="A272" i="54"/>
  <c r="A271" i="54"/>
  <c r="A270" i="54"/>
  <c r="A269" i="54"/>
  <c r="A268" i="54"/>
  <c r="A267" i="54"/>
  <c r="A266" i="54"/>
  <c r="A265" i="54"/>
  <c r="A264" i="54"/>
  <c r="A261" i="54"/>
  <c r="A260" i="54"/>
  <c r="A259" i="54"/>
  <c r="A258" i="54"/>
  <c r="A257" i="54"/>
  <c r="A256" i="54"/>
  <c r="A255" i="54"/>
  <c r="A254" i="54"/>
  <c r="A253" i="54"/>
  <c r="A251" i="54"/>
  <c r="A250" i="54"/>
  <c r="A249" i="54"/>
  <c r="A248" i="54"/>
  <c r="A247" i="54"/>
  <c r="A246" i="54"/>
  <c r="A245" i="54"/>
  <c r="A244" i="54"/>
  <c r="A243" i="54"/>
  <c r="A242" i="54"/>
  <c r="A241" i="54"/>
  <c r="A240" i="54"/>
  <c r="A239" i="54"/>
  <c r="A238" i="54"/>
  <c r="A237" i="54"/>
  <c r="A236" i="54"/>
  <c r="A235" i="54"/>
  <c r="A234" i="54"/>
  <c r="A233" i="54"/>
  <c r="A232" i="54"/>
  <c r="A231" i="54"/>
  <c r="A230" i="54"/>
  <c r="A229" i="54"/>
  <c r="A228" i="54"/>
  <c r="A219" i="54"/>
  <c r="A220" i="54"/>
  <c r="A221" i="54"/>
  <c r="A222" i="54"/>
  <c r="A223" i="54"/>
  <c r="A224" i="54"/>
  <c r="A225" i="54"/>
  <c r="A226" i="54"/>
  <c r="A227" i="54"/>
  <c r="G493" i="54"/>
  <c r="G492" i="54"/>
  <c r="G490" i="54"/>
  <c r="G489" i="54"/>
  <c r="G487" i="54"/>
  <c r="G486" i="54"/>
  <c r="G484" i="54"/>
  <c r="G483" i="54"/>
  <c r="G481" i="54"/>
  <c r="G480" i="54"/>
  <c r="G478" i="54"/>
  <c r="G477" i="54"/>
  <c r="G475" i="54"/>
  <c r="G474" i="54"/>
  <c r="G472" i="54"/>
  <c r="G471" i="54"/>
  <c r="G469" i="54"/>
  <c r="G468" i="54"/>
  <c r="G466" i="54"/>
  <c r="G465" i="54"/>
  <c r="G463" i="54"/>
  <c r="G462" i="54"/>
  <c r="G460" i="54"/>
  <c r="G459" i="54"/>
  <c r="G457" i="54"/>
  <c r="G456" i="54"/>
  <c r="G454" i="54"/>
  <c r="G453" i="54"/>
  <c r="G451" i="54"/>
  <c r="G450" i="54"/>
  <c r="G448" i="54"/>
  <c r="G447" i="54"/>
  <c r="G445" i="54"/>
  <c r="G444" i="54"/>
  <c r="G442" i="54"/>
  <c r="G441" i="54"/>
  <c r="G439" i="54"/>
  <c r="G438" i="54"/>
  <c r="G436" i="54"/>
  <c r="G435" i="54"/>
  <c r="G424" i="54"/>
  <c r="G423" i="54"/>
  <c r="G421" i="54"/>
  <c r="G420" i="54"/>
  <c r="G401" i="54"/>
  <c r="G400" i="54"/>
  <c r="G367" i="54"/>
  <c r="G366" i="54"/>
  <c r="G361" i="54"/>
  <c r="G360" i="54"/>
  <c r="G358" i="54"/>
  <c r="G357" i="54"/>
  <c r="G355" i="54"/>
  <c r="G354" i="54"/>
  <c r="G352" i="54"/>
  <c r="G351" i="54"/>
  <c r="G348" i="54"/>
  <c r="G347" i="54"/>
  <c r="G345" i="54"/>
  <c r="G344" i="54"/>
  <c r="G341" i="54"/>
  <c r="G340" i="54"/>
  <c r="G338" i="54"/>
  <c r="G337" i="54"/>
  <c r="G335" i="54"/>
  <c r="G334" i="54"/>
  <c r="G332" i="54"/>
  <c r="G331" i="54"/>
  <c r="G329" i="54"/>
  <c r="G328" i="54"/>
  <c r="G324" i="54"/>
  <c r="G323" i="54"/>
  <c r="G321" i="54"/>
  <c r="G320" i="54"/>
  <c r="G318" i="54"/>
  <c r="G317" i="54"/>
  <c r="G315" i="54"/>
  <c r="G314" i="54"/>
  <c r="G310" i="54"/>
  <c r="G309" i="54"/>
  <c r="G307" i="54"/>
  <c r="G306" i="54"/>
  <c r="G304" i="54"/>
  <c r="G303" i="54"/>
  <c r="G301" i="54"/>
  <c r="G300" i="54"/>
  <c r="G298" i="54"/>
  <c r="G297" i="54"/>
  <c r="G295" i="54"/>
  <c r="G294" i="54"/>
  <c r="G292" i="54"/>
  <c r="G291" i="54"/>
  <c r="G289" i="54"/>
  <c r="G288" i="54"/>
  <c r="G286" i="54"/>
  <c r="G285" i="54"/>
  <c r="G283" i="54"/>
  <c r="G282" i="54"/>
  <c r="G280" i="54"/>
  <c r="G279" i="54"/>
  <c r="G277" i="54"/>
  <c r="G276" i="54"/>
  <c r="G274" i="54"/>
  <c r="G273" i="54"/>
  <c r="G271" i="54"/>
  <c r="G270" i="54"/>
  <c r="G268" i="54"/>
  <c r="G267" i="54"/>
  <c r="G265" i="54"/>
  <c r="G264" i="54"/>
  <c r="G260" i="54"/>
  <c r="G259" i="54"/>
  <c r="G257" i="54"/>
  <c r="G256" i="54"/>
  <c r="G254" i="54"/>
  <c r="G253" i="54"/>
  <c r="G217" i="54"/>
  <c r="B494" i="54"/>
  <c r="B493" i="54"/>
  <c r="B492" i="54"/>
  <c r="B491" i="54"/>
  <c r="B490" i="54"/>
  <c r="B489" i="54"/>
  <c r="B488" i="54"/>
  <c r="B487" i="54"/>
  <c r="B486" i="54"/>
  <c r="B485" i="54"/>
  <c r="B484" i="54"/>
  <c r="B483" i="54"/>
  <c r="B482" i="54"/>
  <c r="B481" i="54"/>
  <c r="B480" i="54"/>
  <c r="B479" i="54"/>
  <c r="B478" i="54"/>
  <c r="B477" i="54"/>
  <c r="B476" i="54"/>
  <c r="B475" i="54"/>
  <c r="B474" i="54"/>
  <c r="B473" i="54"/>
  <c r="B472" i="54"/>
  <c r="B471" i="54"/>
  <c r="B470" i="54"/>
  <c r="B469" i="54"/>
  <c r="B468" i="54"/>
  <c r="B467" i="54"/>
  <c r="B466" i="54"/>
  <c r="B465" i="54"/>
  <c r="B464" i="54"/>
  <c r="B463" i="54"/>
  <c r="B462" i="54"/>
  <c r="B461" i="54"/>
  <c r="B460" i="54"/>
  <c r="B459" i="54"/>
  <c r="B458" i="54"/>
  <c r="B457" i="54"/>
  <c r="B456" i="54"/>
  <c r="B455" i="54"/>
  <c r="B454" i="54"/>
  <c r="B453" i="54"/>
  <c r="B452" i="54"/>
  <c r="B451" i="54"/>
  <c r="B450" i="54"/>
  <c r="B449" i="54"/>
  <c r="B448" i="54"/>
  <c r="B447" i="54"/>
  <c r="B446" i="54"/>
  <c r="B445" i="54"/>
  <c r="B444" i="54"/>
  <c r="B443" i="54"/>
  <c r="B442" i="54"/>
  <c r="B441" i="54"/>
  <c r="B440" i="54"/>
  <c r="B439" i="54"/>
  <c r="B438" i="54"/>
  <c r="B437" i="54"/>
  <c r="B436" i="54"/>
  <c r="B435" i="54"/>
  <c r="B425" i="54"/>
  <c r="B424" i="54"/>
  <c r="B423" i="54"/>
  <c r="B422" i="54"/>
  <c r="B421" i="54"/>
  <c r="B420" i="54"/>
  <c r="B402" i="54"/>
  <c r="B401" i="54"/>
  <c r="B400" i="54"/>
  <c r="B368" i="54"/>
  <c r="B367" i="54"/>
  <c r="B366" i="54"/>
  <c r="B362" i="54"/>
  <c r="B361" i="54"/>
  <c r="B360" i="54"/>
  <c r="B359" i="54"/>
  <c r="B358" i="54"/>
  <c r="B357" i="54"/>
  <c r="B356" i="54"/>
  <c r="B355" i="54"/>
  <c r="B354" i="54"/>
  <c r="B353" i="54"/>
  <c r="B352" i="54"/>
  <c r="B351" i="54"/>
  <c r="B349" i="54"/>
  <c r="B348" i="54"/>
  <c r="B347" i="54"/>
  <c r="B346" i="54"/>
  <c r="B345" i="54"/>
  <c r="B344" i="54"/>
  <c r="B342" i="54"/>
  <c r="B341" i="54"/>
  <c r="B340" i="54"/>
  <c r="B339" i="54"/>
  <c r="B338" i="54"/>
  <c r="B337" i="54"/>
  <c r="B336" i="54"/>
  <c r="B335" i="54"/>
  <c r="B334" i="54"/>
  <c r="B333" i="54"/>
  <c r="B332" i="54"/>
  <c r="B331" i="54"/>
  <c r="B330" i="54"/>
  <c r="B329" i="54"/>
  <c r="B328" i="54"/>
  <c r="B325" i="54"/>
  <c r="B324" i="54"/>
  <c r="B323" i="54"/>
  <c r="B322" i="54"/>
  <c r="B321" i="54"/>
  <c r="B320" i="54"/>
  <c r="B319" i="54"/>
  <c r="B318" i="54"/>
  <c r="B317" i="54"/>
  <c r="B316" i="54"/>
  <c r="B315" i="54"/>
  <c r="B314" i="54"/>
  <c r="B311" i="54"/>
  <c r="B310" i="54"/>
  <c r="B309" i="54"/>
  <c r="B308" i="54"/>
  <c r="B307" i="54"/>
  <c r="B306" i="54"/>
  <c r="B305" i="54"/>
  <c r="B304" i="54"/>
  <c r="B303" i="54"/>
  <c r="B302" i="54"/>
  <c r="B301" i="54"/>
  <c r="B300" i="54"/>
  <c r="B299" i="54"/>
  <c r="B298" i="54"/>
  <c r="B297" i="54"/>
  <c r="B296" i="54"/>
  <c r="B295" i="54"/>
  <c r="B294" i="54"/>
  <c r="B293" i="54"/>
  <c r="B292" i="54"/>
  <c r="B291" i="54"/>
  <c r="B290" i="54"/>
  <c r="B289" i="54"/>
  <c r="B288" i="54"/>
  <c r="B287" i="54"/>
  <c r="B286" i="54"/>
  <c r="B285" i="54"/>
  <c r="B284" i="54"/>
  <c r="B283" i="54"/>
  <c r="B282" i="54"/>
  <c r="B281" i="54"/>
  <c r="B280" i="54"/>
  <c r="B279" i="54"/>
  <c r="B278" i="54"/>
  <c r="B277" i="54"/>
  <c r="B276" i="54"/>
  <c r="B275" i="54"/>
  <c r="B274" i="54"/>
  <c r="B273" i="54"/>
  <c r="B272" i="54"/>
  <c r="B271" i="54"/>
  <c r="B270" i="54"/>
  <c r="B269" i="54"/>
  <c r="B268" i="54"/>
  <c r="B267" i="54"/>
  <c r="B266" i="54"/>
  <c r="B265" i="54"/>
  <c r="B264" i="54"/>
  <c r="B261" i="54"/>
  <c r="B260" i="54"/>
  <c r="B259" i="54"/>
  <c r="B258" i="54"/>
  <c r="B257" i="54"/>
  <c r="B256" i="54"/>
  <c r="B255" i="54"/>
  <c r="B254" i="54"/>
  <c r="B253" i="54"/>
  <c r="B251" i="54"/>
  <c r="B250" i="54"/>
  <c r="B248" i="54"/>
  <c r="B247" i="54"/>
  <c r="B245" i="54"/>
  <c r="B244" i="54"/>
  <c r="B242" i="54"/>
  <c r="B241" i="54"/>
  <c r="B239" i="54"/>
  <c r="B238" i="54"/>
  <c r="B236" i="54"/>
  <c r="B235" i="54"/>
  <c r="B233" i="54"/>
  <c r="B232" i="54"/>
  <c r="B222" i="54"/>
  <c r="B223" i="54"/>
  <c r="B224" i="54"/>
  <c r="B225" i="54"/>
  <c r="B226" i="54"/>
  <c r="B227" i="54"/>
  <c r="B221" i="54"/>
  <c r="B220" i="54"/>
  <c r="B219" i="54"/>
  <c r="B230" i="54"/>
  <c r="B229" i="54"/>
  <c r="B228" i="54"/>
  <c r="B218" i="54"/>
  <c r="A218" i="54"/>
  <c r="B217" i="54"/>
  <c r="A217" i="54"/>
  <c r="B231" i="54"/>
  <c r="B234" i="54"/>
  <c r="B237" i="54"/>
  <c r="B240" i="54"/>
  <c r="B243" i="54"/>
  <c r="B246" i="54"/>
  <c r="B249" i="54"/>
  <c r="B216" i="54"/>
  <c r="A191" i="54"/>
  <c r="A188" i="54"/>
  <c r="A186" i="54"/>
  <c r="A184" i="54"/>
  <c r="A182" i="54"/>
  <c r="A179" i="54"/>
  <c r="A176" i="54"/>
  <c r="A173" i="54"/>
  <c r="A171" i="54"/>
  <c r="A166" i="54"/>
  <c r="A194" i="54"/>
  <c r="A7" i="54"/>
  <c r="B676" i="54"/>
  <c r="A91" i="54"/>
  <c r="B91" i="54"/>
  <c r="A807" i="54" l="1"/>
  <c r="A801" i="54"/>
  <c r="A800" i="54"/>
  <c r="A797" i="54"/>
  <c r="A796" i="54"/>
  <c r="A795" i="54"/>
  <c r="A794" i="54"/>
  <c r="A793" i="54"/>
  <c r="A792" i="54"/>
  <c r="A791" i="54"/>
  <c r="A216" i="54"/>
  <c r="A197" i="54"/>
  <c r="A163" i="54"/>
  <c r="A162" i="54"/>
  <c r="A161" i="54"/>
  <c r="A160" i="54"/>
  <c r="A159" i="54"/>
  <c r="A158" i="54"/>
  <c r="A157" i="54"/>
  <c r="A156" i="54"/>
  <c r="A155" i="54"/>
  <c r="A154" i="54"/>
  <c r="A153" i="54"/>
  <c r="A152" i="54"/>
  <c r="A151" i="54"/>
  <c r="A150" i="54"/>
  <c r="A149" i="54"/>
  <c r="A148" i="54"/>
  <c r="A147" i="54"/>
  <c r="A146" i="54"/>
  <c r="A145" i="54"/>
  <c r="A144" i="54"/>
  <c r="A143" i="54"/>
  <c r="A132" i="54"/>
  <c r="A131" i="54"/>
  <c r="A130" i="54"/>
  <c r="A129" i="54"/>
  <c r="A128" i="54"/>
  <c r="A127" i="54"/>
  <c r="A126" i="54"/>
  <c r="A125" i="54"/>
  <c r="A124" i="54"/>
  <c r="A123" i="54"/>
  <c r="A122" i="54"/>
  <c r="A121" i="54"/>
  <c r="A120" i="54"/>
  <c r="A119" i="54"/>
  <c r="A118" i="54"/>
  <c r="A117" i="54"/>
  <c r="A116" i="54"/>
  <c r="A115" i="54"/>
  <c r="A114" i="54"/>
  <c r="A110" i="54"/>
  <c r="A109" i="54"/>
  <c r="A89" i="54"/>
  <c r="A87" i="54"/>
  <c r="A86" i="54"/>
  <c r="A85" i="54"/>
  <c r="A84" i="54"/>
  <c r="A82" i="54"/>
  <c r="A81" i="54"/>
  <c r="A79" i="54"/>
  <c r="A78" i="54"/>
  <c r="A77" i="54"/>
  <c r="A76" i="54"/>
  <c r="A75" i="54"/>
  <c r="A72" i="54"/>
  <c r="A71" i="54"/>
  <c r="A70" i="54"/>
  <c r="A69" i="54"/>
  <c r="A66" i="54"/>
  <c r="A65" i="54"/>
  <c r="A64" i="54"/>
  <c r="A63" i="54"/>
  <c r="A62" i="54"/>
  <c r="A61" i="54"/>
  <c r="A60" i="54"/>
  <c r="A59" i="54"/>
  <c r="A58" i="54"/>
  <c r="A57" i="54"/>
  <c r="A56" i="54"/>
  <c r="A55" i="54"/>
  <c r="A54" i="54"/>
  <c r="A53" i="54"/>
  <c r="A52" i="54"/>
  <c r="A51" i="54"/>
  <c r="A48" i="54"/>
  <c r="A47" i="54"/>
  <c r="A46" i="54"/>
  <c r="A44" i="54"/>
  <c r="A43" i="54"/>
  <c r="A42" i="54"/>
  <c r="A41" i="54"/>
  <c r="A40" i="54"/>
  <c r="A39" i="54"/>
  <c r="A38" i="54"/>
  <c r="A37" i="54"/>
  <c r="A36" i="54"/>
  <c r="A35" i="54"/>
  <c r="A34" i="54"/>
  <c r="A33" i="54"/>
  <c r="A17" i="54"/>
  <c r="A16" i="54"/>
  <c r="A15" i="54"/>
  <c r="A14" i="54"/>
  <c r="A13" i="54"/>
  <c r="A12" i="54"/>
  <c r="A11" i="54"/>
  <c r="A10" i="54"/>
  <c r="A5" i="54"/>
  <c r="B619" i="54" l="1"/>
  <c r="B620" i="54"/>
  <c r="B621" i="54"/>
  <c r="B622" i="54"/>
  <c r="B623" i="54"/>
  <c r="B624" i="54"/>
  <c r="B625" i="54"/>
  <c r="B626" i="54"/>
  <c r="B627" i="54"/>
  <c r="B628" i="54"/>
  <c r="B629" i="54"/>
  <c r="B618" i="54"/>
  <c r="B740" i="54"/>
  <c r="B741" i="54"/>
  <c r="B742" i="54"/>
  <c r="B743" i="54"/>
  <c r="B744" i="54"/>
  <c r="B745" i="54"/>
  <c r="B746" i="54"/>
  <c r="B747" i="54"/>
  <c r="B748" i="54"/>
  <c r="B749" i="54"/>
  <c r="B750" i="54"/>
  <c r="B751" i="54"/>
  <c r="B752" i="54"/>
  <c r="B753" i="54"/>
  <c r="B754" i="54"/>
  <c r="B755" i="54"/>
  <c r="B756" i="54"/>
  <c r="B757" i="54"/>
  <c r="B758" i="54"/>
  <c r="B759" i="54"/>
  <c r="B739" i="54"/>
  <c r="B729" i="54"/>
  <c r="B730" i="54"/>
  <c r="B731" i="54"/>
  <c r="B732" i="54"/>
  <c r="B733" i="54"/>
  <c r="B734" i="54"/>
  <c r="B735" i="54"/>
  <c r="B736" i="54"/>
  <c r="B737" i="54"/>
  <c r="B738" i="54"/>
  <c r="B728" i="54"/>
  <c r="B718" i="54"/>
  <c r="B717" i="54"/>
  <c r="B716" i="54"/>
  <c r="B715" i="54"/>
  <c r="B714" i="54"/>
  <c r="B713" i="54"/>
  <c r="B712" i="54"/>
  <c r="B711" i="54"/>
  <c r="B710" i="54"/>
  <c r="B709" i="54"/>
  <c r="B708" i="54"/>
  <c r="B707" i="54"/>
  <c r="B706" i="54"/>
  <c r="B705" i="54"/>
  <c r="B704" i="54"/>
  <c r="B703" i="54"/>
  <c r="B702" i="54"/>
  <c r="B701" i="54"/>
  <c r="B700" i="54"/>
  <c r="B699" i="54"/>
  <c r="B695" i="54"/>
  <c r="B694" i="54"/>
  <c r="B674" i="54"/>
  <c r="B672" i="54"/>
  <c r="B671" i="54"/>
  <c r="B670" i="54"/>
  <c r="B669" i="54"/>
  <c r="B667" i="54"/>
  <c r="B666" i="54"/>
  <c r="B664" i="54"/>
  <c r="B663" i="54"/>
  <c r="B662" i="54"/>
  <c r="B661" i="54"/>
  <c r="B660" i="54"/>
  <c r="B657" i="54"/>
  <c r="B656" i="54"/>
  <c r="B655" i="54"/>
  <c r="B654" i="54"/>
  <c r="B651" i="54"/>
  <c r="B650" i="54"/>
  <c r="B649" i="54"/>
  <c r="B648" i="54"/>
  <c r="B647" i="54"/>
  <c r="B646" i="54"/>
  <c r="B645" i="54"/>
  <c r="B644" i="54"/>
  <c r="B643" i="54"/>
  <c r="B642" i="54"/>
  <c r="B641" i="54"/>
  <c r="B640" i="54"/>
  <c r="B639" i="54"/>
  <c r="B638" i="54"/>
  <c r="B637" i="54"/>
  <c r="B636" i="54"/>
  <c r="B601" i="54"/>
  <c r="B633" i="54"/>
  <c r="B632" i="54"/>
  <c r="B631" i="54"/>
  <c r="B163" i="54"/>
  <c r="B162" i="54"/>
  <c r="B161" i="54"/>
  <c r="B160" i="54"/>
  <c r="B159" i="54"/>
  <c r="B158" i="54"/>
  <c r="B157" i="54"/>
  <c r="B156" i="54"/>
  <c r="B155" i="54"/>
  <c r="B154" i="54"/>
  <c r="B153" i="54"/>
  <c r="B152" i="54"/>
  <c r="B151" i="54"/>
  <c r="B150" i="54"/>
  <c r="B149" i="54"/>
  <c r="B148" i="54"/>
  <c r="B147" i="54"/>
  <c r="B146" i="54"/>
  <c r="B145" i="54"/>
  <c r="B144" i="54"/>
  <c r="B143" i="54"/>
  <c r="B132" i="54" l="1"/>
  <c r="B131" i="54"/>
  <c r="B130" i="54"/>
  <c r="B129" i="54"/>
  <c r="B128" i="54"/>
  <c r="B127" i="54"/>
  <c r="B126" i="54"/>
  <c r="B125" i="54"/>
  <c r="B124" i="54"/>
  <c r="B123" i="54"/>
  <c r="B122" i="54"/>
  <c r="B121" i="54"/>
  <c r="B120" i="54"/>
  <c r="B119" i="54"/>
  <c r="B118" i="54"/>
  <c r="B117" i="54"/>
  <c r="B116" i="54"/>
  <c r="B115" i="54"/>
  <c r="B114" i="54"/>
  <c r="B110" i="54"/>
  <c r="B109" i="54"/>
  <c r="B89" i="54"/>
  <c r="B87" i="54"/>
  <c r="B86" i="54"/>
  <c r="B85" i="54"/>
  <c r="B84" i="54"/>
  <c r="B82" i="54"/>
  <c r="B81" i="54"/>
  <c r="B79" i="54"/>
  <c r="B78" i="54"/>
  <c r="B77" i="54"/>
  <c r="B76" i="54"/>
  <c r="B75" i="54"/>
  <c r="B72" i="54"/>
  <c r="B71" i="54"/>
  <c r="B70" i="54"/>
  <c r="B69" i="54"/>
  <c r="B66" i="54"/>
  <c r="B65" i="54"/>
  <c r="B64" i="54"/>
  <c r="B63" i="54"/>
  <c r="B62" i="54"/>
  <c r="B61" i="54"/>
  <c r="B60" i="54"/>
  <c r="B59" i="54"/>
  <c r="B58" i="54"/>
  <c r="B57" i="54"/>
  <c r="B56" i="54"/>
  <c r="B55" i="54"/>
  <c r="B54" i="54"/>
  <c r="B53" i="54"/>
  <c r="B52" i="54"/>
  <c r="B51" i="54"/>
  <c r="B48" i="54"/>
  <c r="B47" i="54"/>
  <c r="B46" i="54"/>
  <c r="B44" i="54"/>
  <c r="B43" i="54"/>
  <c r="B42" i="54"/>
  <c r="B41" i="54"/>
  <c r="B40" i="54"/>
  <c r="B39" i="54"/>
  <c r="B38" i="54"/>
  <c r="B37" i="54"/>
  <c r="B36" i="54"/>
  <c r="B35" i="54"/>
  <c r="B34" i="54"/>
  <c r="B33" i="54"/>
  <c r="B17" i="54"/>
  <c r="B16" i="54"/>
  <c r="B15" i="54"/>
  <c r="B14" i="54"/>
  <c r="B13" i="54"/>
  <c r="B12" i="54"/>
  <c r="B11" i="54"/>
  <c r="B10" i="54"/>
  <c r="I820" i="54" l="1"/>
  <c r="C4" i="38" l="1"/>
  <c r="C8" i="38" s="1"/>
  <c r="A5" i="38"/>
  <c r="A6" i="38" s="1"/>
  <c r="A7" i="38" s="1"/>
  <c r="C5" i="38"/>
  <c r="C6" i="38"/>
  <c r="C7" i="38"/>
</calcChain>
</file>

<file path=xl/sharedStrings.xml><?xml version="1.0" encoding="utf-8"?>
<sst xmlns="http://schemas.openxmlformats.org/spreadsheetml/2006/main" count="3227" uniqueCount="659">
  <si>
    <t>(Đơn vị tính: Đồng)</t>
  </si>
  <si>
    <t>STT</t>
  </si>
  <si>
    <t>Mô tả</t>
  </si>
  <si>
    <t>Ghi chú</t>
  </si>
  <si>
    <t>I</t>
  </si>
  <si>
    <t>B</t>
  </si>
  <si>
    <t>Đơn giản</t>
  </si>
  <si>
    <t>Trung bình</t>
  </si>
  <si>
    <t>Phức tạp</t>
  </si>
  <si>
    <t>II</t>
  </si>
  <si>
    <t>M</t>
  </si>
  <si>
    <t>III</t>
  </si>
  <si>
    <t>T</t>
  </si>
  <si>
    <t>IV</t>
  </si>
  <si>
    <t>V</t>
  </si>
  <si>
    <t>BẢNG 4.6. MỨC LƯƠNG LAO ĐỘNG BÌNH QUÂN
Phần mềm "Nâng cấp, mở rộng hệ thống quản lý thuế tập trung (TMS) đáp ứng nghiệp vụ thanh tra, kiểm tra và triển khai thí điểm"</t>
  </si>
  <si>
    <t>Chức danh công việc</t>
  </si>
  <si>
    <t>Mức lương lao động/h</t>
  </si>
  <si>
    <t>Nhóm quản trị dự án</t>
  </si>
  <si>
    <t>Hệ số lương áp dụng cho kỹ sư Bậc 4</t>
  </si>
  <si>
    <t>Nhóm phân tích thiết kế hệ thống</t>
  </si>
  <si>
    <t>Hệ số lương áp dụng cho kỹ sư Bậc 3</t>
  </si>
  <si>
    <t>Nhóm lập trình</t>
  </si>
  <si>
    <t>Hệ số lương áp dụng cho kỹ sư Bậc 2</t>
  </si>
  <si>
    <t>Nhóm đào tạo, triển khai hỗ trợ</t>
  </si>
  <si>
    <t>Hệ số lương áp dụng cho kỹ sưBậc 1</t>
  </si>
  <si>
    <t>Mức lương lao động bình quân</t>
  </si>
  <si>
    <t>Số ngày làm việc bình quân theo tháng là 26 ngày
Mỗi ngày làm việc : 8h</t>
  </si>
  <si>
    <t>Quản trị hệ thống</t>
  </si>
  <si>
    <t>Người thực hiện TGPL</t>
  </si>
  <si>
    <t>Mô tả trường hợp sử dụng</t>
  </si>
  <si>
    <t>Mức độ cần thiết</t>
  </si>
  <si>
    <t>Tên Usecase</t>
  </si>
  <si>
    <t>Tác nhân chính</t>
  </si>
  <si>
    <t>Tác nhân phụ</t>
  </si>
  <si>
    <t>Mức độ phức tạp</t>
  </si>
  <si>
    <t>QUY TRÌNH THU THẬP DỮ LIỆU</t>
  </si>
  <si>
    <t>I.1</t>
  </si>
  <si>
    <t>Danh mục giới tính</t>
  </si>
  <si>
    <t>Hệ thống nguồn (TTDLQG)</t>
  </si>
  <si>
    <t>Danh mục và mã các dân tộc</t>
  </si>
  <si>
    <t>Danh mục và mã Quốc gia, Quốc tịch</t>
  </si>
  <si>
    <t>Danh mục và mã các Tôn giáo</t>
  </si>
  <si>
    <t>Danh mục cơ quan</t>
  </si>
  <si>
    <t>Danh mục đơn vị hành chính</t>
  </si>
  <si>
    <t>Danh mục và mã mối quan hệ trong gia đình</t>
  </si>
  <si>
    <t>Danh mục mã giấy tờ tùy thân</t>
  </si>
  <si>
    <t>I.2</t>
  </si>
  <si>
    <t>Thu thập dữ liệu từ các Hệ thống trong ngành</t>
  </si>
  <si>
    <t>I.2.1</t>
  </si>
  <si>
    <t>Cục Hành chính tư pháp</t>
  </si>
  <si>
    <t>I.2.1.1</t>
  </si>
  <si>
    <t>CSDL Hộ tịch điện tử</t>
  </si>
  <si>
    <t>Bộ dữ liệu hồ sơ đăng ký khai sinh</t>
  </si>
  <si>
    <t>Hệ thống nguồn (CSDL Hộ tịch điện tử)</t>
  </si>
  <si>
    <t>Bộ dữ liệu hồ sơ đăng ký kết hôn</t>
  </si>
  <si>
    <t>Bộ dữ liệu hồ sơ cấp Giấy xác nhận tình trạng hôn nhân</t>
  </si>
  <si>
    <t>Bộ dữ liệu hồ sơ đăng ký khai tử</t>
  </si>
  <si>
    <t>Bộ dữ liệu hồ sơ đăng ký nhận cha, mẹ, con</t>
  </si>
  <si>
    <t>Bộ dữ liệu hồ sơ đăng ký nuôi con nuôi</t>
  </si>
  <si>
    <t>Bộ dữ liệu hồ sơ đăng ký giám hộ</t>
  </si>
  <si>
    <t>Bộ dữ liệu hồ sơ đăng ký chấm dứt giám hộ</t>
  </si>
  <si>
    <t>Bộ dữ liệu hồ sơ đăng ký thay đổi, cải chính, bổ sung thông tin hộ tịch, xác định lại dân tộc</t>
  </si>
  <si>
    <t>Bộ dữ liệu hồ sơ đăng ký giám sát việc giám hộ</t>
  </si>
  <si>
    <t>Bộ dữ liệu hồ sơ đăng ký chấm dứt giám sát việc giám hộ</t>
  </si>
  <si>
    <t>Bộ dữ liệu hồ sơ ghi vào sổ việc ly hôn/hủy việc kết hôn đã thực hiện tại cơ quan có thẩm quyền của nước ngoài (ghi chú ly hôn)</t>
  </si>
  <si>
    <t>I.2.1.2</t>
  </si>
  <si>
    <t>Hệ thống quản lý hồ sơ quốc tịch</t>
  </si>
  <si>
    <t>Nhập Quốc tịch</t>
  </si>
  <si>
    <t>Hệ thống nguồn (Hệ thống quản lý hồ sơ quốc tịch)</t>
  </si>
  <si>
    <t>Thôi Quốc tịch</t>
  </si>
  <si>
    <t>Trở lại Quốc tịch</t>
  </si>
  <si>
    <t>I.2.2</t>
  </si>
  <si>
    <t>Cục Quản lý thi hành án dân sự</t>
  </si>
  <si>
    <t>I.2.2.1</t>
  </si>
  <si>
    <t>Cơ sở dữ liệu thi hành án dân sự</t>
  </si>
  <si>
    <t>Bản án, quyết định của Tòa án được cơ quan thi hành án dân sự đưa ra tổ chức thi hành</t>
  </si>
  <si>
    <t>Hệ thống nguồn (CSDL thi hành án dân sự)</t>
  </si>
  <si>
    <t>Yêu cầu thi hành án của cá nhân, cơ quan, tổ chức</t>
  </si>
  <si>
    <t>Quyết định thi hành án dân sự</t>
  </si>
  <si>
    <t>Người phải thi hành án, người được thi hành án, người có quyền lợi nghĩa vụ liên quan</t>
  </si>
  <si>
    <t>Nghĩa vụ thi hành án</t>
  </si>
  <si>
    <t>Trạng thái thi hành án</t>
  </si>
  <si>
    <t>Tài sản thi hành án</t>
  </si>
  <si>
    <t>Xác minh điều kiện trong thi hành án dân sự</t>
  </si>
  <si>
    <t>Cưỡng chế thi hành án trong thi hành án dân sự</t>
  </si>
  <si>
    <t>Áp dụng biện pháp bảo đảm trong thi hành án dân sự</t>
  </si>
  <si>
    <t>Chứng từ nghiệp vụ trong thi hành án dân sự</t>
  </si>
  <si>
    <t>Biên lai thu tiền thi hành án dân sự</t>
  </si>
  <si>
    <t>Vật chứng trong thi hành án dân sự</t>
  </si>
  <si>
    <t>Thẩm định giá tài sản trong thi hành án dân sự</t>
  </si>
  <si>
    <t>Đấu giá tài sản trong thi hành án dân sự</t>
  </si>
  <si>
    <t>Giải quyết khiếu nại, tố cáo trong thi hành án dân sự</t>
  </si>
  <si>
    <t>Hướng dẫn nghiệp vụ trong thi hành án dân sự</t>
  </si>
  <si>
    <t>I.2.3</t>
  </si>
  <si>
    <t>Cục Đăng ký giao dịch bảo đảm và
BTNN</t>
  </si>
  <si>
    <t>I.2.3.1</t>
  </si>
  <si>
    <t>Cơ sở dữ liệu về biện pháp bảo đảm</t>
  </si>
  <si>
    <t>Thông tin chung (Bao gồm người đăng ký và Hợp đồng bảo đảm)</t>
  </si>
  <si>
    <t>Hệ thống nguồn (CSDL về biện pháp bảo đảm)</t>
  </si>
  <si>
    <t>Bên bảo đảm</t>
  </si>
  <si>
    <t>Bên nhận bảo đảm</t>
  </si>
  <si>
    <t>Tài sản bảo đảm</t>
  </si>
  <si>
    <t>I.2.4</t>
  </si>
  <si>
    <t>Cục Kiểm tra văn bản và Quản lý xử lý vi phạm hành chính</t>
  </si>
  <si>
    <t>I.2.4.1</t>
  </si>
  <si>
    <t>CSDL quốc gia về pháp luật</t>
  </si>
  <si>
    <t>Văn bản quy phạm pháp luật</t>
  </si>
  <si>
    <t>Hệ thống nguồn (CSDL quốc gia về pháp luật)</t>
  </si>
  <si>
    <t>Nội dung của văn bản quy phạm pháp luật</t>
  </si>
  <si>
    <t>Quan hệ giữa các điều khoản trong các văn bản quy phạm pháp luật</t>
  </si>
  <si>
    <t>Văn bản hợp nhất</t>
  </si>
  <si>
    <t>Hệ thống hóa văn bản quy phạm pháp luật</t>
  </si>
  <si>
    <t>I.2.4.2</t>
  </si>
  <si>
    <t>Cơ sở dữ liệu tương trợ tư pháp về dân sự</t>
  </si>
  <si>
    <t>Hồ sơ ủy thác tư pháp đến</t>
  </si>
  <si>
    <t>Hệ thống nguồn (CSDL tương trợ tư pháp về dân sự)</t>
  </si>
  <si>
    <t>Hồ sơ ủy thác tư pháp đi</t>
  </si>
  <si>
    <t>I.2.4.3</t>
  </si>
  <si>
    <t>Hệ thống thông tin trợ giúp pháp lý</t>
  </si>
  <si>
    <t>Tổ chức thực hiện trợ giúp pháp lý</t>
  </si>
  <si>
    <t>Hệ thống nguồn (Hệ thống thông tin trợ giúp pháp lý)</t>
  </si>
  <si>
    <t>Tổ chức đăng ký tham gia trợ giúp pháp lý</t>
  </si>
  <si>
    <t>Thông tin văn bản cử người thực hiện trợ giúp pháp lý</t>
  </si>
  <si>
    <t>Trung tâm TGPL nhà nước</t>
  </si>
  <si>
    <t>I.2.5</t>
  </si>
  <si>
    <t>Cục Bổ trợ tư pháp</t>
  </si>
  <si>
    <t>I.2.5.1</t>
  </si>
  <si>
    <t>CSDL quản lý đấu giá tài sản</t>
  </si>
  <si>
    <t>Đấu giá viên</t>
  </si>
  <si>
    <t>Hệ thống nguồn (CSDL quản lý đấu giá tài sản)</t>
  </si>
  <si>
    <t>Tổ chức hành nghề đấu giá</t>
  </si>
  <si>
    <t>Công chứng viên</t>
  </si>
  <si>
    <t>Thông tin ngăn chặn</t>
  </si>
  <si>
    <t>Tổ chức hành nghề công chứng</t>
  </si>
  <si>
    <t>Tài sản trong giao dịch công chứng</t>
  </si>
  <si>
    <t>Kết quả hoạt động công chứng</t>
  </si>
  <si>
    <t>Quản tài viên</t>
  </si>
  <si>
    <t>Doanh nghiệp quản lý, thanh lý tài sản</t>
  </si>
  <si>
    <t>Luật sư Việt Nam</t>
  </si>
  <si>
    <t>Người được cấp chứng chỉ hành nghề luật sư</t>
  </si>
  <si>
    <t>Tổ chức hành nghề luật sư Việt Nam</t>
  </si>
  <si>
    <t>Luật sư nước ngoài</t>
  </si>
  <si>
    <t>Tổ chức hành nghề luật sư nước ngoài</t>
  </si>
  <si>
    <t>Trọng tài viên</t>
  </si>
  <si>
    <t>Trung tâm trọng tài</t>
  </si>
  <si>
    <t>Chi nhánh của tổ chức trọng tài</t>
  </si>
  <si>
    <t>Văn phòng đại diện của trung tâm trọng tài</t>
  </si>
  <si>
    <t>Hòa giải viên thương mại</t>
  </si>
  <si>
    <t>Trung tâm hòa giải thương mại</t>
  </si>
  <si>
    <t>Giám định viên tư pháp</t>
  </si>
  <si>
    <t>Tổ chức giám định tư pháp</t>
  </si>
  <si>
    <t>II.1</t>
  </si>
  <si>
    <t>Đối soát dữ liệu danh mục từ Bộ ngành ngoài (qua Trung tâm dữ liệu Quốc gia)</t>
  </si>
  <si>
    <t>II.2</t>
  </si>
  <si>
    <t>Đối soát dữ liệu từ các Hệ thống trong ngành</t>
  </si>
  <si>
    <t>Đối soát với CSDL Hộ tịch điện tử</t>
  </si>
  <si>
    <t>Đối soát với Hệ thống quản lý hồ sơ quốc tịch</t>
  </si>
  <si>
    <t>Đối soát với Cơ sở dữ liệu thi hành án dân sự</t>
  </si>
  <si>
    <t>Đối soát với Cơ sở dữ liệu về biện pháp bảo đảm</t>
  </si>
  <si>
    <t>Đối soát với CSDL quốc gia về pháp luật</t>
  </si>
  <si>
    <t>Đối soát với Cơ sở dữ liệu tương trợ tư pháp về dân sự</t>
  </si>
  <si>
    <t>Đối soát với Hệ thống thông tin trợ giúp pháp lý</t>
  </si>
  <si>
    <t>Đối soát với CSDL quản lý đấu giá tài sản</t>
  </si>
  <si>
    <t>QUY TRÌNH XỬ LÝ DỮ LIỆU</t>
  </si>
  <si>
    <t>III.1</t>
  </si>
  <si>
    <t>Dữ liệu danh mục dùng chung thu thập qua TTDLQG</t>
  </si>
  <si>
    <t>III.2</t>
  </si>
  <si>
    <t>Thiết lập quy tắc chuẩn hóa, làm sạch dữ liệu thu thập từ các Hệ thống trong ngành</t>
  </si>
  <si>
    <t>III.2.1</t>
  </si>
  <si>
    <t>III.2.1.1</t>
  </si>
  <si>
    <t>III.2.1.2</t>
  </si>
  <si>
    <t>III.2.2</t>
  </si>
  <si>
    <t>III.2.2.1</t>
  </si>
  <si>
    <t>III.2.3</t>
  </si>
  <si>
    <t>III.2.3.1</t>
  </si>
  <si>
    <t>III.2.4</t>
  </si>
  <si>
    <t>III.2.4.1</t>
  </si>
  <si>
    <t>III.2.4.2</t>
  </si>
  <si>
    <t>III.2.4.3</t>
  </si>
  <si>
    <t>III.2.5</t>
  </si>
  <si>
    <t>III.2.5.1</t>
  </si>
  <si>
    <t>QUY TRÌNH QUẢN LÝ DANH MỤC DÙNG CHUNG</t>
  </si>
  <si>
    <t>IV.1</t>
  </si>
  <si>
    <t>Thiết lập danh mục</t>
  </si>
  <si>
    <t>Thiết lập danh sách các danh mục</t>
  </si>
  <si>
    <t>Tạo danh mục cấp cao (VD: lĩnh vực, cơ quan, địa bàn).</t>
  </si>
  <si>
    <t>Thiết lập cấu trúc danh mục</t>
  </si>
  <si>
    <t>Tạo, chỉnh sửa, gửi duyệt cấu trúc danh mục</t>
  </si>
  <si>
    <t>Thiết lập quan hệ giữa các danh mục</t>
  </si>
  <si>
    <t>Khai báo quan hệ logic giữa các danh mục.</t>
  </si>
  <si>
    <t>Thiết lập phiên bản danh mục</t>
  </si>
  <si>
    <t>Lưu trữ, quản lý, khôi phục phiên bản danh mục.</t>
  </si>
  <si>
    <t>Phê duyệt danh sách danh mục</t>
  </si>
  <si>
    <t>Lãnh đạo bộ phận quản trị</t>
  </si>
  <si>
    <t>Hết hiệu lực danh mục</t>
  </si>
  <si>
    <t>IV.2</t>
  </si>
  <si>
    <t>Sửa, thêm, ngừng hiệu lực giá trị danh mục.</t>
  </si>
  <si>
    <t>Phê duyệt danh mục cập nhật</t>
  </si>
  <si>
    <t>Duyệt thay đổi nội dung danh mục.</t>
  </si>
  <si>
    <t>Quản lý phiên bản danh mục dùng chung</t>
  </si>
  <si>
    <t>Quản lý đánh version</t>
  </si>
  <si>
    <t>Công khai danh mục</t>
  </si>
  <si>
    <t>Công bố danh mục chuẩn lên cổng mở, đánh version</t>
  </si>
  <si>
    <t>Hủy công khai danh mục</t>
  </si>
  <si>
    <t xml:space="preserve">Hủy công khai thông tin danh mục lên cổng </t>
  </si>
  <si>
    <t>IV.3</t>
  </si>
  <si>
    <t>Khai thác và báo cáo</t>
  </si>
  <si>
    <t>Tìm kiếm cơ bản</t>
  </si>
  <si>
    <t>Tìm kiếm theo mã, tên, thuộc tính danh mục.</t>
  </si>
  <si>
    <t>Tìm kiếm nâng cao</t>
  </si>
  <si>
    <t>Tìm kiếm theo nhiều tiêu chí, lọc, sắp xếp.</t>
  </si>
  <si>
    <t>Xuất dữ liệu tra cứu</t>
  </si>
  <si>
    <t>Tải kết quả ra Excel, CSV, PDF.</t>
  </si>
  <si>
    <t>Báo cáo thống kê danh sách danh mục</t>
  </si>
  <si>
    <t>Thống kê danh sách danh mục</t>
  </si>
  <si>
    <t>Báo cáo tình trạng khai thác danh mục</t>
  </si>
  <si>
    <t>Báo cáo tình trạng, tần suất khai thác danh mục</t>
  </si>
  <si>
    <t>Báo cáo trạng thái danh mục</t>
  </si>
  <si>
    <t>Báo cáo phiên bản danh mục</t>
  </si>
  <si>
    <t>QUY TRÌNH QUẢN LÝ DANH MỤC DỮ LIỆU MỞ</t>
  </si>
  <si>
    <t>V.1</t>
  </si>
  <si>
    <t>Quản lý danh mục dữ liệu mở</t>
  </si>
  <si>
    <t>Tạo, cập nhật, xóa danh mục dữ liệu mở (dataset), nhóm lĩnh vực, chủ đề, cơ quan công bố.</t>
  </si>
  <si>
    <t>Thiết lập danh mục chuẩn dùng chung để phân loại và gán nhãn tập dữ liệu mở.</t>
  </si>
  <si>
    <t>V.2</t>
  </si>
  <si>
    <t>Công bố dữ liệu mở</t>
  </si>
  <si>
    <t>Gửi yêu cầu công bố dữ liệu mở</t>
  </si>
  <si>
    <t>Cán bộ nghiệp vụ</t>
  </si>
  <si>
    <t xml:space="preserve">Đăng tải tập dữ liệu (có thể qua API hoặc giao diện), đồng bộ metadata với Cổng dữ liệu mở </t>
  </si>
  <si>
    <t>Quản lý phiên bản dữ liệu mở</t>
  </si>
  <si>
    <t>Phê duyệt dữ liệu mở</t>
  </si>
  <si>
    <t>Lãnh đạo nghiệp vụ</t>
  </si>
  <si>
    <t>Lãnh đạo nghiệp vụ kiểm tra nội dung yêu cầu phê duyệt dữ liệu  mở, bao gồm: tính đầy đủ thông tin, độ chính xác của thông tin, tính phù hợp với quy định bảo mật và quy tắc công bố dữ liệu mở của cơ quan</t>
  </si>
  <si>
    <t>Thiết lập lịch công bố / cập nhật tự động</t>
  </si>
  <si>
    <t>Lập lịch để hệ thống tự động tải và công bố dữ liệu mở định kỳ.</t>
  </si>
  <si>
    <t>V.3</t>
  </si>
  <si>
    <t>Tìm kiếm và lọc tập dữ liệu mở</t>
  </si>
  <si>
    <t>Cho phép người dùng tìm kiếm theo chủ đề, cơ quan, từ khóa, định dạng, giấy phép.</t>
  </si>
  <si>
    <t>Báo cáo thống kê phân loại dữ liệu mở</t>
  </si>
  <si>
    <t>Cho phép phân loại theo nguồn cung cấp, …</t>
  </si>
  <si>
    <t>Thống kê và phân tích lượt truy cập, tải dữ liệu</t>
  </si>
  <si>
    <t>Báo cáo sử dụng dữ liệu theo thời gian, loại người dùng, số lượt tải.</t>
  </si>
  <si>
    <t>VI</t>
  </si>
  <si>
    <t>QUY TRÌNH QUẢN LÝ DỮ LIỆU CHỦ</t>
  </si>
  <si>
    <t>VI.1</t>
  </si>
  <si>
    <t>Quản lý mô hình dữ liệu chủ</t>
  </si>
  <si>
    <t>Thiết lập dữ liệu chủ</t>
  </si>
  <si>
    <t>Khai báo các thực thể (Tổ chức, Cá nhân, Văn bản…).</t>
  </si>
  <si>
    <t>Quản lý thuộc tính dữ liệu chủ</t>
  </si>
  <si>
    <t>Định nghĩa trường dữ liệu, kiểu và ràng buộc.</t>
  </si>
  <si>
    <t>Thiết lập quy tắc hợp nhất dữ liệu chủ</t>
  </si>
  <si>
    <t>Thiết lập quy tắc hợp nhất, trích rút thông tin dữ liệu chủ từ các nguồn dữ liệu</t>
  </si>
  <si>
    <t>Thiết lập quan hệ giữa thực thể</t>
  </si>
  <si>
    <t>Xác định mối quan hệ 1–n, n–n giữa các thực thể.</t>
  </si>
  <si>
    <t>Tạo mã định danh thống nhất toàn hệ thống.</t>
  </si>
  <si>
    <t>Phê duyệt danh sách dữ liệu chủ</t>
  </si>
  <si>
    <t>Phê duyệt loại dữ liệu, cấu trúc,…</t>
  </si>
  <si>
    <t>VI.2</t>
  </si>
  <si>
    <t>Cập nhật dữ liệu chủ</t>
  </si>
  <si>
    <t>Rà soát, gửi phê duyệt bản ghi dữ liệu chủ</t>
  </si>
  <si>
    <t>Rà soát bản ghi dữ liệu chủ trùng lặp hoặc được tạo mới, gửi phê duyệt</t>
  </si>
  <si>
    <t>Phê duyệt dữ liệu</t>
  </si>
  <si>
    <t>Phê duyệt bản ghi dữ liệu chủ được tạo ra</t>
  </si>
  <si>
    <t>Hủy phê duyệt dữ liệu chủ</t>
  </si>
  <si>
    <t>Hủy phê duyệt bản ghi dữ liệu chủ</t>
  </si>
  <si>
    <t>Theo dõi lịch sử thay đổi</t>
  </si>
  <si>
    <t>Lưu lại toàn bộ thay đổi dữ liệu.</t>
  </si>
  <si>
    <t>Xóa và khôi phục bản ghi</t>
  </si>
  <si>
    <t>Cho phép xóa mềm và khôi phục.</t>
  </si>
  <si>
    <t>Quản lý phiên bản dữ liệu chủ</t>
  </si>
  <si>
    <t>Cho phép tạo quy tắc để đánh phiên bản dữ liệu</t>
  </si>
  <si>
    <t>Công khai dữ liệu chủ</t>
  </si>
  <si>
    <t>Cho phép công khai dữ liệu chủ lên cổng dữ liệu</t>
  </si>
  <si>
    <t>Hủy công khai dữ liệu chủ</t>
  </si>
  <si>
    <t>Cho phép hủy công khai dữ liệu chủ trên cổng dữ liệu</t>
  </si>
  <si>
    <t>VI.3</t>
  </si>
  <si>
    <t>Tra cứu dữ liệu chủ</t>
  </si>
  <si>
    <t>Cán bộ nghiệp vụ; Lãnh đạo nghiệp vụ</t>
  </si>
  <si>
    <t>Tìm kiếm, xem chi tiết dữ liệu.</t>
  </si>
  <si>
    <t>Báo cáo sử dụng dữ liệu chủ</t>
  </si>
  <si>
    <t>Thống kê truy cập và tiêu thụ dữ liệu.</t>
  </si>
  <si>
    <t>Báo cáo vòng đời dữ liệu</t>
  </si>
  <si>
    <t>Theo dõi dữ liệu sắp hết hiệu lực.</t>
  </si>
  <si>
    <t>VII</t>
  </si>
  <si>
    <t>QUY TRÌNH ĐIỀU PHỐI DỮ LIỆU</t>
  </si>
  <si>
    <t>VII.1</t>
  </si>
  <si>
    <t>Thiết lập và phê duyệt dịch vụ dữ liệu</t>
  </si>
  <si>
    <t>Thiết lập dịch vụ cung cấp dữ liệu</t>
  </si>
  <si>
    <t>Cấu hình thông tin dịch vụ (loại dữ liệu, tần suất, giao thức kết nối, phạm vi truy cập, chính sách chia sẻ).</t>
  </si>
  <si>
    <t>Kiểm tra và phê duyệt dịch vụ dữ liệu</t>
  </si>
  <si>
    <t>Kiểm tra nội dung, quy tắc, đối tượng và quyền truy cập của dịch vụ dữ liệu trước khi công bố.</t>
  </si>
  <si>
    <t>Từ chối phê duyệt dịch vụ dữ liệu</t>
  </si>
  <si>
    <t>Ghi nhận lý do, phản hồi kết quả từ chối và trả lại yêu cầu để điều chỉnh.</t>
  </si>
  <si>
    <t>Phê duyệt dịch vụ dữ liệu</t>
  </si>
  <si>
    <t>Xác nhận, ký duyệt và cho phép dịch vụ dữ liệu được công bố chính thức.</t>
  </si>
  <si>
    <t>Tự động công khai thông tin dịch vụ dữ liệu lên Cổng dữ liệu dùng chung hoặc nền tảng chia sẻ dữ liệu.</t>
  </si>
  <si>
    <t>VII.2</t>
  </si>
  <si>
    <t>Quản lý danh mục API cung cấp dữ liệu</t>
  </si>
  <si>
    <t>Tạo mới, cập nhật, ngừng hoặc xóa API cung cấp dữ liệu cho các hệ thống khác.</t>
  </si>
  <si>
    <t>Giám sát và ghi log API</t>
  </si>
  <si>
    <t>Theo dõi trạng thái hoạt động, hiệu năng và log truy cập của các API cung cấp dữ liệu.</t>
  </si>
  <si>
    <t>Cấp quyền truy cập API</t>
  </si>
  <si>
    <t>Gán quyền sử dụng API cho từng tổ chức hoặc người dùng được phê duyệt.</t>
  </si>
  <si>
    <t>VII.3</t>
  </si>
  <si>
    <t>Nhóm chức năng cung cấp dữ liệu thụ động / theo yêu cầu</t>
  </si>
  <si>
    <t>Tiếp nhận yêu cầu cung cấp dữ liệu</t>
  </si>
  <si>
    <t>Tiếp nhận đề nghị khai thác hoặc chia sẻ dữ liệu từ các cơ quan, tổ chức, hệ thống khác.</t>
  </si>
  <si>
    <t>Tra cứu dữ liệu theo yêu cầu</t>
  </si>
  <si>
    <t>Cung cấp công cụ tìm kiếm, lọc và tải dữ liệu theo điều kiện được phê duyệt.</t>
  </si>
  <si>
    <t>Tạo dịch vụ dữ liệu theo yêu cầu</t>
  </si>
  <si>
    <t>Kết xuất dữ liệu hoặc báo cáo chuyên đề từ kho dữ liệu theo các tiêu chí tùy chỉnh.</t>
  </si>
  <si>
    <t>Xuất dữ liệu định dạng chuẩn</t>
  </si>
  <si>
    <t>Cho phép người dùng xuất dữ liệu dưới các định dạng chuẩn (JSON, CSV, XML, Excel…).</t>
  </si>
  <si>
    <t>Công bố dịch vụ dữ liệu</t>
  </si>
  <si>
    <t>Tự động đồng bộ dữ liệu đã công khai lên Cổng dữ liệu mở quốc gia hoặc nền tảng chia sẻ nội bộ.</t>
  </si>
  <si>
    <t>Hủy công bố dịch vụ dữ liệu</t>
  </si>
  <si>
    <t>VII.4</t>
  </si>
  <si>
    <t>Nhóm chức năng kiểm soát và giám sát cung cấp dữ liệu</t>
  </si>
  <si>
    <t>Giám sát luồng cung cấp dữ liệu</t>
  </si>
  <si>
    <t>Theo dõi, ghi nhận, và phân tích luồng chia sẻ dữ liệu giữa các hệ thống.</t>
  </si>
  <si>
    <t>Báo cáo thống kê dịch vụ dữ liệu</t>
  </si>
  <si>
    <t>Tổng hợp thống kê lượng dữ liệu cung cấp, số lượt truy cập, hiệu năng API, lỗi kết nối, v.v.</t>
  </si>
  <si>
    <t>Hệ thống đích</t>
  </si>
  <si>
    <t>VIII</t>
  </si>
  <si>
    <t>QUẢN TRỊ HỆ THỐNG</t>
  </si>
  <si>
    <t>Quản lý nhóm người dùng</t>
  </si>
  <si>
    <t>Gán người dùng vào nhóm</t>
  </si>
  <si>
    <t>Phân quyền chức năng cho nhóm người dùng</t>
  </si>
  <si>
    <t>Tổng hợp báo cáo về tình trạng kho dữ liệu: số lượng dữ liệu thu thập, tỷ lệ thành công, trạng thái version, lỗi phát hiện, tình hình phân quyền. Biểu diễn bằng dashboard và biểu đồ.</t>
  </si>
  <si>
    <t>I.2.6</t>
  </si>
  <si>
    <t>Các chỉ tiêu thống kê ngành Tư pháp</t>
  </si>
  <si>
    <t>Biên tập dữ liệu danh mục và công khai danh mục</t>
  </si>
  <si>
    <t>Biên tập danh mục</t>
  </si>
  <si>
    <t>Cục Kế hoạch - Tài chính</t>
  </si>
  <si>
    <t>Phần mềm thống kê ngành Tư pháp</t>
  </si>
  <si>
    <t>I.2.6.1</t>
  </si>
  <si>
    <t>Chọn chức năng “Quản lý danh mục” 
Tạo mới danh mục (tên, mô tả, loại dữ liệu, đơn vị quản lý)
Lưu và gửi yêu cầu phê duyệt.</t>
  </si>
  <si>
    <t>Tìm danh mục trong danh sách danh mục đã tạo
Định nghĩa các trường dữ liệu,
Định nghĩa kiểu dữ liệu, xác định độ dài,  giá trị mặc định 
Xác định khóa chính
Xác định khóa ngoại (nếu có)
Lưu cấu trúc
Gửi duyệt cấu trúc danh mục</t>
  </si>
  <si>
    <t>Phê duyệt cấu trúc danh mục</t>
  </si>
  <si>
    <t>Phê duyệt phiên bản danh mục</t>
  </si>
  <si>
    <t>Phê duyệt hết hiệu lực danh mục</t>
  </si>
  <si>
    <t>Nhận yêu cầu phê duyệt danh sách danh mục
Kiểm tra tên các danh mục, xác minh tính hợp lệ, tránh trùng lặp
Đồng ý Phê duyệt 
Từ chối phê duyệt kèm ghi chú
Hệ thống cập nhật trạng thái danh mục “Đã phê duyệt”.</t>
  </si>
  <si>
    <t>Nhận yêu cầu phê duyệt cấu trúc danh mục
Kiểm tra từng trường thông tin, kiểu dữ liệu, khóa, và ràng buộc
Đồng ý Phê duyệt 
Từ chối phê duyệt kèm ghi chú
Hệ thống cập nhật trạng thái danh mục “Đã phê duyệt cấu trúc danh mục”.</t>
  </si>
  <si>
    <t>Nhận yêu cầu cập nhật phiên bản danh mục
So sánh với phiên bản trước, xem lịch sử thay đổi 
Đánh giá tác động đến hệ thống và các bảng tham chiếu 
Đồng ý Phê duyệt 
Từ chối phê duyệt kèm ghi chú
Hệ thống kích hoạt phiên bản mới nếu được phê duyệt</t>
  </si>
  <si>
    <t>Xác định danh mục không còn được sử dụng
Gửi yêu cầu hết hiệu lực lên hệ thống 
Ghi nhận lý do và thời điểm hết hiệu lực
Gửi yêu cầu phê duyệt</t>
  </si>
  <si>
    <t>Xem xét yêu cầu hết hiệu lực
Kiểm tra các bảng, dữ liệu đang sử dụng danh mục 
Nếu không còn ràng buộc, phê duyệt hết hiệu lực. Hệ thống cập nhật trạng thái “Hết hiệu lực”, ngừng tham chiếu danh mục trong các quy trình nhập và đồng bộ dữ liệu.
Từ chối phê duyệt nếu danh mục chưa hết hiệu lực</t>
  </si>
  <si>
    <t>Xây dựng văn bản quy phạm pháp luật</t>
  </si>
  <si>
    <t>Kiểm tra văn bản quy phạm pháp luật</t>
  </si>
  <si>
    <t>Rà soát văn bản quy phạm pháp luật</t>
  </si>
  <si>
    <t>Tổ chức và người làm công tác pháp chế</t>
  </si>
  <si>
    <t>Phổ biến, giáo dục pháp luật</t>
  </si>
  <si>
    <t>Hòa giải ở cơ sở</t>
  </si>
  <si>
    <t>Chuẩn tiếp cận pháp luật</t>
  </si>
  <si>
    <t>Hộ tịch</t>
  </si>
  <si>
    <t>Chứng thực</t>
  </si>
  <si>
    <t>Lý lịch tư pháp</t>
  </si>
  <si>
    <t>Nuôi con nuôi</t>
  </si>
  <si>
    <t>Trợ giúp pháp lý</t>
  </si>
  <si>
    <t>Đăng ký giao dịch bảo đảm</t>
  </si>
  <si>
    <t>Luật sư</t>
  </si>
  <si>
    <t>Công chứng</t>
  </si>
  <si>
    <t>Giám định tư pháp</t>
  </si>
  <si>
    <t>Đấu giá tài sản</t>
  </si>
  <si>
    <t>Trọng tài thương mại</t>
  </si>
  <si>
    <t>Hòa giải thương mại</t>
  </si>
  <si>
    <t>Quản lý thanh lý tài sản</t>
  </si>
  <si>
    <t>Tương trợ tư pháp</t>
  </si>
  <si>
    <t>Hệ thống nguồn (Phần mềm thống kê ngành Tư pháp)</t>
  </si>
  <si>
    <t>Quản lý giấy phép</t>
  </si>
  <si>
    <t>Báo cáo thống kê dữ liệu mở</t>
  </si>
  <si>
    <t>Tra cứu, báo cáo</t>
  </si>
  <si>
    <t>VII.5</t>
  </si>
  <si>
    <t>Dịch vụ cung cấp dữ liệu mở theo Quyết định số 1459/QĐ-BTP ngày 15 tháng 5 năm 2025 của Bộ trưởng Bộ Tư pháp (dịch vụ chủ động)</t>
  </si>
  <si>
    <t>Danh sách tổ chức thực hiện trợ giúp pháp lý</t>
  </si>
  <si>
    <t>Danh sách người thực hiện trợ giúp pháp lý</t>
  </si>
  <si>
    <t>Danh sách Báo cáo viên pháp luật trung ương</t>
  </si>
  <si>
    <t>Danh sách tổ chức hành nghề luật sư nước ngoài</t>
  </si>
  <si>
    <t>Danh sách luật sư nước ngoài</t>
  </si>
  <si>
    <t>Danh sách tổ chức hành nghề luật sư Việt Nam</t>
  </si>
  <si>
    <t>Danh sách luật sư Việt Nam</t>
  </si>
  <si>
    <t>Danh sách cá nhân giám định tư pháp</t>
  </si>
  <si>
    <t>Danh sách tổ chức giám định tư pháp</t>
  </si>
  <si>
    <t>Danh sách công chứng viên</t>
  </si>
  <si>
    <t>Danh sách tổ chức hành nghề công chứng</t>
  </si>
  <si>
    <t>Nhóm chức năng quản lý API cung cấp dữ liệu, đối soát dữ liệu cung cấp</t>
  </si>
  <si>
    <t>Quản lý danh mục API đối soát dữ liệu cung cấp</t>
  </si>
  <si>
    <t>Tạo mới, cập nhật, ngừng hoặc xóa API đối soát dữ liệu cung cấp cho các hệ thống khác.</t>
  </si>
  <si>
    <t>Quản lý phiên bản API</t>
  </si>
  <si>
    <t>Công khai dịch vụ dữ liệu</t>
  </si>
  <si>
    <t>Quản lý danh sách chức năng</t>
  </si>
  <si>
    <t>Theo dõi lịch sử thay đổi, quản lý phiên bản của tập dữ liệu.</t>
  </si>
  <si>
    <t>Dịch vụ cung cấp dữ liệu</t>
  </si>
  <si>
    <t>VII.5.1</t>
  </si>
  <si>
    <t>VII.5.2</t>
  </si>
  <si>
    <t>VII.5.2.1</t>
  </si>
  <si>
    <t>VII.5.2.1.1</t>
  </si>
  <si>
    <t>VII.5.2.1.2</t>
  </si>
  <si>
    <t>VII.5.2.2</t>
  </si>
  <si>
    <t>VII.5.2.2.1</t>
  </si>
  <si>
    <t>VII.5.2.3</t>
  </si>
  <si>
    <t>VII.5.2.3.1</t>
  </si>
  <si>
    <t>VII.5.2.4</t>
  </si>
  <si>
    <t>VII.5.2.4.1</t>
  </si>
  <si>
    <t>VII.5.2.4.2</t>
  </si>
  <si>
    <t>VII.5.2.4.3</t>
  </si>
  <si>
    <t>VII.5.2.5</t>
  </si>
  <si>
    <t>VII.5.2.5.1</t>
  </si>
  <si>
    <t>VII.5.3</t>
  </si>
  <si>
    <t>Cung cấp dữ liệu danh mục cho các hệ thống nội ngành</t>
  </si>
  <si>
    <t>Cung cấp dữ liệu danh mục</t>
  </si>
  <si>
    <t>Dữ liệu danh mục</t>
  </si>
  <si>
    <t>Quản lý người dùng</t>
  </si>
  <si>
    <t>Phân quyền dữ liệu cho nhóm người dùng</t>
  </si>
  <si>
    <t>Giám sát các phiên đăng nhập, đăng xuất, khóa phiên nếu cần.</t>
  </si>
  <si>
    <t>Quản lý vai trò</t>
  </si>
  <si>
    <t>1. Chọn người dùng cần gán.
2. Chọn nhóm hoặc các nhóm tương ứng.
Hệ thống kiểm tra trùng lặp và thông báo nếu người dùng đã thuộc nhóm.
Lưu cấu hình và cập nhật quyền theo nhóm.</t>
  </si>
  <si>
    <t>1. Thêm mới nhóm người dùng, nhập thông tin của nhóm người dùng
2. Chọn trạng thái nhóm
3. Cho phép chỉnh sửa nhóm người dùng
4. Cho phép xóa nhóm người dùng
Lưu thông tin và xác nhận tạo nhóm người dùng.</t>
  </si>
  <si>
    <t>1. Thêm mới người dùng, nhập thông tin của người dùng
2. Chọn trạng thái tài khoản (Active/Inactive).
3. Cho phép chỉnh sửa người dùng
4. Cho phép xóa người dùng
Lưu thông tin và xác nhận tạo người dùng.</t>
  </si>
  <si>
    <t>1.Chọn nhóm người dùng cần phân quyền.
2. Chọn danh sách chức năng hoặc module hệ thống được phép truy cập.
Lưu cấu hình. Hệ thống tự động áp dụng quyền cho tất cả thành viên nhóm.</t>
  </si>
  <si>
    <t>1. Chọn nhóm người dùng cần phân quyền dữ liệu.
2. Chọn phạm vi dữ liệu (bảng, bản ghi, trường dữ liệu).
3. Xác định loại quyền: đọc, ghi, cập nhật, xóa.
Lưu cấu hình, hệ thống áp dụng quyền cho tất cả thành viên nhóm</t>
  </si>
  <si>
    <t>1. Cho phép thêm chức năng mới
2. Cho phép chỉnh sửa chức năng
3. Cho phép xóa chức năng khi cần.
Lưu thay đổi.</t>
  </si>
  <si>
    <t>Thay đổi mật khẩu, reset mật khẩu, tích hợp xác thực định danh điện tử</t>
  </si>
  <si>
    <t>1. Khi có thay đổi cấu trúc hoặc nội dung danh mục tạo phiên bản mới
2. Cho phép ghi nhận ngày hiệu lực, người chỉnh sửa, mô tả thay đổi 
3. Lưu và chuyển phê duyệt</t>
  </si>
  <si>
    <t>1. Cho phép nhập thông tin mô tả: tên tập dữ liệu, mô tả, từ khóa, giấy phép, tần suất cập nhật, định dạng, nguồn.
2. Cho phép chỉnh sửa</t>
  </si>
  <si>
    <t>Cho phép duy trì nhiều phiên bản API khác nhau để phục vụ các ứng dụng hoặc cơ quan khác nhau.</t>
  </si>
  <si>
    <t>Cho phép người dùng hủy công bố dịch vụ dữ liệu. Hệ thống gửi thông báo tới các hệ thống đích, người dùng liên quan</t>
  </si>
  <si>
    <t>Cục Đăng ký giao dịch bảo đảm và BTNN</t>
  </si>
  <si>
    <t>Báo cáo viên pháp luật</t>
  </si>
  <si>
    <t>Hệ thống nguồn (CSDL phổ biến, giáo dục pháp luật và hoà giải cơ sở)</t>
  </si>
  <si>
    <t>Quản lý phương thức thu thập dữ liệu</t>
  </si>
  <si>
    <t>1. Quản trị hệ thống có thể thêm mới phương thức thu thập dữ liệu (qua API, qua file) đối với một Cơ sở dữ liệu của Bộ ban ngành. Hệ thống thực hiện và hiển thị thông báo thêm mới thành công
2. Quản trị hệ thống có thể cập nhật lại phương thức thu thập dữ liệu (qua API, qua file) đối với một Cơ sở dữ liệu của Bộ ban ngành. Hệ thống thực hiện và hiển thị thông báo cập nhật thành công
3. Quản trị hệ thống có thể xóa bỏ phương thức thu thập dữ liệu từ một Cơ sở dữ liệu của Bộ ban ngành. Hệ thống thực hiện và hiển thị thông báo xóa bỏ thành công
4. Quản trị hệ thống có thể xem thông tin chi tiết phương thức thu thập dữ liệu từ một Cơ sở dữ liệu của Bộ ban ngành. Hệ thống hiển thị thông tin chi tiết
5. Quản trị hệ thống có thể tra cứu phương thức thu thập dữ liệu đối với các Cơ sở dữ liệu theo Bộ ban ngành. Hệ thống thực hiện và hiển thị danh sách kết quả tra cứu
6. Quản trị hệ thống có thể kết xuất kết quả tra cứu phương thức thu thập dữ liệu đối với các Cơ sở dữ liệu theo Bộ ban ngành ra excel, csv... Hệ thống thực hiện kết xuất dữ liệu</t>
  </si>
  <si>
    <t>Quản lý Nhật ký thu thập dữ liệu</t>
  </si>
  <si>
    <t>1. Quản trị hệ thống tìm kiếm thông tin truy cập của người dùng theo các tiêu chí. Hệ thống trả về thông tin truy cập của người dùng theo các tiêu chí tìm kiếm
2. Quản trị hệ thống xem chi tiết lịch sử truy cập của người dùng. Hệ thống hiển thị chi tiết thông tin lịch sử truy cập của người dùng
3. Quản trị hệ thống tìm kiếm thông tin hoạt động của người dùng theo các tiêu chí. Hệ thống trả về thông tin hoạt động của người dùng theo các tiêu chí tìm kiếm
4. Quản trị hệ thống xem chi tiết lịch sử hoạt động của người dùng. Hệ thống hiển thị chi tiết thông tin lịch sử hoạt động của người dùng
5. Quản trị hệ thống có thể xem các thông tin khác của người dùng (địa chỉ IP, thiết bị sử dụng truy nhập, trình duyệt…). Hệ thống hiển thị chi tiết thông tin</t>
  </si>
  <si>
    <t>1. Quản trị hệ thống có thể xem thông tin thu thập dữ liệu theo phương thức thu thập dữ liệu dưới dạng biểu đồ. Hệ thống hiển thị biểu đồ thu thập dữ liệu theo phương thức thu thập
2. Quản trị hệ thống có thể xem thông tin thu thập dữ liệu theo nguồn cung cấp dữ liệu dưới dạng biểu đồ. Hệ thống hiển thị biểu đồ thu thập dữ liệu theo nguồn cung cấp dữ liệu
3. Quản trị hệ thống có thể xem thông tin thu thập dữ liệu theo kết quả thu thập dữ liệu dưới dạng biểu đồ. Hệ thống hiển thị biểu đồ thu thập dữ liệu theo kết quả thu thập
4. Quản trị hệ thống có thể xem thông tin thu thập dữ liệu theo thời gian dưới dạng biểu đồ. Hệ thống hiển thị biểu đồ thu thập dữ liệu theo thời gian</t>
  </si>
  <si>
    <t>Dashboard quản lý thu thập dữ liệu</t>
  </si>
  <si>
    <t>II.2.1</t>
  </si>
  <si>
    <t>II.2.1.1</t>
  </si>
  <si>
    <t>II.2.1.2</t>
  </si>
  <si>
    <t>II.2.2</t>
  </si>
  <si>
    <t>II.2.2.1</t>
  </si>
  <si>
    <t>II.2.3</t>
  </si>
  <si>
    <t>II.2.3.1</t>
  </si>
  <si>
    <t>II.2.4</t>
  </si>
  <si>
    <t>II.2.4.1</t>
  </si>
  <si>
    <t>II.2.4.2</t>
  </si>
  <si>
    <t>II.2.4.3</t>
  </si>
  <si>
    <t>II.2.5</t>
  </si>
  <si>
    <t>II.2.5.1</t>
  </si>
  <si>
    <t>II.2.6</t>
  </si>
  <si>
    <t>II.2.6.1</t>
  </si>
  <si>
    <t>Đối soát tổng hợp các danh mục từ Bộ ngành ngoài (qua Trung tâm dữ liệu Quốc gia)</t>
  </si>
  <si>
    <t>Thu thập số liệu thống kê từ Phần mềm thống kê ngành Tư pháp phục vụ chia sẻ dữ liệu mở  theo Quyết định số 1459/QĐ-BTP ngày 15 tháng 5 năm 2025 của Bộ trưởng Bộ Tư pháp</t>
  </si>
  <si>
    <t>Đối soát số liệu thống kê từ Phần mềm thống kê ngành Tư pháp phục vụ chia sẻ dữ liệu mở  theo Quyết định số 1459/QĐ-BTP ngày 15 tháng 5 năm 2025 của Bộ trưởng Bộ Tư pháp</t>
  </si>
  <si>
    <t>Đối soát tổng hợp với CSDL Hộ tịch điện tử</t>
  </si>
  <si>
    <t>Đối soát tổng hợp với Hệ thống quản lý hồ sơ quốc tịch</t>
  </si>
  <si>
    <t>Đối soát tổng hợp với Cơ sở dữ liệu thi hành án dân sự</t>
  </si>
  <si>
    <t>Đối soát tổng hợp với Cơ sở dữ liệu về biện pháp bảo đảm</t>
  </si>
  <si>
    <t>Đối soát tổng hợp với CSDL quốc gia về pháp luật</t>
  </si>
  <si>
    <t>Đối soát tổng hợp với Cơ sở dữ liệu tương trợ tư pháp về dân sự</t>
  </si>
  <si>
    <t>Đối soát tổng hợp với Hệ thống thông tin trợ giúp pháp lý</t>
  </si>
  <si>
    <t>Đối soát tổng hợp với CSDL quản lý đấu giá tài sản</t>
  </si>
  <si>
    <t>Đối soát tổng hợp với Phần mềm thống kê ngành Tư pháp</t>
  </si>
  <si>
    <t>II.2.4.4</t>
  </si>
  <si>
    <t>CSDL phổ biến, giáo dục pháp luật và hoà giải cơ sở</t>
  </si>
  <si>
    <t>QUY TRÌNH ĐỐI SOÁT DỮ LIỆU THU THẬP</t>
  </si>
  <si>
    <t>QUY TRÌNH ĐỐI SOÁT DỮ LIỆU CUNG CẤP</t>
  </si>
  <si>
    <t>Đối soát dữ liệu các nhóm dữ liệu chia sẻ</t>
  </si>
  <si>
    <t>Đối soát dữ liệu danh mục</t>
  </si>
  <si>
    <t>VIII.1</t>
  </si>
  <si>
    <t>Đối soát tổng hợp về dữ liệu Danh mục cung cấp cho các hệ thống khác</t>
  </si>
  <si>
    <t>VIII.2</t>
  </si>
  <si>
    <t>VIII.3</t>
  </si>
  <si>
    <t>VIII.4</t>
  </si>
  <si>
    <t>VIII.5</t>
  </si>
  <si>
    <t>VIII.6</t>
  </si>
  <si>
    <t>VIII.7</t>
  </si>
  <si>
    <t>VIII.8</t>
  </si>
  <si>
    <t>VIII.9</t>
  </si>
  <si>
    <t>VIII.10</t>
  </si>
  <si>
    <t>Đối soát về dữ liệu mở</t>
  </si>
  <si>
    <t>1. Quản trị hệ thống có thể thêm mới người dùng, nhập thông tin của người dùng. Hệ thống lưu thông tin về người dùng.
2. Quản trị hệ thống có thể chọn trạng thái tài khoản (Active/Inactive). Hệ thống ghi lại trạng thái tài khoản người dùng
3. Quản trị hệ thống có thể chỉnh sửa người dùng. Hệ thống cập nhật thông tin người dùng
4. Quản trị hệ thống có thể xóa người dùng. Hệ thống hỏi để xác nhận xóa người dùng.</t>
  </si>
  <si>
    <t>1. Quản trị hệ thống có thể thêm mới nhóm người dùng, nhập thông tin của nhóm người dùng. Hệ thống lưu thông tin về nhóm người dùng.
2. Quản trị hệ thống có thể chọn trạng thái nhóm. Hệ thống ghi lại trạng thái nhóm người dùng
3. Quản trị hệ thống có thể chỉnh sửa nhóm người dùng. Hệ thống cập nhật thông tin nhóm người dùng
4. Quản trị hệ thống có thể xóa nhóm người dùng. Hệ thống hỏi để xác nhận xóa nhóm người dùng.</t>
  </si>
  <si>
    <t>1. Quản trị hệ thống có thể chọn người dùng cần gán. Hệ thống hiển thị danh sách người dùng để chọn
2. Quản trị hệ thống có thể chọn nhóm hoặc các nhóm tương ứng. Hệ thống kiểm tra trùng lặp và thông báo nếu người dùng đã thuộc nhóm. Lưu cấu hình và cập nhật quyền theo nhóm.</t>
  </si>
  <si>
    <t>1.Quản trị hệ thống có thể chọn nhóm người dùng cần phân quyền. Hệ thống hiển thị danh sách nhóm người dùng để chọn.
2. Quản trị hệ thống có thể chọn danh sách chức năng hoặc module hệ thống được phép truy cập và Lưu cấu hình. Hệ thống tự động áp dụng quyền cho tất cả thành viên nhóm.</t>
  </si>
  <si>
    <t>1.Quản trị hệ thống có thể chọn nhóm người dùng cần phân quyền dữ liệu. Hệ thống hiển thị danh sách nhóm người dùng để chọn
2. Quản trị hệ thống có thể chọn phạm vi dữ liệu (bảng, bản ghi, trường dữ liệu). Hệ thống hiển thị thông tin về phạm vi dữ liệu
3. Quản trị hệ thống có thể xác định loại quyền: đọc, ghi, cập nhật, xóa và Lưu cấu hình. Hệ thống áp dụng quyền cho tất cả thành viên nhóm</t>
  </si>
  <si>
    <t>1. Quản trị hệ thống có thể thêm chức năng mới. Hệ thống lưu thông tin về chức năng thêm mới.
2. Quản trị hệ thống có thể chỉnh sửa chức năng. Hệ thống lưu thông tin cập nhật về chức năng.
3. Quản trị hệ thống có thể xóa chức năng khi cần. Hệ thống hỏi để xác nhận xóa chức năng.</t>
  </si>
  <si>
    <t>1. Quản trị hệ thống Mở yêu cầu phê duyệt cấu trúc danh mục. Hệ thống Hiển thị chi tiết trường dữ liệu, kiểu, ràng buộc
2. Quản trị hệ thống Kiểm tra thông tin từng trường. Hệ thống Xác minh tính hợp lệ và sự tồn tại của khóa chính/ngoại
3. Quản trị hệ thống Đồng ý hoặc từ chối phê duyệt. Hệ thống Cập nhật trạng thái “Đã phê duyệt cấu trúc” hoặc “Bị từ chối”, lưu ghi chú</t>
  </si>
  <si>
    <t>1. Quản trị hệ thống Mở yêu cầu cập nhật phiên bản. Hệ thống Hiển thị thông tin thay đổi so với phiên bản trước
2. Quản trị hệ thống Đánh giá tác động đến các bảng tham chiếu. Hệ thống Xác định ảnh hưởng trong hệ thống
3. Quản trị hệ thống Đồng ý hoặc từ chối phê duyệt. Hệ thống Kích hoạt phiên bản mới nếu đồng ý, cập nhật lịch sử phê duyệt</t>
  </si>
  <si>
    <t>1. Quản trị hệ thống Chọn danh mục cần hết hiệu lực. Hệ thống Hiển thị chi tiết trạng thái và lịch sử sử dụng
2. Quản trị hệ thống Nhập lý do và thời điểm hết hiệu lực. Hệ thống Kiểm tra dữ liệu bắt buộc
3. Quản trị hệ thống Gửi yêu cầu hết hiệu lực. Hệ thống Cập nhật trạng thái “Chờ phê duyệt hết hiệu lực”</t>
  </si>
  <si>
    <t>1. Quản trị hệ thống đánh giá các danh mục hết hiệu lực. Hệ thống hiển thị danh mục và trạng thái sử dụng hiện tại
2. Quản trị hệ thống Kiểm tra các bảng, dữ liệu đang tham chiếu. Hệ thống thực hiện truy vấn kiểm tra ràng buộc khóa ngoại
3. Quản trị hệ thống Đồng ý phê duyệt nếu không còn ràng buộc. Hệ thống cập nhật trạng thái “Hết hiệu lực”, ngừng cho phép tham chiếu.
4. Quản trị hệ thống Từ chối phê duyệt nếu danh mục chưa hết hiệu lực. Hệ thống giữ nguyên trạng thái, ghi chú lý do từ chối</t>
  </si>
  <si>
    <t>1. Quản trị hệ thống tìm danh mục đã tạo. Hệ thống hiển thị thông tin danh mục được chọn
2. Quản trị hệ thống có thể định nghĩa các trường dữ liệu. Hệ thống kiểm tra trùng tên, ghi nhận danh sách trường
3. Quản trị hệ thống xác định kiểu dữ liệu, độ dài, giá trị mặc định. Hệ thống Kiểm tra định dạng kiểu dữ liệu
4. Quản trị hệ thống xác định khóa chính, khóa ngoại (nếu có). Hệ thống Kiểm tra ràng buộc giữa các trường
5. Quản trị hệ thống có thể cập nhật các trường dữ liệu. Hệ thống kiểm tra trùng tên, cho phép cập nhật danh sách trường dữ liệu
6. Quản trị hệ thống có thể cập nhật kiểu dữ liệu, độ dài, giá trị mặc định của từng trường dữ liệu. Hệ thống lưu lại thông tin thay đổi.
7. Quản trị hệ thống có thể cập nhật khóa chính, khóa ngoại. Hệ thống kiểm tra ràng buộc và lưu lại thông tin thay đổi.
8. Quản trị hệ thống lưu cấu trúc. Hệ thống ghi nhận cấu trúc tạm, lưu bản nháp cấu hình
9. Quản trị hệ thống Gửi duyệt cấu trúc danh mục. Hệ thống Cập nhật trạng thái Chờ phê duyệt cấu trúc</t>
  </si>
  <si>
    <t>Chọn hai hoặc nhiều danh mục cần liên kết
Xác định loại quan hệ
Gán trường khóa liên kết
Kiểm tra ràng buộc tham chiếu 
Lưu cấu hình quan hệ.</t>
  </si>
  <si>
    <t>1. Quản trị hệ thống có thể tìm kiếm các danh mục để tạo liên kết. Hệ thống hiển thị danh sách danh mục để chọn.
2. Quản trị hệ thống chọn hai hoặc nhiều danh mục cần liên kết. Hệ thống hiển thị danh sách các trường có thể liên kết
3. Quản trị hệ thống chọn thêm hoặc loại bỏ danh mục liên kết. Hệ thống hiển thị danh sách các trường đã được liên kết trước đó
4. Quản trị hệ thống có thể chọn các trường để tạo liên kết. Hệ thống xác nhận mối liên hệ giữa các danh mục
5. Quản trị hệ thống có thể thay đổi các trường đã tạo liên kết. Hệ thống ghi lại mối quan hệ được thiết lập mới
6. Quản trị hệ thống xác định loại quan hệ. Hệ thống ghi nhận kiểu quan hệ được chọn
7. Quản trị hệ thống có thể thay đổi mối quan hệ. Hệ thống ghi lại kiểu quan hệ được thiết lập mới
8. Quản trị hệ thống gán trường khóa liên kết. Hệ thống kiểm tra tồn tại khóa, kiểu dữ liệu tương thích
9. Quản trị hệ thống kiểm tra ràng buộc tham chiếu. Hệ thống xác nhận quan hệ không tạo vòng lặp hoặc xung đột
10. Quản trị hệ thống lưu cấu hình quan hệ. Hệ thống lưu quan hệ giữa các danh mục và ghi nhật ký thao tác</t>
  </si>
  <si>
    <t>1. Quản trị hệ thống chọn danh mục cần cập nhật. Hệ thống hiển thị thông tin phiên bản hiện tại
2. Quản trị hệ thống tạo phiên bản mới khi thay đổi cấu trúc/nội dung. Hệ thống so sánh và tạo bản ghi phiên bản mới
3. Quản trị hệ thống ghi nhận ngày hiệu lực, người chỉnh sửa, mô tả thay đổi. Hệ thống lưu thông tin mô tả và lịch sử thay đổi
4. Quản trị hệ thống lưu và gửi phê duyệt. Hệ thống cập nhật trạng thái phiên bản “Chờ phê duyệt”</t>
  </si>
  <si>
    <t>1. Quản trị hệ thống mở danh sách yêu cầu phê duyệt. Hệ thống hiển thị danh sách danh mục chờ phê duyệt
2. Quản trị hệ thống kiểm tra tên, mô tả, tránh trùng lặp. Hệ thống xác minh dữ liệu hợp lệ
3. Quản trị hệ thống đồng ý phê duyệt hoặc từ chối. Hệ thống cập nhật trạng thái “Đã phê duyệt” hoặc “Từ chối”, ghi chú lý do</t>
  </si>
  <si>
    <t>1. Tạo vai trò mới: tên, mô tả, danh sách quyền chức năng/quyền dữ liệu.
2. Cho phép chỉnh sửa vai trò
3. Cho phép xóa vai trò
4. Gán vai trò cho người dùng/ nhóm người dùng.
Lưu và xác nhận.</t>
  </si>
  <si>
    <t>1. Quản trị hệ thống truy cập chức năng “Phê duyệt danh mục cập nhật”. Hệ thống hiển thị danh sách danh mục có thay đổi đang chờ phê duyệt.
2. Quản trị hệ thống xem chi tiết thay đổi: giá trị thêm, sửa, ngừng hiệu lực. Hệ thống hiển thị log chỉnh sửa, người tạo, thời gian cập nhật.
3. Quản trị hệ thống chọn phê duyệt hoặc từ chối phê duyệt (ghi chú lý do nếu từ chối). Hệ thống cập nhật trạng thái danh mục (“đã phê duyệt cập nhật” hoặc “từ chối”).</t>
  </si>
  <si>
    <t>1. Quản trị hệ thống chọn chức năng “Biên tập danh mục”. Hệ thống hiển thị danh sách danh mục đã được phê duyệt và còn hiệu lực.
2. Quản trị hệ thống chọn danh mục cần chỉnh sửa hoặc thêm giá trị mới. Hệ thống hiển thị cấu trúc và danh sách giá trị hiện tại của danh mục.
3. Quản trị hệ thống thực hiện một trong các thao tác: thêm mới, sửa giá trị, ngừng hiệu lực giá trị. Hệ thống kiểm tra tính hợp lệ (không trùng mã, không vi phạm ràng buộc khóa ngoại).
4. Quản trị hệ thống gửi yêu cầu phê duyệt cập nhật danh mục.
Hệ thống ghi nhận thay đổi ở trạng thái “chờ phê duyệt” và lưu lịch sử chỉnh sửa.</t>
  </si>
  <si>
    <t>1. Quản trị hệ thống mở chức năng “Quản lý phiên bản danh mục”. Hệ thống hiển thị danh sách tất cả danh mục và các phiên bản tương ứng.
2. Quản trị hệ thống chọn danh mục cần tạo phiên bản mới khi có thay đổi. Hệ thống gợi ý tạo bản sao cấu trúc và nội dung hiện tại sang phiên bản mới.
3. Quản trị hệ thống nhập thông tin: tên phiên bản, ngày hiệu lực, mô tả thay đổi. Hệ thống lưu phiên bản mới, ghi log thay đổi.
4. Quản trị hệ thống có thể khóa hoặc mở lại phiên bản cũ để tham chiếu. Hệ thống quản lý đồng thời nhiều version, cho phép tra cứu và tải về phiên bản trước.</t>
  </si>
  <si>
    <t>1. Lãnh đạo bộ phận quản trị mở chức năng “Công khai danh mục”. Hệ thống hiển thị danh sách danh mục đã phê duyệt và sẵn sàng công khai.
2. Lãnh đạo bộ phận quản trị chọn danh mục cần công khai, xác định phạm vi chia sẻ (nội bộ, mở rộng, toàn dân). Hệ thống kiểm tra trạng thái phê duyệt, phiên bản hiện hành và quyền chia sẻ.
3. Lãnh đạo bộ phận quản trị nhấn “Công bố danh mục” và xác nhận. Hệ thống cho phép đăng tải danh mục lên cổng dữ liệu mở"</t>
  </si>
  <si>
    <t>1. Lãnh đạo bộ phận quản trị truy cập chức năng “Hủy công khai danh mục”. Hệ thống hiển thị danh sách danh mục đang công khai.
2. Lãnh đạo bộ phận quản trị chọn danh mục cần hủy công khai, ghi rõ lý do. Hệ thống kiểm tra xem danh mục có đang được hệ thống khác khai thác hay không.
3. Lãnh đạo bộ phận quản trị xác nhận hủy công khai. Hệ thống cập nhật trạng thái “ngừng công khai”, ghi log thời điểm và người thực hiện.</t>
  </si>
  <si>
    <t>1. Quản trị hệ thống mở chức năng “Tìm kiếm danh mục”. Hệ thống hiển thị giao diện tìm kiếm cơ bản gồm các trường: mã danh mục, tên danh mục, thuộc tính.
2. Quản trị hệ thống nhập từ khóa tìm kiếm. Hệ thống thực hiện truy vấn, hiển thị danh sách kết quả phù hợp.
3. Quản trị hệ thống chọn bản ghi để xem chi tiết.Hệ thống hiển thị thông tin chi tiết danh mục được chọn.</t>
  </si>
  <si>
    <t>1. Quản trị hệ thống mở chức năng “Tìm kiếm nâng cao”. Hệ thống hiển thị giao diện chứa các trường thông tin của danh mục.
2. Quản trị hệ thống cho phép chọn nhiều tiêu chí lọc, sắp xếp kết quả theo trường mong muốn. Hệ thống thực hiện truy vấn theo điều kiện phức hợp, hiển thị danh sách kết quả.</t>
  </si>
  <si>
    <t>1. Quản trị hệ thống sau khi thực hiện tìm kiếm, chọn “Xuất dữ liệu”. Hệ thống hiển thị tùy chọn định dạng xuất (excel, csv, pdf).
2. Quản trị hệ thống chọn định dạng excel và nhấn “Tải về”. Hệ thống tạo tệp dữ liệu theo định dạng, cho phép tải xuống.
3. Quản trị hệ thống chọn định dạng csv và nhấn “Tải về”. Hệ thống tạo tệp dữ liệu theo định dạng, cho phép tải xuống.
4. Quản trị hệ thống chọn định dạng pdfl và nhấn “Tải về”. Hệ thống tạo tệp dữ liệu theo định dạng, cho phép tải xuống.</t>
  </si>
  <si>
    <t>1. Quản trị hệ thống mở chức năng “Báo cáo tình trạng khai thác danh mục”. Hệ thống truy vấn log truy cập của các hệ thống đích.
2. Quản trị hệ thống lọc theo danh mục, thời gian, hệ thống sử dụng.
Hệ thống hiển thị biểu đồ, số lượt truy cập, lượt gọi api, tình trạng khai thác.
3. Quản trị hệ thống xuất báo cáo. Hệ thống cho phép chọn định dạng xuất báo cáo (excel, csv, pdf).
4. Quản trị hệ thống chọn định dạng excel và nhấn “Tải về”. Hệ thống tạo tệp dữ liệu theo định dạng, cho phép tải xuống.
5. Quản trị hệ thống chọn định dạng csv và nhấn “Tải về”. Hệ thống tạo tệp dữ liệu theo định dạng, cho phép tải xuống.
6. Quản trị hệ thống chọn định dạng pdfl và nhấn “Tải về”. Hệ thống tạo tệp dữ liệu theo định dạng, cho phép tải xuống.</t>
  </si>
  <si>
    <t>1. Quản trị hệ thống chọn chức năng “Báo cáo thống kê danh mục”.
Hệ thống hiển thị bộ lọc theo loại danh mục, đơn vị quản lý, thời gian tạo.
2. Quản trị hệ thống chọn điều kiện lọc và yêu cầu thống kê.
Hệ thống tổng hợp dữ liệu từ kho danh mục, hiển thị bảng thống kê hoặc biểu đồ. 
3.Quản trị hệ thống có thể xuất báo cáo.. Hệ thống cho phép chọn định dạng xuất báo cáo (excel, csv, pdf).
4. Quản trị hệ thống chọn định dạng excel và nhấn “Tải về”. Hệ thống tạo tệp dữ liệu theo định dạng, cho phép tải xuống.
5. Quản trị hệ thống chọn định dạng csv và nhấn “Tải về”. Hệ thống tạo tệp dữ liệu theo định dạng, cho phép tải xuống.
6. Quản trị hệ thống chọn định dạng pdfl và nhấn “Tải về”. Hệ thống tạo tệp dữ liệu theo định dạng, cho phép tải xuống.</t>
  </si>
  <si>
    <t>1. Quản trị hệ thống chọn chức năng “Báo cáo trạng thái danh mục”. Hệ thống truy xuất danh mục theo trạng thái (hiệu lực, chờ duyệt, hết hiệu lực...).
2. Quản trị hệ thống xem biểu đồ hoặc bảng trạng thái. Hệ thống hiển thị chi tiết thời gian chuyển trạng thái, người duyệt, lý do.</t>
  </si>
  <si>
    <t>1. Quản trị hệ thống chọn chức năng “Báo cáo phiên bản danh mục”. Hệ thống hiển thị danh sách danh mục và các version tương ứng.
2. Quản trị hệ thống chọn danh mục để xem lịch sử phiên bản. Hệ thống hiển thị chi tiết: phiên bản, ngày hiệu lực, người cập nhật, nội dung thay đổi.
3. Quản trị hệ thống xuất báo cáo tổng hợp phiên bản hoặc so sánh giữa các phiên bản. Hệ thống hiển thị dữ liệu so sánh</t>
  </si>
  <si>
    <t>1. Quản trị hệ thống có thể tạo mới danh mục. Hệ thống cho phép nhập tên, mô tả, loại dữ liệu, đơn vị quản lý.... Hệ thống kiểm tra định dạng và tính hợp lệ dữ liệu nhập
2. Quản trị hệ thống có thể sửa danh mục. Hệ thống cho phép cập nhật tên, mô tả, loại dữ liệu, đơn vị quản lý. Hệ thống kiểm tra định dạng và tính hợp lệ dữ liệu nhập.
3. Quản trị hệ thống có thể xóa danh mục. Hệ thống hỏi xác nhận và cho phép xóa nếu dữ liệu danh mục chưa có ràng buộc.
4. Quản trị hệ thống có thể tìm kiếm danh mục trong các danh mục đã tạo. Hệ thống hiển thị thông tin về danh mục.
5. Quản trị hệ thống Gửi yêu cầu phê duyệt. Hệ thống gửi thông báo đến lãnh đạo bộ phận quản trị phê duyệt</t>
  </si>
  <si>
    <t>1. Quản trị hệ thống có thể tạo mới danh mục dữ liệu mở. Hệ thống cho phép nhập thông tin mô tả về dữ liệu mở. Hệ thống kiểm tra định dạng và tính hợp lệ dữ liệu nhập
2. Quản trị hệ thống có thể sửa danh mục dữ liệu mở. Hệ thống cho phép cập nhật mô tả về dữ liệu mở. Hệ thống kiểm tra định dạng và tính hợp lệ dữ liệu nhập.
3. Quản trị hệ thống có thể xóa danh mục dữ liệu mở. Hệ thống hỏi xác nhận và cho phép xóa nếu dữ liệu danh mục dữ liệu mở chưa có ràng buộc.
4. Quản trị hệ thống có thể tìm kiếm danh mục dữ liệu mở đã tạo. Hệ thống hiển thị thông tin về danh mục tìm thấy.
5. Quản trị hệ thống Gửi yêu cầu phê duyệt. Hệ thống gửi thông báo đến lãnh đạo bộ phận quản trị phê duyệt</t>
  </si>
  <si>
    <t>Quản lý metadata (siêu dữ liệu) về dữ liệu mở</t>
  </si>
  <si>
    <t>1. Quản trị hệ thống chọn chức năng “Quản lý Metadata”. Hệ thống hiển thị danh sách các tập dữ liệu mở cùng trạng thái metadata.
2. Quản trị hệ thống chọn “Thêm mới”. Hệ thống cho phép tạo metadata của loại dữ liệu mở
3. Quản trị hệ thống có thể chọn và gắn thông tin tập dữ liệu, mô tả, từ khóa, giấy phép, định dạng, nguồn dữ liệu, tần suất cập nhật. Hệ thống lưu lại thông tin
4. Quản trị hệ thống chọn “Chỉnh sửa" Metadata. Hệ thống cho phép chỉnh sửa dữ liệu metadata của dữ liệu mở</t>
  </si>
  <si>
    <t>1. Quản trị hệ thống truy cập chức năng “Quản lý giấy phép dữ liệu mở”. Hệ thống hiển thị danh sách giấy phép chuẩn.
2. Quản trị hệ thống chọn “Thêm mới giấy phép” . Hệ thống hiển thị biểu mẫu nhập thông tin: tên giấy phép, mô tả, điều kiện sử dụng, liên kết nguồn tham chiếu.
3. Quản trị hệ thống nhập dữ liệu và xác nhận lưu. Hệ thống kiểm tra định dạng, tránh trùng lặp, lưu giấy phép mới vào danh mục chuẩn dùng chung.
4. Quản trị hệ thống chọn “Chỉnh sửa giấy phép”. Hệ thống cho phép sửa thông tin: tên giấy phép, mô tả, điều kiện sử dụng, liên kết nguồn tham chiếu.
5. Quản trị hệ thống có thể gán nhãn giấy phép cho các tập dữ liệu mở. Hệ thống tự động liên kết giấy phép với metadata của dataset tương ứng.</t>
  </si>
  <si>
    <t>1. Cán bộ nghiệp vụ đăng nhập và truy cập chức năng “Gửi yêu cầu công bố dữ liệu mở”. Hệ thống hiển thị biểu mẫu khai báo thông tin tập dữ liệu cần công bố.
2. Cán bộ nghiệp vụ tải lên tệp dữ liệu và nhập thông tin mô tả, từ khóa, giấy phép, cơ quan công bố. Hệ thống kiểm tra định dạng dữ liệu, đối chiếu metadata chuẩn và xác nhận đã nhận dữ liệu.
3. Cán bộ nghiệp vụ nhận thông báo “Yêu cầu công bố đã được ghi nhận”. Hệ thống lưu dữ liệu và tạo yêu cầu phê duyệt.</t>
  </si>
  <si>
    <t>1. Quản trị hệ thống truy cập chức năng “Quản lý phiên bản dữ liệu mở”. Hệ thống hiển thị danh sách tập dữ liệu cùng thông tin các phiên bản (số phiên bản, ngày cập nhật, người cập nhật).
2. Quản trị hệ thống chọn một tập dữ liệu cụ thể để xem chi tiết lịch sử thay đổi. Hệ thống hiển thị danh sách các phiên bản cũ và cho phép tải về hoặc khôi phục phiên bản trước đó.
3. Quản trị hệ thống có thể chọn phiên bản cũ và tải về. Hệ thống cho phép tải về
4. Quản trị hệ thống có thể chọn một phiên bản cũ và khôi phục. Hệ thống cho phép khôi phục về phiên bản dữ liệu mở trước
5. Quản trị hệ thống có thể tạo phiên bản mới khi cập nhật tập dữ liệu. Hệ thống tự động gán số hiệu phiên bản, lưu lịch sử, và hiển thị thông tin thay đổi.</t>
  </si>
  <si>
    <t>1. Lãnh đạo nghiệp vụ đăng nhập và truy cập chức năng “Phê duyệt dữ liệu mở”. Hệ thống hiển thị danh sách yêu cầu công bố đang chờ duyệt, gồm: tên tập dữ liệu, người gửi, mô tả, trạng thái, giấy phép, file đính kèm.
2. Lãnh đạo nghiệp vụ xem chi tiết từng tập dữ liệu. Hệ thống hiển thị nội dung metadata, dung lượng, nguồn dữ liệu, và bản xem trước dữ liệu.
3. Lãnh đạo nghiệp vụ kiểm tra tính đầy đủ, tính chính xác, độ phù hợp với quy định công bố dữ liệu mở.
4. Lãnh đạo nghiệp vụ chọn “Phê duyệt” hoặc “Từ chối”. Hệ thống ghi nhận quyết định, cập nhật trạng thái dữ liệu (đã phê duyệt / từ chối), đồng thời gửi thông báo kết quả đến người gửi yêu cầu.</t>
  </si>
  <si>
    <t>1. Cán bộ nghiệp vụ mở chức năng “Thiết lập lịch công bố tự động”. Hệ thống hiển thị danh sách tập dữ liệu đã được phê duyệt
2. Cán bộ nghiệp vụ chọn dataset cần tự động cập nhật. Hệ thống ghi nhận thông tin 
3. Cán bộ nghiệp vụ nhập tần suất cập nhật, thời gian bắt đầu. Hệ thống lưu cấu hình lịch trình.
4. Cán bộ nghiệp vụ chọn nguồn dữ liệu cần lấy. Hệ thống thiết lập tác vụ định kỳ để tải dữ liệu từ nguồn, cập nhật metadata, và công bố tự động lên Cổng dữ liệu mở.</t>
  </si>
  <si>
    <t>1. Quản trị hệ thống truy cập chức năng “Tìm kiếm dữ liệu mở”. Hệ thống hiển thị giao diện tìm kiếm với các tiêu chí: chủ đề, cơ quan, từ khóa, định dạng, giấy phép.
2. Quản trị hệ thống nhập điều kiện tìm kiếm và nhấn “Tìm kiếm”. Hệ thống truy vấn dữ liệu từ danh mục dữ liệu mở và metadata tương ứng.
3. Quản trị hệ thống có thể lọc, sắp xếp dữ liệu hiển thị. Hệ thống hiển thị danh sách kết quả, kèm thông tin: tên, mô tả, chủ đề, định dạng, trạng thái công bố.
4. Quản trị hệ thống chọn xuất kết quả ra file excel. Hệ thống hỗ trợ xuất dữ liệu theo yêu cầu
5. Quản trị hệ thống chọn xuất kết quả ra file pdf. Hệ thống hỗ trợ xuất dữ liệu theo yêu cầu</t>
  </si>
  <si>
    <t>1. Quản trị hệ thống chọn chức năng “Báo cáo phân loại dữ liệu mở”. Hệ thống hiển thị các tùy chọn thống kê: theo nguồn cung cấp, theo chủ đề, theo định dạng dữ liệu. 
2. Quản trị hệ thống chọn tiêu chí và yêu cầu hệ thống xử lý. Hệ thống tổng hợp dữ liệu, tính toán tỷ lệ và hiển thị kết quả theo dạng bảng và biểu đồ.
3. Quản trị hệ thống chọn xuất kết quả thống kê ra các định dạng excel. Hệ thống hỗ trợ xuất dữ liệu theo yêu cầu
4. Quản trị hệ thống chọn xuất kết quả thống kê ra file pdf. Hệ thống hỗ trợ xuất dữ liệu theo yêu cầu</t>
  </si>
  <si>
    <t>1. Quản trị hệ thống truy cập mục “Báo cáo thống kê dữ liệu mở”. Hệ thống hiển thị các tiêu chí lọc: theo cơ quan công bố, chủ đề, giấy phép, thời gian công bố.
2. Quản trị hệ thống chọn điều kiện báo cáo và nhấn “Tạo báo cáo”. Hệ thống tổng hợp dữ liệu, hiển thị biểu đồ thống kê số lượng dataset theo từng nhóm.
3. Quản trị hệ thống chọn xuất báo cáo ra các định dạng excel. Hệ thống hỗ trợ xuất dữ liệu theo yêu cầu
5. Quản trị hệ thống chọn xuất báo cáo ra file pdf. Hệ thống hỗ trợ xuất dữ liệu theo yêu cầu</t>
  </si>
  <si>
    <t>1. Quản trị hệ thống truy cập mục “Thống kê lượt truy cập và tải dữ liệu”. Hệ thống hiển thị giao diện chọn khoảng thời gian, loại người dùng, nguồn truy cập, loại dữ liệu tải về.
2. Quản trị hệ thống chọn tiêu chí và yêu cầu tạo báo cáo. Hệ thống tổng hợp dữ liệu nhật ký truy cập, thống kê lượt xem, lượt tải, người dùng hoạt động.
3. Quản trị hệ thống xuất báo cáo hoặc thiết lập cảnh báo khi vượt ngưỡng truy cập bất thường. Hệ thống hiển thị biểu đồ phân tích (theo thời gian, theo loại dữ liệu, theo người dùng).</t>
  </si>
  <si>
    <t>1. Quản trị hệ thống truy cập chức năng thiết lập dữ liệu chủ. Hệ thống hiển thị danh sách thực thể hiện có (Tổ chức, Cá nhân, Văn bản…).
2. Quản trị hệ thống chọn “Thêm mới thực thể dữ liệu chủ”. Hệ thống hiển thị form nhập thông tin chi tiết.
3. Quản trị hệ thống nhập tên, mô tả, nhóm dữ liệu và lưu. Hệ thống kiểm tra trùng lặp, lưu thông tin và cập nhật danh sách thực thể.</t>
  </si>
  <si>
    <t>1. Quản trị hệ thống mở giao diện quản lý thuộc tính của thực thể dữ liệu chủ. Hệ thống hiển thị danh sách các trường dữ liệu hiện có.
2. Quản trị hệ thống chọn “Thêm thuộc tính”. Hệ thống hiển thị form nhập tên trường, kiểu dữ liệu, độ dài, ràng buộc.
3. Quản trị hệ thống nhập thông tin và lưu. Hệ thống kiểm tra hợp lệ và cập nhật cấu trúc dữ liệu chủ.
4. Quản trị hệ thống có thể sửa hoặc xóa thuộc tính. Hệ thống ghi nhận thay đổi và lưu phiên bản mới.</t>
  </si>
  <si>
    <t>Quy tắc định danh duy nhất</t>
  </si>
  <si>
    <t>1. Quản trị hệ thống chọn chức năng “Thiết lập quy tắc hợp nhất”. Hệ thống hiển thị danh sách quy tắc đã thiết lập.
2. Quản trị hệ thống chọn “Thêm mới”. Hệ thống hiển thị form định nghĩa quy tắc hợp nhất (theo nguồn, độ ưu tiên, trọng số).
3. Quản trị hệ thống khai báo quy tắc so khớp, trích rút và hợp nhất dữ liệu từ nhiều nguồn. Hệ thống lưu quy tắc và cho phép kiểm thử hợp nhất thử.
Hệ thống tự động áp dụng quy tắc này trong quá trình đồng bộ dữ liệu chủ sau khi lưu.</t>
  </si>
  <si>
    <t>1. Quản trị hệ thống chọn chức năng “Thiết lập quan hệ thực thể”. Hệ thống hiển thị danh sách thực thể có sẵn.
2. Quản trị hệ thống có thể chọn 2 thực thể cần liên kết. Hệ thống cho phép định nghĩa loại quan hệ (1–n, n–n).
3. Quản trị hệ thống nhập điều kiện liên kết (khóa ngoại, bảng liên kết). Hệ thống lưu cấu hình và cập nhật sơ đồ quan hệ dữ liệu chủ.</t>
  </si>
  <si>
    <t>1. Quản trị hệ thống chọn mục “Thiết lập quy tắc định danh duy nhất”. Hệ thống hiển thị danh sách các thực thể áp dụng định danh.
2. Quản trị hệ thống chọn thực thể và định nghĩa cấu trúc mã định danh (prefix, định dạng, số tự tăng). Hệ thống tạo mẫu mã và kiểm tra trùng lặp.
3. Quản trị hệ thống chọn Lưu. Hệ thống tự động gán mã định danh toàn cục cho từng bản ghi dữ liệu chủ mới được tạo.</t>
  </si>
  <si>
    <t>1. Lãnh đạo nghiệp vụ đăng nhập và mở danh sách dữ liệu chủ chờ phê duyệt. Hệ thống hiển thị thông tin chi tiết từng loại dữ liệu.
2. Lãnh đạo nghiệp vụ xem xét loại dữ liệu, cấu trúc, quy tắc hợp nhất, định danh. Hệ thống hỗ trợ hiển thị trạng thái và lịch sử cập nhật.
3. Lãnh đạo nghiệp vụ chọn “Phê duyệt”. Hệ thống ghi nhận quyết định, cập nhật trạng thái dữ liệu chủ và gửi thông báo đến người quản trị.
4. Lãnh đạo nghiệp vụ chọn “Từ chối” và nhập lý do. Hệ thống ghi nhận, cập nhật trạng thái dữ liệu chủ và gửi thông báo đến người quản trị.</t>
  </si>
  <si>
    <t>1. Cán bộ nghiệp vụ chọn danh sách bản ghi dữ liệu chủ cần rà soát. Hệ thống hiển thị danh sách dữ liệu với trạng thái, thông tin cơ bản.
2. Cán bộ nghiệp vụ kiểm tra dữ liệu trùng lặp hoặc dữ liệu mới nhập. Hệ thống tự động gợi ý các bản ghi trùng lặp, cảnh báo dữ liệu chưa đầy đủ.
3. Cán bộ nghiệp vụ chỉnh sửa hoặc bổ sung thông tin (nếu cần). Hệ thống lưu thay đổi tạm thời, đánh dấu bản ghi là "đang rà soát".
4. Cán bộ nghiệp vụ gửi bản ghi đi phê duyệt. Hệ thống cập nhật trạng thái "chờ phê duyệt", thông báo tới lãnh đạo nghiệp vụ.</t>
  </si>
  <si>
    <t>1. Lãnh đạo nghiệp vụ xem danh sách bản ghi chờ phê duyệt. Hệ thống lọc và hiển thị các bản ghi đang ở trạng thái "chờ phê duyệt".
2. Lãnh đạo nghiệp vụ kiểm tra chi tiết dữ liệu, so sánh với bản ghi gốc hoặc dữ liệu liên quan. Hệ thống cung cấp lịch sử chỉnh sửa, thông tin liên quan, cảnh báo nếu có lỗi.
3. Lãnh đạo nghiệp vụ thực hiện phê duyệt. Hệ thống cập nhật trạng thái bản ghi, lưu lịch sử phê duyệt, gửi thông báo cho cán bộ nghiệp vụ.
4. Lãnh đạo nghiệp vụ thực hiện từ chối phê duyệt, nhập lý do. Hệ thống cập nhật trạng thái bản ghi, lưu lịch sử phê duyệt, gửi thông báo cho cán bộ nghiệp vụ.</t>
  </si>
  <si>
    <t>1. Lãnh đạo nghiệp vụ chọn bản ghi đã phê duyệt cần hủy. Hệ thống hiển thị chi tiết bản ghi, trạng thái phê duyệt.
2. Lãnh đạo nghiệp vụ thực hiện thao tác "Hủy phê duyệt". Hệ thống cập nhật trạng thái về "chưa phê duyệt", ghi lại log thao tác. Hệ thống thông báo cho cán bộ nghiệp vụ về việc hủy phê duyệt.</t>
  </si>
  <si>
    <t>1. Lãnh đạo nghiệp vụ chọn bản ghi cần xem lịch sử thay đổi. Hệ thống hiển thị toàn bộ thay đổi theo thời gian.
2. Lãnh đạo nghiệp vụ so sánh các phiên bản để đánh giá sự thay đổi. Hệ thống cho phép xem thông tin khác nhau giữa các phiên bản.
3. Lãnh đạo nghiệp vụ có thể xuất báo cáo lịch sử thay đổi. Hệ thống tạo file báo cáo hoặc hiển thị trực tiếp trên màn hình.</t>
  </si>
  <si>
    <t>1. Cán bộ nghiệp vụ chọn bản ghi cần xóa. Hệ thống hiển thị cảnh báo trước khi xóa.
2. Cán bộ nghiệp vụ thực hiện thao tác xóa mềm. Hệ thống đánh dấu trạng thái "đã xóa", dữ liệu vật lý vẫn tồn tại, lưu log thao tác.
3. Cán bộ nghiệp vụ có thể khôi phục lại bản ghi. Hệ thống thay đổi trạng thái về "hoạt động", phục hồi dữ liệu cho người dùng.</t>
  </si>
  <si>
    <t>1. Cán bộ nghiệp vụ tạo quy tắc đánh phiên bản cho dữ liệu. Hệ thống lưu quy tắc và áp dụng tự động cho dữ liệu mới. Khi dữ liệu thay đổi, hệ thống tự động gán số phiên bản mới.
2. Cán bộ nghiệp vụ có thể xem lịch sử phiên bản. Hệ thống hiển thị danh sách phiên bản.
3. Cán bộ có thể xem dữ liệu chi tiết của phiên bản. Hệ thống hiển thị dữ liệu chi tiết của phiên bản</t>
  </si>
  <si>
    <t>1. Cán bộ nghiệp vụ chọn bản ghi để công khai. Hệ thống hiển thị trạng thái dữ liệu hiện tại.
2. Cán bộ nghiệp vụ thực hiện thao tác công khai. Hệ thống cập nhật trạng thái và đăng dữ liệu trên cổng dữ liệu mở.</t>
  </si>
  <si>
    <t>1. Cán bộ nghiệp vụ chọn bản ghi để hủy công khai. Hệ thống hiển thị trạng thái dữ liệu hiện tại.
2. Cán bộ nghiệp vụ thực hiện thao tác hủy công khai. Hệ thống cập nhật trạng thái và xóa dữ liệu trên cổng dữ liệu mở.</t>
  </si>
  <si>
    <t>1. Người dùng nhập tiêu chí tìm kiếm (tên, mã, loại dữ liệu…). Hệ thống tìm kiếm và hiển thị danh sách kết quả phù hợp.
2. Người dùng chọn bản ghi để xem chi tiết. Hệ thống hiển thị thông tin chi tiết, liên kết với dữ liệu liên quan.
3. Người dùng có thể xuất hoặc in kết quả. Hệ thống tạo file xuất/hiển thị in ấn.</t>
  </si>
  <si>
    <t>1. Người dùng chọn danh mục dữ liệu cần theo dõi vòng đời. Hệ thống kiểm tra trạng thái, thời gian hiệu lực của từng bản ghi.
2. Người dùng có thể xem cảnh báo dữ liệu sắp hết hiệu lực. Hệ thống hiển thị dữ liệu cảnh báo
3. Người dùng có thể xuất báo cáo vòng đời dữ liệu. Hệ thống tạo file báo cáo chi tiết các bản ghi sắp hết hiệu lực.</t>
  </si>
  <si>
    <t>1. Người dùng chọn loại báo cáo cần xem (truy cập, tiêu thụ, thống kê…). Hệ thống tổng hợp dữ liệu từ lịch sử truy cập và sử dụng.
2. Người dùng xem báo cáo trực tiếp hoặc xuất ra file. Hệ thống hiển thị bảng, biểu đồ, và cho phép xuất PDF/Excel.
3. Người dùng chọn xuất kết quả thống kê ra các định dạng excel. Hệ thống hỗ trợ xuất dữ liệu theo yêu cầu
4.Người dùng chọn xuất kết quả thống kê ra file pdf. Hệ thống hỗ trợ xuất dữ liệu theo yêu cầu</t>
  </si>
  <si>
    <t>1. Quản trị hệ thống chọn tạo mới dịch vụ dữ liệu. Hệ thống hiển thị form cấu hình dịch vụ.
2. Quản trị hệ thống nhập thông tin dịch vụ: loại dữ liệu, tần suất cung cấp, giao thức kết nối, phạm vi truy cập, chính sách chia sẻ. Hệ thống kiểm tra dữ liệu hợp lệ, lưu thông tin tạm thời.
3. Quản trị hệ thống lưu cấu hình để gửi phê duyệt. Hệ thống ghi nhận trạng thái "chờ phê duyệt", thông báo tới lãnh đạo bộ phận quản trị</t>
  </si>
  <si>
    <t>1. Lãnh đạo bộ phận quản trị đăng nhập, xem danh sách dịch vụ chờ phê duyệt. Hệ thống lọc và hiển thị chi tiết thông tin dịch vụ.
2. Lãnh đạo bộ phận quản trị kiểm tra nội dung, quy tắc, đối tượng và quyền truy cập. Hệ thống hiển thị thông tin chi tiết, cảnh báo nếu vi phạm quy tắc.
3. Lãnh đạo bộ phận quản trị đưa ra quyết định phê duyệt hoặc từ chối. Hệ thống ghi lại quyết định, lưu lịch sử kiểm tra.</t>
  </si>
  <si>
    <t>1. Lãnh đạo bộ phận quản trị chọn dịch vụ cần từ chối phê duyệt. Hệ thống hiển thị chi tiết dịch vụ và lý do từ chối mẫu.
2. Lãnh đạo bộ phận quản trị nhập lý do từ chối, phản hồi cho quản trị hệ thống. Hệ thống gửi thông báo từ chối và trả về trạng thái "cần chỉnh sửa"</t>
  </si>
  <si>
    <t>1. Lãnh đạo bộ phận quản trị xem lại bản dịch vụ đã chỉnh sửa. Hệ thống hiển thị bản cập nhật và lịch sử chỉnh sửa.
2. Lãnh đạo bộ phận quản trị thực hiện ký duyệt và xác nhận phê duyệt. Hệ thống cập nhật trạng thái "được phê duyệt", ghi log phê duyệt.</t>
  </si>
  <si>
    <t>1. Quản trị hệ thống chọn dịch vụ đã được phê duyệt để công khai. Hệ thống xác nhận trạng thái phê duyệt hợp lệ.
2. Quản trị hệ thống thực hiện công khai tự động lên Cổng dữ liệu dùng chung hoặc nền tảng chia sẻ dữ liệu. Hệ thống cập nhật trạng thái "đang công khai", thông báo tới các bên liên quan.</t>
  </si>
  <si>
    <t>Đăng nhập hệ thống</t>
  </si>
  <si>
    <t>Đăng xuất hệ thống</t>
  </si>
  <si>
    <t>Người dùng</t>
  </si>
  <si>
    <t>Thiết lập cấu hình hệ thống</t>
  </si>
  <si>
    <t>Thiết lập quy tắc đặt mật khẩu</t>
  </si>
  <si>
    <t>Quản lý nhật ký truy cập</t>
  </si>
  <si>
    <t>Quản lý nhật ký đăng nhập</t>
  </si>
  <si>
    <t>Quản lý nhật ký các lỗi phát sinh trong quá trình hoạt động</t>
  </si>
  <si>
    <t>Quản lý Nhật ký thay đổi cấu hình</t>
  </si>
  <si>
    <t>Quản lý cấu hình khoảng thời gian lưu trữ nhật ký qua giao diện Quản lý nhật ký</t>
  </si>
  <si>
    <t>Sao lưu dự phòng</t>
  </si>
  <si>
    <t>1. Quản trị hệ thống thực hiện cấu hình yêu cầu thay đổi mật khẩu khi đăng nhập lần đầu. Hệ thống ghi nhận thông tin cấu hình 
2. Quản trị hệ thống thực hiện cấu hình thời gian yêu cầu thay đổi mật khẩu. Hệ thống ghi nhận thông tin cấu hình 
3. Quản trị hệ thống thực hiện cấu hình thời gian mật khẩu hợp lệ. Hệ thống ghi nhận thông tin cấu hình 
4. Quản trị hệ thống thực hiện cấu hình Giới hạn số lần đăng nhập sai trong khoảng thời gian nhất định. Hệ thống ghi nhận thông tin cấu hình 
5. Quản trị hệ thống thực hiện cấu hình giới hạn thời gian chờ (timeout) để đóng phiên kết nối khi hệ thống không nhận được yêu cầu từ người dùng. Hệ thống ghi nhận thông tin cấu hình 
6. Quản trị hệ thống thực hiện cấu hình chính sách về sao lưu dự phòng. Hệ thống ghi nhận thông tin cấu hình</t>
  </si>
  <si>
    <t>1. Quản trị hệ thống có thể xem thông tin đã thiết lập quy tắc đặt mật khẩu về số lượng ký tự, loại ký tự để thiết lập mật khẩu. Hệ thống hiển thị thông tin thiết lập thành công
2. Quản trị hệ thống có thể sửa thông tin thiết lập quy tắc đặt mật khẩu về số lượng ký tự, loại ký tự để thiết lập mật khẩu. Hệ thống thực hiện cập nhật thông tin thiết lập vào CSDL thành công</t>
  </si>
  <si>
    <t>Quản lý nhật ký quản lý tài khoản</t>
  </si>
  <si>
    <t>1. Cán bộ xem danh sách nhật ký các lỗi phát sinh trong quá trình hoạt động. Hệ thống hiển thị danh sách nhật ký các lỗi phát sinh trong quá trình hoạt động lên màn hình
2. Cán bộ tìm kiếm nhật ký các lỗi phát sinh trong quá trình hoạt động. Hệ thống truy vấn dữ liệu và hiển thị kết quả lên màn hình
3. Cán bộ kết xuất nhật ký các lỗi phát sinh trong quá trình hoạt động. Hệ thống kết xuất về file máy tính cá nhân của cán bộ</t>
  </si>
  <si>
    <t>1. Cán bộ xem danh sách nhật ký quản lý tài khoản. Hệ thống hiển thị danh sách nhật ký quản lý tài khoản lên màn hình
2. Cán bộ tìm kiếm nhật ký quản lý tài khoản. Hệ thống truy vấn dữ liệu và hiển thị kết quả lên màn hình
3. Cán bộ kết xuất nhật ký quản lý tài khoản. Hệ thống kết xuất về file máy tính cá nhân của cán bộ</t>
  </si>
  <si>
    <t>1. Cán bộ xem danh sách Nhật ký thay đổi cấu hình Phần mềm. Hệ thống hiển thị danh sách Nhật ký thay đổi cấu hình Phần mềm lên màn hình
2. Cán bộ tìm kiếm Nhật ký thay đổi cấu hình Phần mềm. Hệ thống truy vấn dữ liệu và hiển thị kết quả lên màn hình
3. Cán bộ kết xuất Nhật ký thay đổi cấu hình Phần mềm. Hệ thống kết xuất về file máy tính cá nhân của cán bộ</t>
  </si>
  <si>
    <t>Xem biểu đồ thống kê</t>
  </si>
  <si>
    <t>1. Cán bộ có thể xem biểu đồ thống kê CSDL tích hợp. Hệ thống hiển thị biểu đồ thống kê CSDL tích hợp
2. Cán bộ có thể xem dữ liệu biểu đồ thống kê CSDL tích hợp dưới dạng bảng. Hệ thống hiển thị bảng dữ liệu thống kê CSDL tích hợp
3. Cán bộ có thể có thể ẩn/hiện số liệu trên biểu đồ thống kê CSDL tích hợp. Hệ thống ẩn hoặc hiển thị số liệu trên biểu đồ thống kê CSDL tích hợp theo lựa chọn.
4. Cán bộ có thể lọc biểu đồ thống kê CSDL tích hợp theo tiêu chí hỗn hợp. Hệ thống hiển thị biểu đồ thống kê CSDL tích hợp theo tiêu chí hỗn hợp.
5. Cán bộ có thể in biểu đồ thống kê CSDL tích hợp. Hệ thống hiển thị giao diện tùy chọn để in biểu đồ CSDL tích hợp.
6. Cán bộ có thể xem số liệu chi tiết các chỉ tiêu biểu đồ thống kê CSDL tích hợp. Hệ thống hiển thị dữ liệu chi tiết các chỉ tiêu của biểu đồ thống kê CSDL tích hợp.
7. Cán bộ có thể tải biểu đồ thống kê CSDL tích hợp. Hệ thống thực hiện lưu biểu đồ thống kê CSDL tích hợp về máy tính cá nhân của cán bộ.
8. Cán bộ có thể có thể xem lịch sử truy cập và thao tác biểu đồ thống kê CSDL tích hợp. Hệ thống hiển thị thông tin lịch sử truy cập và thao tác với biểu đồ thống kê CSDL tích hợp.</t>
  </si>
  <si>
    <t>1. Người dùng nhấn nút Đăng xuất. Hệ thống yêu cầu người dùng xác nhận và hiển thị thông báo, kết thúc phiên làm việc của người dùng, mở trang Đăng nhập hệ thống</t>
  </si>
  <si>
    <t>1. Quản trị hệ thống xem danh sách cấu hình khoảng thời gian lưu trữ nhật ký qua giao diện Quản lý Nhật ký. Hệ thống hiển thị màn hình giao diện Quản lý cấu hình khoảng thời gian lưu trữ nhật ký qua giao diện Quản lý nhật ký
2. Quản trị hệ thống có thể thêm mới Quản lý cấu hình khoảng thời gian lưu trữ nhật ký qua giao diện. Hệ thống kiểm tra tính hợp lệ và lưu thông tin
3. Quản trị hệ thống có thể sửa Quản lý cấu hình khoảng thời gian lưu trữ nhật ký qua giao diện. Hệ thống kiểm tra tính hợp lệ, lưu thông tin và thông báo cho Quản trị hệ thống
4.Quản trị hệ thống có thể xóa Quản lý cấu hình khoảng thời gian lưu trữ nhật ký qua giao diện. Hệ thống kiểm tra tính hợp lệ, xóa dữ liệu và thông báo cho Quản trị hệ thống.
5. Quản trị hệ thống chọn Kết xuất danh sách cấu hình khoảng thời gian lưu trữ nhật ký qua giao diện Quản lý nhật ký . Hệ thống kết xuất danh sách về file excel cho Quản trị hệ thống</t>
  </si>
  <si>
    <t>1. Quản trị hệ thống có thể thực hiện sao lưu dự phòng cơ sở dữ liệu. Hệ thống lưu thông tin sao lưu và thông báo cho người dùng</t>
  </si>
  <si>
    <t>1. Cán bộ xem danh sách nhật ký truy cập hệ thống. Hệ thống hiển thị danh sách nhật ký truy cập Phần mềm
2. Cán bộ tìm kiếm nhật ký truy cập hệ thống. Hệ thống truy vấn dữ liệu và hiển thị kết quả lên màn hình
3. Cán bộ kết xuất nhật ký truy cập hệ thống. Hệ thống kết xuất về file máy tính cá nhân của cán bộ</t>
  </si>
  <si>
    <t>1. Cán bộ xem danh sách nhật ký đăng nhập khi quản trị hệ thống. Hệ thống hiển thị danh sách nhật ký đăng nhập khi quản trị Phần mềm lên màn hình
2. Cán bộ tìm kiếm nhật ký đăng nhập khi quản trị hệ thống. Hệ thống truy vấn dữ liệu và hiển thị kết quả lên màn hình
3. Cán bộ kết xuất nhật ký đăng nhập khi quản trị hệ thống. Hệ thống kết xuất về file máy tính cá nhân của cán bộ</t>
  </si>
  <si>
    <t xml:space="preserve">Thiết lập quy tắc xử lý dữ liệu danh mục từ Bộ ngành ngoài </t>
  </si>
  <si>
    <t>1. Quản trị hệ thống đăng nhập và truy cập danh mục API cung cấp dữ liệu. Hệ thống hiển thị danh sách các API hiện có với trạng thái, thông tin chi tiết.
2. Quản trị hệ thống có thể chọn tạo mới API cung cấp dữ liệu. Hệ thống cho phép người dùng nhập và lưu thông tin về API
3. Quản trị hệ thống có thể cập nhật API cung cấp dữ liệu. Hệ thống cho phép người dùng chỉnh sửa và lưu lại thông tin về API.
4. Quản trị hệ thống có thể xóa API cung cấp dữ liệu. Hệ thống yêu cầu xác nhận và thực hiện xóa API.</t>
  </si>
  <si>
    <t>1. Quản trị hệ thống đăng nhập và truy cập danh mục API đối soát dữ liệu. Hệ thống hiển thị danh sách các API hiện có với trạng thái, thông tin chi tiết.
2. Quản trị hệ thống có thể chọn tạo mới API đối soát dữ liệu. Hệ thống cho phép người dùng nhập và lưu thông tin về API
3. Quản trị hệ thống có thể cập nhật API đối soát dữ liệu. Hệ thống cho phép người dùng chỉnh sửa và lưu lại thông tin về API.
4. Quản trị hệ thống có thể xóa API đối soát dữ liệu. Hệ thống yêu cầu xác nhận và thực hiện xóa API.</t>
  </si>
  <si>
    <t>1. Quản trị hệ thống truy cập module giám sát API. Hệ thống hiển thị dashboard trạng thái hoạt động, hiệu năng và log truy cập.
2. Quản trị hệ thống chọn API cần giám sát. Hệ thống lọc log và dữ liệu hiệu năng theo API.
3. Quản trị hệ thống có thể xem chi tiết thông tin về API. Hệ thống hiển thị chi tiết về API
4. Quản trị hệ thống chọn xuất báo cáo. Hệ thống cho phép xuất file báo cáo thống kê.</t>
  </si>
  <si>
    <t>1. Quản trị hệ thống chọn API cần cấp quyền. Hệ thống hiển thị danh sách người dùng/tổ chức có thể cấp quyền.
2. Quản trị hệ thống chọn người dùng hoặc tổ chức được cấp quyền. Hệ thống kiểm tra quyền hiện có, hiển thị trạng thái hợp lệ.
3. Quản trị hệ thống chọn xác nhận cấp quyền và phạm vi sử dụng. Hệ thống lưu quyền, ghi log thao tác và gửi thông báo xác nhận.</t>
  </si>
  <si>
    <t>1. Quản trị hệ thống truy cập module quản lý phiên bản API. Hệ thống hiển thị tất cả phiên bản API hiện có.
2. Quản trị hệ thống có thể tạo mới phiên bản API.Hệ thống lưu thông tin phiên bản.
3. Quản trị hệ thống có thể cập nhật phiên bản API. Hệ thống lưu thông tin thay đổi về phiên bản
4. Quản trị hệ thống có thể xem so sánh giữa các phiên bản. Hệ thống cho phép xem thông tin so sanh giữa các phiên bản.</t>
  </si>
  <si>
    <t>1. Quản trị hệ thống nhận đề nghị khai thác hoặc chia sẻ dữ liệu từ các cơ quan/tổ chức/hệ thống. Hệ thống kiểm tra thông tin người gửi, loại dữ liệu yêu cầu.
2. Quản trị hệ thống kiểm tra và xác nhận nội dung yêu cầu. Hệ thống lưu yêu cầu vào hệ thống và gửi thông báo xác nhận.</t>
  </si>
  <si>
    <t>1. Quản trị hệ thống truy cập module giám sát luồng dữ liệu. Hệ thống hiển thị sơ đồ luồng dữ liệu, danh sách các hệ thống tham gia.
2. Quản trị hệ thống có thể theo dõi, ghi nhận, phân tích luồng chia sẻ dữ liệu. Hệ thống lưu log, hiển thị dashboard, cảnh báo khi phát hiện bất thường.</t>
  </si>
  <si>
    <t>1. Quản trị hệ thống chọn loại báo cáo: lượng dữ liệu cung cấp, số lượt truy cập, hiệu năng API, lỗi kết nối. Hệ thống tổng hợp dữ liệu từ log và hệ thống giám sát.
2. Quản trị hệ thống xem báo cáo trực quan. Hệ thống hiển thị  dữ liệu dạng bảng, biểu đồ
3. Quản trị hệ thống có thể chọn xuất file và định dạng. Hệ thống cho phép xuất file theo định dạng đã chọn</t>
  </si>
  <si>
    <t>1. Quản trị hệ thống nhập tiêu chí tìm kiếm (loại dữ liệu, khoảng thời gian, đối tượng…). Hệ thống lọc dữ liệu theo điều kiện được phê duyệt.
2. Quản trị hệ thống chọn xuất dữ liệu ra file và chọn định dạng. Hệ thống cho phép tải dữ liệu theo định dạng đã chọn.</t>
  </si>
  <si>
    <t>1. Quản trị hệ thống chọn dữ liệu hoặc báo cáo chuyên đề cần kết xuất. Hệ thống truy xuất dữ liệu theo tiêu chí tùy chỉnh.
2. Quản trị hệ thống xem trước và chỉnh sửa định dạng dữ liệu/báo cáo nếu cần. Hệ thống hiển thị dữ liệu mẫu, tính toán các chỉ số nếu có.
3. Quản trị hệ thống xác nhận kết xuất dữ liệu/báo cáo. Hệ thống tạo file dữ liệu theo yêu cầu và lưu log thao tác.</t>
  </si>
  <si>
    <t>1. Quản trị hệ thống chọn dữ liệu cần xuất. Hệ thống hiển thị định dạng xuất (JSON, CSV, XML, Excel…).
2. Quản trị hệ thống xác nhận định dạng và thực hiện xuất. Hệ thống chuyển đổi dữ liệu sang định dạng chuẩn, cung cấp file tải về.</t>
  </si>
  <si>
    <t>1. Quản trị hệ thống chọn dịch vụ dữ liệu đã kết xuất để công bố. Hệ thống kiểm tra trạng thái và quyền công bố.
2. Quản trị hệ thống thực hiện đồng bộ dữ liệu lên Cổng dữ liệu mở quốc gia hoặc nền tảng chia sẻ nội bộ. Hệ thống cập nhật trạng thái công bố, ghi log và gửi thông báo tới các bên liên quan.</t>
  </si>
  <si>
    <t>1. Quản trị hệ thống chọn dịch vụ dữ liệu đã công bố để hủy. Hệ thống hiển thị cảnh báo trước khi hủy.
2. Quản trị hệ thống thực hiện hủy công bố. Hệ thống cập nhật trạng thái, ghi log và gửi thông báo tới hệ thống đích và người dùng liên quan</t>
  </si>
  <si>
    <t>1. Kho dữ liệu dùng chung định kỳ hoặc theo yêu cầu gửi gói tin yêu cầu đối soát tổng hợp về dữ liệu Danh mục cung cấp tới hệ thống đích. Hệ thống đích phản hồi kết quả nhận được.</t>
  </si>
  <si>
    <t>I.2.4.4</t>
  </si>
  <si>
    <t>Tuyên truyền viên pháp luật</t>
  </si>
  <si>
    <t>Chương trình, kế hoạch về phổ biến, giáo dục pháp luật</t>
  </si>
  <si>
    <t>Hội đồng phối hợp phổ biến, giáo dục pháp luật</t>
  </si>
  <si>
    <t>Đề án</t>
  </si>
  <si>
    <t>Hội nghị tập huấn (trực tuyến, trực tiếp)</t>
  </si>
  <si>
    <t>Hội thảo</t>
  </si>
  <si>
    <t>Tổ hoà giải</t>
  </si>
  <si>
    <t>Hoà giải viên</t>
  </si>
  <si>
    <t>Vụ việc hoà giải</t>
  </si>
  <si>
    <t>Tập huấn viên</t>
  </si>
  <si>
    <t>Kinh phí phổ biến giáo dục pháp luật</t>
  </si>
  <si>
    <t>Tiêu chí, chỉ tiêu tiếp cận pháp luật</t>
  </si>
  <si>
    <t>Đánh giá cấp xã đạt chuẩn tiếp cận pháp luật</t>
  </si>
  <si>
    <t>Cuộc PBGDPL</t>
  </si>
  <si>
    <t>Cuộc thi tìm hiểu về pháp luật</t>
  </si>
  <si>
    <t>Vụ Hợp tác quốc tế</t>
  </si>
  <si>
    <t>CSDL Hợp tác quốc tế</t>
  </si>
  <si>
    <t>Thông tin điều ước quốc tế, thỏa thuận quốc tế</t>
  </si>
  <si>
    <t>Thông tin chương trình dự án</t>
  </si>
  <si>
    <t>Danh sách chuyên gia</t>
  </si>
  <si>
    <t>Thông tin hội nghị, hội thảo</t>
  </si>
  <si>
    <t>Thông tin sản phẩm nghiên cứu, truyền thông</t>
  </si>
  <si>
    <t>Thông tin Đoàn</t>
  </si>
  <si>
    <t>Hệ thống nguồn (CSDL CSDL Hợp tác quốc tế)</t>
  </si>
  <si>
    <t>III.2.4.4</t>
  </si>
  <si>
    <t xml:space="preserve">CSDL phổ biến, giáo dục pháp luật và hoà giải cơ sở </t>
  </si>
  <si>
    <t>III.2.6</t>
  </si>
  <si>
    <t>Cung cấp dữ liệu dùng chung</t>
  </si>
  <si>
    <t>VII.5.2.6</t>
  </si>
  <si>
    <t>VIII.11</t>
  </si>
  <si>
    <t>Đối soát tổng hợp với CSDL Hợp tác quốc tế</t>
  </si>
  <si>
    <t>VII.5.4</t>
  </si>
  <si>
    <t>Cung cấp dữ liệu chủ</t>
  </si>
  <si>
    <t>Cung cấp dữ liệu chủ</t>
  </si>
  <si>
    <t>Dữ liệu chủ</t>
  </si>
  <si>
    <t>Đối soát về dữ liệu chủ</t>
  </si>
  <si>
    <t>Đối soát tổng hợp về Dữ liệu chủ</t>
  </si>
  <si>
    <t>Đối soát tổng hợp về Dữ liệu mở</t>
  </si>
  <si>
    <t>Đối soát tổng hợp về cung cấp dữ liệu Hộ tịch điện tử</t>
  </si>
  <si>
    <t>Đối soát tổng hợp về cung cấp dữ liệu hồ sơ quốc tịch</t>
  </si>
  <si>
    <t>Đối soát tổng hợp về cung cấp dữ liệu thi hành án dân sự</t>
  </si>
  <si>
    <t>Đối soát tổng hợp về cung cấp dữ liệu về biện pháp bảo đảm</t>
  </si>
  <si>
    <t>Đối soát tổng hợp về cung cấp dữ liệu quốc gia về pháp luật</t>
  </si>
  <si>
    <t>Đối soát tổng hợp về cung cấp dữ liệu tương trợ tư pháp về dân sự</t>
  </si>
  <si>
    <t>Đối soát tổng hợp về cung cấp dữ liệu thông tin trợ giúp pháp lý</t>
  </si>
  <si>
    <t>Đối soát tổng hợp về cung cấp dữ liệu phổ biến, giáo dục pháp luật và hoà giải cơ sở</t>
  </si>
  <si>
    <t>Đối soát với CSDL phổ biến, giáo dục pháp luật và hoà giải cơ sở</t>
  </si>
  <si>
    <t>Đối soát tổng hợp về cung cấp dữ liệu quản lý đấu giá tài sản</t>
  </si>
  <si>
    <t>Đối soát tổng hợp về cung cấp dữ liệu Hợp tác quốc tế</t>
  </si>
  <si>
    <t>Đối soát tổng hợp về cung cấp dữ liệu mở</t>
  </si>
  <si>
    <t>Đối soát tổng hợp về cung cấp dữ liệu chủ</t>
  </si>
  <si>
    <t>Thu thập dữ liệu từ Bộ ngành ngoài</t>
  </si>
  <si>
    <t>Thông tin Bản án, quyết định</t>
  </si>
  <si>
    <t>Tòa án nhân dân tối cao</t>
  </si>
  <si>
    <t>Bảo trợ xã hội và giảm nghèo - Hưởng trợ giúp xã hội</t>
  </si>
  <si>
    <t>Bảo trợ xã hội và giảm nghèo - Thông tin người nghèo, cận nghèo</t>
  </si>
  <si>
    <t>Bảo trợ xã hội và giảm nghèo - Người đơn thân</t>
  </si>
  <si>
    <t>Bảo trợ xã hội và giảm nghèo - Trẻ em là đối tượng bảo trợ xã hội</t>
  </si>
  <si>
    <t>Bảo trợ xã hội và giảm nghèo -Người có HIV</t>
  </si>
  <si>
    <t>Bảo trợ xã hội và giảm nghèo -Người cao tuổi</t>
  </si>
  <si>
    <t>Bảo trợ xã hội và giảm nghèo - Thông tin về người khuyết tật</t>
  </si>
  <si>
    <t>Người có công - Hồ sơ công nhận người có công</t>
  </si>
  <si>
    <t>Người có công - Hồ sơ liệt sĩ:</t>
  </si>
  <si>
    <t>Người có công - Hồ sơ công nhận thân nhân người có công</t>
  </si>
  <si>
    <t xml:space="preserve">Trẻ em -Trẻ em </t>
  </si>
  <si>
    <t>Chi nhánh TGPL</t>
  </si>
  <si>
    <t>Người có tài sản đấu giá</t>
  </si>
  <si>
    <t>Thông tin việc đấu giá</t>
  </si>
  <si>
    <t>Tài sản đấu giá</t>
  </si>
  <si>
    <t>Đối soát dữ liệu từ Bộ ngành ngoài</t>
  </si>
  <si>
    <t>Hệ thống nguồn (TANDTC)</t>
  </si>
  <si>
    <t>Đối soát dữ liệu Thông tin Bản án, quyết định</t>
  </si>
  <si>
    <t>Đối soát tổng hợp dữ liệu về Thông tin Bản án, quyết định</t>
  </si>
  <si>
    <t>1. Người dùng tiến hành nhập liệu thông tin tài khoản đăng nhập trên hệ thống. Hệ thống ghi nhận và kiểm tra tính hợp lệ thông tin người dùng nhập liệu
2. Người dùng tiến hành nhấn nút Đăng nhập. Hệ thống chuyển thông tin đến hệ thống xác thực định danh của Bộ để thực hiện xác thực, nếu người dùng đã được xác thực hệ thống thực hiện kiểm tra các thông tin người dùng và hiển thị giao diện chính của chương trình theo phân quyền tài khoản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</si>
</sst>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 _₫_-;\-* #,##0\ _₫_-;_-* &quot;-&quot;??\ _₫_-;_-@_-"/>
  </numFmts>
  <fonts count="22">
    <font>
      <sz val="11"/>
      <color theme="1"/>
      <name val="Calibri"/>
      <family val="2"/>
      <scheme val="minor"/>
    </font>
    <font>
      <sz val="11"/>
      <color indexed="8"/>
      <name val="Calibri"/>
      <family val="2"/>
    </font>
    <font>
      <b/>
      <sz val="14"/>
      <name val="Times New Roman"/>
      <family val="1"/>
    </font>
    <font>
      <sz val="10"/>
      <name val="Helv"/>
      <family val="2"/>
    </font>
    <font>
      <b/>
      <sz val="12"/>
      <name val="Times New Roman"/>
      <family val="1"/>
    </font>
    <font>
      <sz val="12"/>
      <name val="Times New Roman"/>
      <family val="1"/>
    </font>
    <font>
      <sz val="10"/>
      <name val="Arial"/>
      <family val="2"/>
      <charset val="163"/>
    </font>
    <font>
      <sz val="11"/>
      <name val="UVnTime"/>
    </font>
    <font>
      <i/>
      <sz val="13"/>
      <name val="Times New Roman"/>
      <family val="1"/>
    </font>
    <font>
      <sz val="12"/>
      <name val="Arial"/>
      <family val="2"/>
    </font>
    <font>
      <sz val="10"/>
      <name val="Arial"/>
      <family val="2"/>
    </font>
    <font>
      <sz val="12"/>
      <color indexed="8"/>
      <name val="Times New Roman"/>
      <family val="2"/>
    </font>
    <font>
      <sz val="11"/>
      <color theme="1"/>
      <name val="Calibri"/>
      <family val="2"/>
      <scheme val="minor"/>
    </font>
    <font>
      <sz val="12"/>
      <color theme="1"/>
      <name val="Times New Roman"/>
      <family val="2"/>
    </font>
    <font>
      <sz val="11"/>
      <color theme="1"/>
      <name val="Calibri"/>
      <family val="2"/>
      <charset val="163"/>
      <scheme val="minor"/>
    </font>
    <font>
      <sz val="12"/>
      <color theme="1"/>
      <name val="Times New Roman"/>
      <family val="1"/>
    </font>
    <font>
      <sz val="13"/>
      <color theme="1"/>
      <name val="Times New Roman"/>
      <family val="1"/>
    </font>
    <font>
      <sz val="11"/>
      <color theme="1"/>
      <name val="Times New Roman"/>
      <family val="1"/>
    </font>
    <font>
      <sz val="13"/>
      <color rgb="FFFF0000"/>
      <name val="Times New Roman"/>
      <family val="1"/>
    </font>
    <font>
      <b/>
      <sz val="13"/>
      <color rgb="FF000000"/>
      <name val="Times New Roman"/>
      <family val="1"/>
    </font>
    <font>
      <sz val="13"/>
      <color rgb="FF000000"/>
      <name val="Times New Roman"/>
      <family val="1"/>
    </font>
    <font>
      <b/>
      <sz val="13"/>
      <color theme="1"/>
      <name val="Times New Roman"/>
      <family val="1"/>
    </font>
  </fonts>
  <fills count="9">
    <fill>
      <patternFill patternType="none"/>
    </fill>
    <fill>
      <patternFill patternType="gray125"/>
    </fill>
    <fill>
      <patternFill patternType="solid">
        <fgColor rgb="FFFFFF00"/>
        <bgColor indexed="64"/>
      </patternFill>
    </fill>
    <fill>
      <patternFill patternType="solid">
        <fgColor theme="4" tint="0.59999389629810485"/>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rgb="FFDBE5F1"/>
        <bgColor indexed="64"/>
      </patternFill>
    </fill>
    <fill>
      <patternFill patternType="solid">
        <fgColor rgb="FFC6D9F1"/>
        <bgColor indexed="64"/>
      </patternFill>
    </fill>
    <fill>
      <patternFill patternType="solid">
        <fgColor theme="4" tint="0.7999816888943144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s>
  <cellStyleXfs count="20">
    <xf numFmtId="0" fontId="0" fillId="0" borderId="0"/>
    <xf numFmtId="43" fontId="7"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 fillId="0" borderId="0" applyFont="0" applyFill="0" applyBorder="0" applyAlignment="0" applyProtection="0"/>
    <xf numFmtId="43" fontId="10" fillId="0" borderId="0" applyFont="0" applyFill="0" applyBorder="0" applyAlignment="0" applyProtection="0"/>
    <xf numFmtId="43" fontId="1" fillId="0" borderId="0" applyFont="0" applyFill="0" applyBorder="0" applyAlignment="0" applyProtection="0"/>
    <xf numFmtId="0" fontId="10" fillId="0" borderId="0"/>
    <xf numFmtId="0" fontId="10" fillId="0" borderId="0"/>
    <xf numFmtId="0" fontId="1" fillId="0" borderId="0"/>
    <xf numFmtId="0" fontId="12" fillId="0" borderId="0"/>
    <xf numFmtId="0" fontId="11" fillId="0" borderId="0"/>
    <xf numFmtId="0" fontId="13" fillId="0" borderId="0"/>
    <xf numFmtId="0" fontId="10" fillId="0" borderId="0"/>
    <xf numFmtId="0" fontId="10" fillId="0" borderId="0"/>
    <xf numFmtId="0" fontId="14" fillId="0" borderId="0"/>
    <xf numFmtId="0" fontId="6" fillId="0" borderId="0"/>
    <xf numFmtId="0" fontId="1" fillId="0" borderId="0"/>
    <xf numFmtId="0" fontId="3" fillId="0" borderId="0"/>
  </cellStyleXfs>
  <cellXfs count="69">
    <xf numFmtId="0" fontId="0" fillId="0" borderId="0" xfId="0"/>
    <xf numFmtId="0" fontId="4" fillId="0" borderId="1" xfId="17" applyFont="1" applyBorder="1" applyAlignment="1">
      <alignment horizontal="center" vertical="center" wrapText="1"/>
    </xf>
    <xf numFmtId="0" fontId="5" fillId="0" borderId="1" xfId="17" applyFont="1" applyBorder="1" applyAlignment="1">
      <alignment horizontal="center" vertical="center"/>
    </xf>
    <xf numFmtId="0" fontId="5" fillId="0" borderId="1" xfId="17" applyFont="1" applyBorder="1" applyAlignment="1">
      <alignment vertical="center"/>
    </xf>
    <xf numFmtId="3" fontId="5" fillId="0" borderId="1" xfId="17" applyNumberFormat="1" applyFont="1" applyBorder="1" applyAlignment="1">
      <alignment horizontal="center" vertical="center"/>
    </xf>
    <xf numFmtId="0" fontId="5" fillId="0" borderId="1" xfId="17" applyFont="1" applyBorder="1" applyAlignment="1">
      <alignment vertical="center" wrapText="1"/>
    </xf>
    <xf numFmtId="164" fontId="12" fillId="0" borderId="0" xfId="7" applyNumberFormat="1" applyFont="1"/>
    <xf numFmtId="0" fontId="5" fillId="0" borderId="1" xfId="17" applyFont="1" applyBorder="1" applyAlignment="1">
      <alignment wrapText="1"/>
    </xf>
    <xf numFmtId="0" fontId="4" fillId="0" borderId="1" xfId="17" applyFont="1" applyBorder="1" applyAlignment="1">
      <alignment vertical="center"/>
    </xf>
    <xf numFmtId="3" fontId="5" fillId="0" borderId="1" xfId="17" applyNumberFormat="1" applyFont="1" applyBorder="1" applyAlignment="1">
      <alignment horizontal="left" vertical="center" wrapText="1"/>
    </xf>
    <xf numFmtId="0" fontId="5" fillId="0" borderId="0" xfId="0" applyFont="1" applyAlignment="1">
      <alignment horizontal="center" vertical="center"/>
    </xf>
    <xf numFmtId="0" fontId="9" fillId="0" borderId="0" xfId="0" applyFont="1"/>
    <xf numFmtId="0" fontId="17" fillId="0" borderId="0" xfId="0" applyFont="1"/>
    <xf numFmtId="0" fontId="17" fillId="0" borderId="0" xfId="0" applyFont="1" applyAlignment="1">
      <alignment horizontal="center"/>
    </xf>
    <xf numFmtId="0" fontId="17" fillId="0" borderId="0" xfId="0" applyFont="1" applyAlignment="1">
      <alignment vertical="center"/>
    </xf>
    <xf numFmtId="0" fontId="15" fillId="0" borderId="1" xfId="0" applyFont="1" applyBorder="1" applyAlignment="1">
      <alignment horizontal="center" vertical="center" wrapText="1"/>
    </xf>
    <xf numFmtId="0" fontId="17" fillId="0" borderId="0" xfId="0" applyFont="1" applyAlignment="1">
      <alignment vertical="top"/>
    </xf>
    <xf numFmtId="0" fontId="15" fillId="0" borderId="4" xfId="0" applyFont="1" applyBorder="1"/>
    <xf numFmtId="0" fontId="15" fillId="0" borderId="4" xfId="0" applyFont="1" applyBorder="1" applyAlignment="1">
      <alignment vertical="center" wrapText="1"/>
    </xf>
    <xf numFmtId="0" fontId="16" fillId="0" borderId="1" xfId="0" applyFont="1" applyBorder="1" applyAlignment="1">
      <alignment horizontal="justify" vertical="center" wrapText="1"/>
    </xf>
    <xf numFmtId="0" fontId="15" fillId="0" borderId="4" xfId="0" applyFont="1" applyBorder="1" applyAlignment="1">
      <alignment horizontal="center" wrapText="1"/>
    </xf>
    <xf numFmtId="0" fontId="17" fillId="0" borderId="0" xfId="0" applyFont="1" applyAlignment="1">
      <alignment horizontal="center" wrapText="1"/>
    </xf>
    <xf numFmtId="0" fontId="15" fillId="0" borderId="5" xfId="0" applyFont="1" applyBorder="1" applyAlignment="1">
      <alignment horizontal="center" vertical="top" wrapText="1"/>
    </xf>
    <xf numFmtId="0" fontId="16" fillId="0" borderId="1" xfId="0" applyFont="1" applyBorder="1" applyAlignment="1">
      <alignment horizontal="center" vertical="center"/>
    </xf>
    <xf numFmtId="0" fontId="16" fillId="0" borderId="1" xfId="0" applyFont="1" applyBorder="1" applyAlignment="1">
      <alignment horizontal="left" vertical="center"/>
    </xf>
    <xf numFmtId="0" fontId="16" fillId="0" borderId="4" xfId="0" applyFont="1" applyBorder="1" applyAlignment="1">
      <alignment horizontal="center" vertical="center"/>
    </xf>
    <xf numFmtId="0" fontId="16" fillId="0" borderId="4" xfId="0" applyFont="1" applyBorder="1" applyAlignment="1">
      <alignment horizontal="left" vertical="center"/>
    </xf>
    <xf numFmtId="0" fontId="16" fillId="0" borderId="4" xfId="0" applyFont="1" applyBorder="1" applyAlignment="1">
      <alignment horizontal="justify" vertical="center" wrapText="1"/>
    </xf>
    <xf numFmtId="0" fontId="16" fillId="0" borderId="1" xfId="0" applyFont="1" applyBorder="1" applyAlignment="1">
      <alignment horizontal="left" vertical="top" wrapText="1"/>
    </xf>
    <xf numFmtId="0" fontId="15" fillId="0" borderId="4" xfId="0" applyFont="1" applyBorder="1" applyAlignment="1">
      <alignment vertical="top" wrapText="1"/>
    </xf>
    <xf numFmtId="0" fontId="21" fillId="3" borderId="1" xfId="0" applyFont="1" applyFill="1" applyBorder="1" applyAlignment="1">
      <alignment horizontal="center" vertical="top" wrapText="1"/>
    </xf>
    <xf numFmtId="0" fontId="21" fillId="3" borderId="2" xfId="0" applyFont="1" applyFill="1" applyBorder="1" applyAlignment="1">
      <alignment horizontal="center" vertical="top" wrapText="1"/>
    </xf>
    <xf numFmtId="0" fontId="21" fillId="4" borderId="1" xfId="0" applyFont="1" applyFill="1" applyBorder="1" applyAlignment="1">
      <alignment horizontal="center" vertical="top"/>
    </xf>
    <xf numFmtId="0" fontId="21" fillId="4" borderId="1" xfId="0" applyFont="1" applyFill="1" applyBorder="1" applyAlignment="1">
      <alignment vertical="top" wrapText="1"/>
    </xf>
    <xf numFmtId="0" fontId="16" fillId="0" borderId="1" xfId="0" applyFont="1" applyBorder="1" applyAlignment="1">
      <alignment horizontal="center" vertical="top" wrapText="1"/>
    </xf>
    <xf numFmtId="0" fontId="16" fillId="0" borderId="1" xfId="0" applyFont="1" applyBorder="1" applyAlignment="1">
      <alignment vertical="top"/>
    </xf>
    <xf numFmtId="0" fontId="16" fillId="0" borderId="1" xfId="0" applyFont="1" applyBorder="1" applyAlignment="1">
      <alignment horizontal="center" vertical="top"/>
    </xf>
    <xf numFmtId="0" fontId="16" fillId="0" borderId="1" xfId="0" applyFont="1" applyBorder="1" applyAlignment="1">
      <alignment horizontal="justify" vertical="top" wrapText="1"/>
    </xf>
    <xf numFmtId="0" fontId="16" fillId="0" borderId="1" xfId="0" applyFont="1" applyBorder="1" applyAlignment="1">
      <alignment vertical="top" wrapText="1"/>
    </xf>
    <xf numFmtId="0" fontId="21" fillId="5" borderId="1" xfId="0" applyFont="1" applyFill="1" applyBorder="1" applyAlignment="1">
      <alignment vertical="top" wrapText="1"/>
    </xf>
    <xf numFmtId="0" fontId="21" fillId="5" borderId="1" xfId="0" applyFont="1" applyFill="1" applyBorder="1" applyAlignment="1">
      <alignment horizontal="center" vertical="top"/>
    </xf>
    <xf numFmtId="0" fontId="21" fillId="0" borderId="1" xfId="0" applyFont="1" applyBorder="1" applyAlignment="1">
      <alignment horizontal="center" vertical="top"/>
    </xf>
    <xf numFmtId="0" fontId="21" fillId="0" borderId="1" xfId="0" applyFont="1" applyBorder="1" applyAlignment="1">
      <alignment vertical="top" wrapText="1"/>
    </xf>
    <xf numFmtId="0" fontId="20" fillId="0" borderId="1" xfId="0" applyFont="1" applyBorder="1" applyAlignment="1">
      <alignment vertical="top" wrapText="1"/>
    </xf>
    <xf numFmtId="0" fontId="19" fillId="6" borderId="1" xfId="0" applyFont="1" applyFill="1" applyBorder="1" applyAlignment="1">
      <alignment vertical="top" wrapText="1"/>
    </xf>
    <xf numFmtId="0" fontId="20" fillId="6" borderId="1" xfId="0" applyFont="1" applyFill="1" applyBorder="1" applyAlignment="1">
      <alignment vertical="top" wrapText="1"/>
    </xf>
    <xf numFmtId="0" fontId="21" fillId="0" borderId="1" xfId="14" applyFont="1" applyBorder="1" applyAlignment="1">
      <alignment horizontal="left" vertical="top" wrapText="1"/>
    </xf>
    <xf numFmtId="0" fontId="18" fillId="0" borderId="1" xfId="0" applyFont="1" applyBorder="1" applyAlignment="1">
      <alignment vertical="top" wrapText="1"/>
    </xf>
    <xf numFmtId="0" fontId="20" fillId="7" borderId="1" xfId="0" applyFont="1" applyFill="1" applyBorder="1" applyAlignment="1">
      <alignment vertical="top" wrapText="1"/>
    </xf>
    <xf numFmtId="0" fontId="16" fillId="2" borderId="1" xfId="0" applyFont="1" applyFill="1" applyBorder="1" applyAlignment="1">
      <alignment horizontal="center" vertical="top"/>
    </xf>
    <xf numFmtId="0" fontId="16" fillId="2" borderId="1" xfId="0" applyFont="1" applyFill="1" applyBorder="1" applyAlignment="1">
      <alignment vertical="top" wrapText="1"/>
    </xf>
    <xf numFmtId="0" fontId="16" fillId="2" borderId="1" xfId="0" applyFont="1" applyFill="1" applyBorder="1" applyAlignment="1">
      <alignment horizontal="center" vertical="top" wrapText="1"/>
    </xf>
    <xf numFmtId="0" fontId="16" fillId="2" borderId="1" xfId="0" applyFont="1" applyFill="1" applyBorder="1" applyAlignment="1">
      <alignment vertical="top"/>
    </xf>
    <xf numFmtId="0" fontId="16" fillId="0" borderId="3" xfId="0" applyFont="1" applyBorder="1" applyAlignment="1">
      <alignment vertical="top" wrapText="1"/>
    </xf>
    <xf numFmtId="0" fontId="20" fillId="8" borderId="1" xfId="0" applyFont="1" applyFill="1" applyBorder="1" applyAlignment="1">
      <alignment vertical="top" wrapText="1"/>
    </xf>
    <xf numFmtId="0" fontId="16" fillId="8" borderId="1" xfId="0" applyFont="1" applyFill="1" applyBorder="1" applyAlignment="1">
      <alignment horizontal="center" vertical="top" wrapText="1"/>
    </xf>
    <xf numFmtId="0" fontId="16" fillId="8" borderId="1" xfId="0" applyFont="1" applyFill="1" applyBorder="1" applyAlignment="1">
      <alignment vertical="top"/>
    </xf>
    <xf numFmtId="0" fontId="16" fillId="8" borderId="1" xfId="0" applyFont="1" applyFill="1" applyBorder="1" applyAlignment="1">
      <alignment vertical="top" wrapText="1"/>
    </xf>
    <xf numFmtId="0" fontId="16" fillId="8" borderId="1" xfId="0" applyFont="1" applyFill="1" applyBorder="1" applyAlignment="1">
      <alignment horizontal="center" vertical="top"/>
    </xf>
    <xf numFmtId="0" fontId="21" fillId="0" borderId="1" xfId="0" applyFont="1" applyBorder="1" applyAlignment="1">
      <alignment horizontal="left" vertical="top" wrapText="1"/>
    </xf>
    <xf numFmtId="0" fontId="21" fillId="0" borderId="1" xfId="0" applyFont="1" applyBorder="1" applyAlignment="1">
      <alignment horizontal="center" vertical="top" wrapText="1"/>
    </xf>
    <xf numFmtId="0" fontId="20" fillId="2" borderId="1" xfId="0" applyFont="1" applyFill="1" applyBorder="1" applyAlignment="1">
      <alignment vertical="top" wrapText="1"/>
    </xf>
    <xf numFmtId="0" fontId="16" fillId="0" borderId="1" xfId="0" applyFont="1" applyBorder="1" applyAlignment="1">
      <alignment horizontal="left" vertical="top"/>
    </xf>
    <xf numFmtId="0" fontId="15" fillId="2" borderId="1" xfId="0" applyFont="1" applyFill="1" applyBorder="1" applyAlignment="1">
      <alignment horizontal="left" vertical="top" wrapText="1"/>
    </xf>
    <xf numFmtId="0" fontId="16" fillId="3" borderId="1" xfId="0" applyFont="1" applyFill="1" applyBorder="1" applyAlignment="1">
      <alignment vertical="top" wrapText="1"/>
    </xf>
    <xf numFmtId="0" fontId="16" fillId="3" borderId="1" xfId="0" applyFont="1" applyFill="1" applyBorder="1" applyAlignment="1">
      <alignment horizontal="center" vertical="top" wrapText="1"/>
    </xf>
    <xf numFmtId="0" fontId="15" fillId="2" borderId="6" xfId="0" applyFont="1" applyFill="1" applyBorder="1" applyAlignment="1">
      <alignment vertical="top" wrapText="1"/>
    </xf>
    <xf numFmtId="0" fontId="2" fillId="0" borderId="0" xfId="0" applyFont="1" applyAlignment="1">
      <alignment horizontal="center" vertical="center" wrapText="1"/>
    </xf>
    <xf numFmtId="0" fontId="8" fillId="0" borderId="0" xfId="0" applyFont="1" applyAlignment="1">
      <alignment horizontal="right" vertical="center" wrapText="1"/>
    </xf>
  </cellXfs>
  <cellStyles count="20">
    <cellStyle name="Comma 11" xfId="1" xr:uid="{040BDE9F-A803-41C4-BA10-5D122779879A}"/>
    <cellStyle name="Comma 16" xfId="2" xr:uid="{5D17AFF8-C74F-4A38-B4B3-CFE251F7E132}"/>
    <cellStyle name="Comma 16 2" xfId="3" xr:uid="{9632B673-8D13-4FC4-9175-73A343EF65A9}"/>
    <cellStyle name="Comma 16 2 2" xfId="4" xr:uid="{03E6C9CB-576F-4527-B4C3-B1FE42B1939F}"/>
    <cellStyle name="Comma 3" xfId="5" xr:uid="{89D5F9C6-BE4F-462A-864C-ED2C4C3B351E}"/>
    <cellStyle name="Comma 3 2" xfId="6" xr:uid="{66733553-D0A0-4AB6-91CF-2920C3C70E70}"/>
    <cellStyle name="Comma 5" xfId="7" xr:uid="{F2FD882A-9873-479A-AD13-631A0366FB5F}"/>
    <cellStyle name="Ledger 17 x 11 in 3" xfId="8" xr:uid="{2285D635-D875-4900-86DA-C5BECE1AF0E4}"/>
    <cellStyle name="Normal" xfId="0" builtinId="0"/>
    <cellStyle name="Normal 10 2 5" xfId="9" xr:uid="{6A4D79B3-51B2-4173-8389-817187AB5F8B}"/>
    <cellStyle name="Normal 14" xfId="10" xr:uid="{ED17DDF1-F814-4852-93FE-58EC696FD2AE}"/>
    <cellStyle name="Normal 16" xfId="11" xr:uid="{6039A2E2-73F8-4A7D-B7A3-F53A9E2D3702}"/>
    <cellStyle name="Normal 16 2" xfId="12" xr:uid="{A8709FCD-9A33-4C12-BCDD-FCD06F1808E1}"/>
    <cellStyle name="Normal 16 2 2 3" xfId="13" xr:uid="{D8E4F15D-E61B-40C9-B71D-C7E59C010532}"/>
    <cellStyle name="Normal 2" xfId="14" xr:uid="{FCFF4B93-CA7C-468B-9D96-7AF7920FE66C}"/>
    <cellStyle name="Normal 2 2 2 2" xfId="15" xr:uid="{03BA5D3C-0955-4C43-A020-CBF687A2F544}"/>
    <cellStyle name="Normal 200" xfId="16" xr:uid="{416189D1-2C51-427B-B954-AD080FA281AE}"/>
    <cellStyle name="Normal 3" xfId="17" xr:uid="{57858996-4274-4687-8176-5F2107937FD1}"/>
    <cellStyle name="Normal 5_DT_STTTT_MVP_2012_v1" xfId="18" xr:uid="{1C47CAB9-FC66-4D24-AF55-F3828700E714}"/>
    <cellStyle name="Style 1" xfId="19" xr:uid="{5B6B4BC0-D967-452A-8D26-0A0B852DD42C}"/>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1B8176-B68F-4DCF-AEE6-EBD7F557CB93}">
  <dimension ref="A3:K820"/>
  <sheetViews>
    <sheetView tabSelected="1" zoomScale="70" zoomScaleNormal="70" workbookViewId="0">
      <selection activeCell="D5" sqref="D5"/>
    </sheetView>
  </sheetViews>
  <sheetFormatPr defaultColWidth="8.7109375" defaultRowHeight="15"/>
  <cols>
    <col min="1" max="1" width="10.42578125" style="12" customWidth="1"/>
    <col min="2" max="2" width="47.140625" style="12" customWidth="1"/>
    <col min="3" max="3" width="31.140625" style="16" hidden="1" customWidth="1"/>
    <col min="4" max="4" width="18.28515625" style="21" customWidth="1"/>
    <col min="5" max="5" width="15.85546875" style="12" hidden="1" customWidth="1"/>
    <col min="6" max="6" width="51.85546875" style="12" hidden="1" customWidth="1"/>
    <col min="7" max="7" width="85.85546875" style="14" customWidth="1"/>
    <col min="8" max="8" width="11.42578125" style="13" customWidth="1"/>
    <col min="9" max="9" width="14.5703125" style="13" customWidth="1"/>
    <col min="10" max="16384" width="8.7109375" style="12"/>
  </cols>
  <sheetData>
    <row r="3" spans="1:9" ht="33">
      <c r="A3" s="30" t="s">
        <v>1</v>
      </c>
      <c r="B3" s="30" t="s">
        <v>32</v>
      </c>
      <c r="C3" s="30"/>
      <c r="D3" s="30" t="s">
        <v>33</v>
      </c>
      <c r="E3" s="30" t="s">
        <v>34</v>
      </c>
      <c r="F3" s="30" t="s">
        <v>2</v>
      </c>
      <c r="G3" s="30" t="s">
        <v>30</v>
      </c>
      <c r="H3" s="31" t="s">
        <v>31</v>
      </c>
      <c r="I3" s="30" t="s">
        <v>35</v>
      </c>
    </row>
    <row r="4" spans="1:9" ht="33">
      <c r="A4" s="32" t="s">
        <v>4</v>
      </c>
      <c r="B4" s="33" t="s">
        <v>36</v>
      </c>
      <c r="C4" s="33"/>
      <c r="D4" s="34"/>
      <c r="E4" s="35"/>
      <c r="F4" s="35"/>
      <c r="G4" s="35"/>
      <c r="H4" s="36"/>
      <c r="I4" s="36"/>
    </row>
    <row r="5" spans="1:9" ht="247.5">
      <c r="A5" s="36">
        <f>COUNTA($D$4:D5)</f>
        <v>1</v>
      </c>
      <c r="B5" s="37" t="s">
        <v>430</v>
      </c>
      <c r="C5" s="37"/>
      <c r="D5" s="34" t="s">
        <v>28</v>
      </c>
      <c r="E5" s="35"/>
      <c r="F5" s="38"/>
      <c r="G5" s="38" t="s">
        <v>431</v>
      </c>
      <c r="H5" s="36" t="s">
        <v>5</v>
      </c>
      <c r="I5" s="34" t="s">
        <v>7</v>
      </c>
    </row>
    <row r="6" spans="1:9" ht="165">
      <c r="A6" s="36">
        <v>2</v>
      </c>
      <c r="B6" s="37" t="s">
        <v>432</v>
      </c>
      <c r="C6" s="35"/>
      <c r="D6" s="34" t="s">
        <v>28</v>
      </c>
      <c r="E6" s="35"/>
      <c r="F6" s="38"/>
      <c r="G6" s="38" t="s">
        <v>433</v>
      </c>
      <c r="H6" s="36" t="s">
        <v>5</v>
      </c>
      <c r="I6" s="34" t="s">
        <v>7</v>
      </c>
    </row>
    <row r="7" spans="1:9" ht="181.5">
      <c r="A7" s="36">
        <f>COUNTA($D$4:D7)</f>
        <v>3</v>
      </c>
      <c r="B7" s="37" t="s">
        <v>435</v>
      </c>
      <c r="C7" s="37"/>
      <c r="D7" s="34" t="s">
        <v>28</v>
      </c>
      <c r="E7" s="35"/>
      <c r="F7" s="38"/>
      <c r="G7" s="38" t="s">
        <v>434</v>
      </c>
      <c r="H7" s="36" t="s">
        <v>5</v>
      </c>
      <c r="I7" s="34" t="s">
        <v>7</v>
      </c>
    </row>
    <row r="8" spans="1:9" ht="33">
      <c r="A8" s="40" t="s">
        <v>37</v>
      </c>
      <c r="B8" s="39" t="s">
        <v>636</v>
      </c>
      <c r="C8" s="39"/>
      <c r="D8" s="34"/>
      <c r="E8" s="35"/>
      <c r="F8" s="35"/>
      <c r="G8" s="35"/>
      <c r="H8" s="36"/>
      <c r="I8" s="36"/>
    </row>
    <row r="9" spans="1:9" ht="82.5">
      <c r="A9" s="49">
        <f>COUNTA($D$4:D9)</f>
        <v>4</v>
      </c>
      <c r="B9" s="50" t="str">
        <f>"Thu thập dữ liệu "&amp;C9 &amp;" từ "&amp;D9</f>
        <v>Thu thập dữ liệu Thông tin Bản án, quyết định từ Tòa án nhân dân tối cao</v>
      </c>
      <c r="C9" s="50" t="s">
        <v>637</v>
      </c>
      <c r="D9" s="51" t="s">
        <v>638</v>
      </c>
      <c r="E9" s="35"/>
      <c r="F9" s="38"/>
      <c r="G9" s="38" t="str">
        <f>"1. "&amp;D9&amp; " gửi dữ liệu " &amp;C9&amp; " đến kho dữ liệu dùng chung. Kho dữ liệu dùng chung tiếp nhận dữ liệu "&amp;C9&amp;" từ hệ thống nguồn thông qua kênh tích hợp. Trường hợp dữ liệu không đạt yêu cầu, hệ thống gửi thông báo lỗi kèm nguyên nhân. Nếu dữ liệu đạt yêu cầu, hệ thống tiếp nhận dữ liệu và thông báo thành công."</f>
        <v>1. Tòa án nhân dân tối cao gửi dữ liệu Thông tin Bản án, quyết định đến kho dữ liệu dùng chung. Kho dữ liệu dùng chung tiếp nhận dữ liệu Thông tin Bản án, quyết định từ hệ thống nguồn thông qua kênh tích hợp. Trường hợp dữ liệu không đạt yêu cầu, hệ thống gửi thông báo lỗi kèm nguyên nhân. Nếu dữ liệu đạt yêu cầu, hệ thống tiếp nhận dữ liệu và thông báo thành công.</v>
      </c>
      <c r="H9" s="36" t="s">
        <v>5</v>
      </c>
      <c r="I9" s="36" t="s">
        <v>6</v>
      </c>
    </row>
    <row r="10" spans="1:9" ht="82.5">
      <c r="A10" s="36">
        <f>COUNTA($D$4:D10)</f>
        <v>5</v>
      </c>
      <c r="B10" s="38" t="str">
        <f>"Thu thập dữ liệu "&amp;C10</f>
        <v>Thu thập dữ liệu Danh mục giới tính</v>
      </c>
      <c r="C10" s="38" t="s">
        <v>38</v>
      </c>
      <c r="D10" s="34" t="s">
        <v>39</v>
      </c>
      <c r="E10" s="35"/>
      <c r="F10" s="38"/>
      <c r="G10" s="38" t="str">
        <f>"1. "&amp;D10&amp; " gửi dữ liệu " &amp;C10&amp; " đến kho dữ liệu dùng chung. Kho dữ liệu dùng chung tiếp nhận dữ liệu "&amp;C10&amp;" từ hệ thống nguồn thông qua kênh tích hợp. Trường hợp dữ liệu không đạt yêu cầu, hệ thống gửi thông báo lỗi kèm nguyên nhân. Nếu dữ liệu đạt yêu cầu, hệ thống tiếp nhận dữ liệu và thông báo thành công."</f>
        <v>1. Hệ thống nguồn (TTDLQG) gửi dữ liệu Danh mục giới tính đến kho dữ liệu dùng chung. Kho dữ liệu dùng chung tiếp nhận dữ liệu Danh mục giới tính từ hệ thống nguồn thông qua kênh tích hợp. Trường hợp dữ liệu không đạt yêu cầu, hệ thống gửi thông báo lỗi kèm nguyên nhân. Nếu dữ liệu đạt yêu cầu, hệ thống tiếp nhận dữ liệu và thông báo thành công.</v>
      </c>
      <c r="H10" s="36" t="s">
        <v>5</v>
      </c>
      <c r="I10" s="36" t="s">
        <v>6</v>
      </c>
    </row>
    <row r="11" spans="1:9" ht="82.5">
      <c r="A11" s="36">
        <f>COUNTA($D$4:D11)</f>
        <v>6</v>
      </c>
      <c r="B11" s="38" t="str">
        <f t="shared" ref="B11:B17" si="0">"Thu thập dữ liệu "&amp;C11</f>
        <v>Thu thập dữ liệu Danh mục và mã các dân tộc</v>
      </c>
      <c r="C11" s="38" t="s">
        <v>40</v>
      </c>
      <c r="D11" s="34" t="s">
        <v>39</v>
      </c>
      <c r="E11" s="35"/>
      <c r="F11" s="38"/>
      <c r="G11" s="38" t="str">
        <f t="shared" ref="G11:G17" si="1">"1. "&amp;D11&amp; " gửi dữ liệu " &amp;C11&amp; " đến kho dữ liệu dùng chung. Kho dữ liệu dùng chung tiếp nhận dữ liệu "&amp;C11&amp;" từ hệ thống nguồn thông qua kênh tích hợp. Trường hợp dữ liệu không đạt yêu cầu, hệ thống gửi thông báo lỗi kèm nguyên nhân. Nếu dữ liệu đạt yêu cầu, hệ thống tiếp nhận dữ liệu và thông báo thành công."</f>
        <v>1. Hệ thống nguồn (TTDLQG) gửi dữ liệu Danh mục và mã các dân tộc đến kho dữ liệu dùng chung. Kho dữ liệu dùng chung tiếp nhận dữ liệu Danh mục và mã các dân tộc từ hệ thống nguồn thông qua kênh tích hợp. Trường hợp dữ liệu không đạt yêu cầu, hệ thống gửi thông báo lỗi kèm nguyên nhân. Nếu dữ liệu đạt yêu cầu, hệ thống tiếp nhận dữ liệu và thông báo thành công.</v>
      </c>
      <c r="H11" s="36" t="s">
        <v>5</v>
      </c>
      <c r="I11" s="36" t="s">
        <v>6</v>
      </c>
    </row>
    <row r="12" spans="1:9" ht="82.5">
      <c r="A12" s="36">
        <f>COUNTA($D$4:D12)</f>
        <v>7</v>
      </c>
      <c r="B12" s="38" t="str">
        <f t="shared" si="0"/>
        <v>Thu thập dữ liệu Danh mục và mã Quốc gia, Quốc tịch</v>
      </c>
      <c r="C12" s="38" t="s">
        <v>41</v>
      </c>
      <c r="D12" s="34" t="s">
        <v>39</v>
      </c>
      <c r="E12" s="35"/>
      <c r="F12" s="38"/>
      <c r="G12" s="38" t="str">
        <f t="shared" si="1"/>
        <v>1. Hệ thống nguồn (TTDLQG) gửi dữ liệu Danh mục và mã Quốc gia, Quốc tịch đến kho dữ liệu dùng chung. Kho dữ liệu dùng chung tiếp nhận dữ liệu Danh mục và mã Quốc gia, Quốc tịch từ hệ thống nguồn thông qua kênh tích hợp. Trường hợp dữ liệu không đạt yêu cầu, hệ thống gửi thông báo lỗi kèm nguyên nhân. Nếu dữ liệu đạt yêu cầu, hệ thống tiếp nhận dữ liệu và thông báo thành công.</v>
      </c>
      <c r="H12" s="36" t="s">
        <v>5</v>
      </c>
      <c r="I12" s="36" t="s">
        <v>6</v>
      </c>
    </row>
    <row r="13" spans="1:9" ht="82.5">
      <c r="A13" s="36">
        <f>COUNTA($D$4:D13)</f>
        <v>8</v>
      </c>
      <c r="B13" s="38" t="str">
        <f t="shared" si="0"/>
        <v>Thu thập dữ liệu Danh mục và mã các Tôn giáo</v>
      </c>
      <c r="C13" s="38" t="s">
        <v>42</v>
      </c>
      <c r="D13" s="34" t="s">
        <v>39</v>
      </c>
      <c r="E13" s="35"/>
      <c r="F13" s="38"/>
      <c r="G13" s="38" t="str">
        <f t="shared" si="1"/>
        <v>1. Hệ thống nguồn (TTDLQG) gửi dữ liệu Danh mục và mã các Tôn giáo đến kho dữ liệu dùng chung. Kho dữ liệu dùng chung tiếp nhận dữ liệu Danh mục và mã các Tôn giáo từ hệ thống nguồn thông qua kênh tích hợp. Trường hợp dữ liệu không đạt yêu cầu, hệ thống gửi thông báo lỗi kèm nguyên nhân. Nếu dữ liệu đạt yêu cầu, hệ thống tiếp nhận dữ liệu và thông báo thành công.</v>
      </c>
      <c r="H13" s="36" t="s">
        <v>5</v>
      </c>
      <c r="I13" s="36" t="s">
        <v>6</v>
      </c>
    </row>
    <row r="14" spans="1:9" ht="82.5">
      <c r="A14" s="36">
        <f>COUNTA($D$4:D14)</f>
        <v>9</v>
      </c>
      <c r="B14" s="38" t="str">
        <f t="shared" si="0"/>
        <v>Thu thập dữ liệu Danh mục cơ quan</v>
      </c>
      <c r="C14" s="38" t="s">
        <v>43</v>
      </c>
      <c r="D14" s="34" t="s">
        <v>39</v>
      </c>
      <c r="E14" s="35"/>
      <c r="F14" s="38"/>
      <c r="G14" s="38" t="str">
        <f t="shared" si="1"/>
        <v>1. Hệ thống nguồn (TTDLQG) gửi dữ liệu Danh mục cơ quan đến kho dữ liệu dùng chung. Kho dữ liệu dùng chung tiếp nhận dữ liệu Danh mục cơ quan từ hệ thống nguồn thông qua kênh tích hợp. Trường hợp dữ liệu không đạt yêu cầu, hệ thống gửi thông báo lỗi kèm nguyên nhân. Nếu dữ liệu đạt yêu cầu, hệ thống tiếp nhận dữ liệu và thông báo thành công.</v>
      </c>
      <c r="H14" s="36" t="s">
        <v>5</v>
      </c>
      <c r="I14" s="36" t="s">
        <v>6</v>
      </c>
    </row>
    <row r="15" spans="1:9" ht="82.5">
      <c r="A15" s="36">
        <f>COUNTA($D$4:D15)</f>
        <v>10</v>
      </c>
      <c r="B15" s="38" t="str">
        <f t="shared" si="0"/>
        <v>Thu thập dữ liệu Danh mục đơn vị hành chính</v>
      </c>
      <c r="C15" s="38" t="s">
        <v>44</v>
      </c>
      <c r="D15" s="34" t="s">
        <v>39</v>
      </c>
      <c r="E15" s="35"/>
      <c r="F15" s="38"/>
      <c r="G15" s="38" t="str">
        <f t="shared" si="1"/>
        <v>1. Hệ thống nguồn (TTDLQG) gửi dữ liệu Danh mục đơn vị hành chính đến kho dữ liệu dùng chung. Kho dữ liệu dùng chung tiếp nhận dữ liệu Danh mục đơn vị hành chính từ hệ thống nguồn thông qua kênh tích hợp. Trường hợp dữ liệu không đạt yêu cầu, hệ thống gửi thông báo lỗi kèm nguyên nhân. Nếu dữ liệu đạt yêu cầu, hệ thống tiếp nhận dữ liệu và thông báo thành công.</v>
      </c>
      <c r="H15" s="36" t="s">
        <v>5</v>
      </c>
      <c r="I15" s="36" t="s">
        <v>6</v>
      </c>
    </row>
    <row r="16" spans="1:9" ht="82.5">
      <c r="A16" s="36">
        <f>COUNTA($D$4:D16)</f>
        <v>11</v>
      </c>
      <c r="B16" s="38" t="str">
        <f t="shared" si="0"/>
        <v>Thu thập dữ liệu Danh mục và mã mối quan hệ trong gia đình</v>
      </c>
      <c r="C16" s="38" t="s">
        <v>45</v>
      </c>
      <c r="D16" s="34" t="s">
        <v>39</v>
      </c>
      <c r="E16" s="35"/>
      <c r="F16" s="38"/>
      <c r="G16" s="38" t="str">
        <f t="shared" si="1"/>
        <v>1. Hệ thống nguồn (TTDLQG) gửi dữ liệu Danh mục và mã mối quan hệ trong gia đình đến kho dữ liệu dùng chung. Kho dữ liệu dùng chung tiếp nhận dữ liệu Danh mục và mã mối quan hệ trong gia đình từ hệ thống nguồn thông qua kênh tích hợp. Trường hợp dữ liệu không đạt yêu cầu, hệ thống gửi thông báo lỗi kèm nguyên nhân. Nếu dữ liệu đạt yêu cầu, hệ thống tiếp nhận dữ liệu và thông báo thành công.</v>
      </c>
      <c r="H16" s="36" t="s">
        <v>5</v>
      </c>
      <c r="I16" s="36" t="s">
        <v>6</v>
      </c>
    </row>
    <row r="17" spans="1:9" ht="82.5">
      <c r="A17" s="36">
        <f>COUNTA($D$4:D17)</f>
        <v>12</v>
      </c>
      <c r="B17" s="38" t="str">
        <f t="shared" si="0"/>
        <v>Thu thập dữ liệu Danh mục mã giấy tờ tùy thân</v>
      </c>
      <c r="C17" s="38" t="s">
        <v>46</v>
      </c>
      <c r="D17" s="34" t="s">
        <v>39</v>
      </c>
      <c r="E17" s="35"/>
      <c r="F17" s="38"/>
      <c r="G17" s="38" t="str">
        <f t="shared" si="1"/>
        <v>1. Hệ thống nguồn (TTDLQG) gửi dữ liệu Danh mục mã giấy tờ tùy thân đến kho dữ liệu dùng chung. Kho dữ liệu dùng chung tiếp nhận dữ liệu Danh mục mã giấy tờ tùy thân từ hệ thống nguồn thông qua kênh tích hợp. Trường hợp dữ liệu không đạt yêu cầu, hệ thống gửi thông báo lỗi kèm nguyên nhân. Nếu dữ liệu đạt yêu cầu, hệ thống tiếp nhận dữ liệu và thông báo thành công.</v>
      </c>
      <c r="H17" s="36" t="s">
        <v>5</v>
      </c>
      <c r="I17" s="36" t="s">
        <v>6</v>
      </c>
    </row>
    <row r="18" spans="1:9" ht="99">
      <c r="A18" s="49">
        <f>COUNTA($D$4:D18)</f>
        <v>13</v>
      </c>
      <c r="B18" s="50" t="str">
        <f t="shared" ref="B18" si="2">"Thu thập dữ liệu "&amp;C18</f>
        <v>Thu thập dữ liệu Bảo trợ xã hội và giảm nghèo - Hưởng trợ giúp xã hội</v>
      </c>
      <c r="C18" s="50" t="s">
        <v>639</v>
      </c>
      <c r="D18" s="51" t="s">
        <v>39</v>
      </c>
      <c r="E18" s="35"/>
      <c r="F18" s="38"/>
      <c r="G18" s="38" t="str">
        <f t="shared" ref="G18" si="3">"1. "&amp;D18&amp; " gửi dữ liệu " &amp;C18&amp; " đến kho dữ liệu dùng chung. Kho dữ liệu dùng chung tiếp nhận dữ liệu "&amp;C18&amp;" từ hệ thống nguồn thông qua kênh tích hợp. Trường hợp dữ liệu không đạt yêu cầu, hệ thống gửi thông báo lỗi kèm nguyên nhân. Nếu dữ liệu đạt yêu cầu, hệ thống tiếp nhận dữ liệu và thông báo thành công."</f>
        <v>1. Hệ thống nguồn (TTDLQG) gửi dữ liệu Bảo trợ xã hội và giảm nghèo - Hưởng trợ giúp xã hội đến kho dữ liệu dùng chung. Kho dữ liệu dùng chung tiếp nhận dữ liệu Bảo trợ xã hội và giảm nghèo - Hưởng trợ giúp xã hội từ hệ thống nguồn thông qua kênh tích hợp. Trường hợp dữ liệu không đạt yêu cầu, hệ thống gửi thông báo lỗi kèm nguyên nhân. Nếu dữ liệu đạt yêu cầu, hệ thống tiếp nhận dữ liệu và thông báo thành công.</v>
      </c>
      <c r="H18" s="36" t="s">
        <v>5</v>
      </c>
      <c r="I18" s="36" t="s">
        <v>6</v>
      </c>
    </row>
    <row r="19" spans="1:9" ht="99">
      <c r="A19" s="49">
        <f>COUNTA($D$4:D19)</f>
        <v>14</v>
      </c>
      <c r="B19" s="50" t="str">
        <f t="shared" ref="B19" si="4">"Thu thập dữ liệu "&amp;C19</f>
        <v>Thu thập dữ liệu Bảo trợ xã hội và giảm nghèo - Hưởng trợ giúp xã hội</v>
      </c>
      <c r="C19" s="50" t="s">
        <v>639</v>
      </c>
      <c r="D19" s="51" t="s">
        <v>39</v>
      </c>
      <c r="E19" s="35"/>
      <c r="F19" s="38"/>
      <c r="G19" s="38" t="str">
        <f t="shared" ref="G19" si="5">"1. "&amp;D19&amp; " gửi dữ liệu " &amp;C19&amp; " đến kho dữ liệu dùng chung. Kho dữ liệu dùng chung tiếp nhận dữ liệu "&amp;C19&amp;" từ hệ thống nguồn thông qua kênh tích hợp. Trường hợp dữ liệu không đạt yêu cầu, hệ thống gửi thông báo lỗi kèm nguyên nhân. Nếu dữ liệu đạt yêu cầu, hệ thống tiếp nhận dữ liệu và thông báo thành công."</f>
        <v>1. Hệ thống nguồn (TTDLQG) gửi dữ liệu Bảo trợ xã hội và giảm nghèo - Hưởng trợ giúp xã hội đến kho dữ liệu dùng chung. Kho dữ liệu dùng chung tiếp nhận dữ liệu Bảo trợ xã hội và giảm nghèo - Hưởng trợ giúp xã hội từ hệ thống nguồn thông qua kênh tích hợp. Trường hợp dữ liệu không đạt yêu cầu, hệ thống gửi thông báo lỗi kèm nguyên nhân. Nếu dữ liệu đạt yêu cầu, hệ thống tiếp nhận dữ liệu và thông báo thành công.</v>
      </c>
      <c r="H19" s="36" t="s">
        <v>5</v>
      </c>
      <c r="I19" s="36" t="s">
        <v>6</v>
      </c>
    </row>
    <row r="20" spans="1:9" ht="99">
      <c r="A20" s="49">
        <f>COUNTA($D$4:D20)</f>
        <v>15</v>
      </c>
      <c r="B20" s="50" t="str">
        <f t="shared" ref="B20:B29" si="6">"Thu thập dữ liệu "&amp;C20</f>
        <v>Thu thập dữ liệu Bảo trợ xã hội và giảm nghèo - Thông tin người nghèo, cận nghèo</v>
      </c>
      <c r="C20" s="63" t="s">
        <v>640</v>
      </c>
      <c r="D20" s="51" t="s">
        <v>39</v>
      </c>
      <c r="E20" s="35"/>
      <c r="F20" s="38"/>
      <c r="G20" s="38" t="str">
        <f t="shared" ref="G20:G29" si="7">"1. "&amp;D20&amp; " gửi dữ liệu " &amp;C20&amp; " đến kho dữ liệu dùng chung. Kho dữ liệu dùng chung tiếp nhận dữ liệu "&amp;C20&amp;" từ hệ thống nguồn thông qua kênh tích hợp. Trường hợp dữ liệu không đạt yêu cầu, hệ thống gửi thông báo lỗi kèm nguyên nhân. Nếu dữ liệu đạt yêu cầu, hệ thống tiếp nhận dữ liệu và thông báo thành công."</f>
        <v>1. Hệ thống nguồn (TTDLQG) gửi dữ liệu Bảo trợ xã hội và giảm nghèo - Thông tin người nghèo, cận nghèo đến kho dữ liệu dùng chung. Kho dữ liệu dùng chung tiếp nhận dữ liệu Bảo trợ xã hội và giảm nghèo - Thông tin người nghèo, cận nghèo từ hệ thống nguồn thông qua kênh tích hợp. Trường hợp dữ liệu không đạt yêu cầu, hệ thống gửi thông báo lỗi kèm nguyên nhân. Nếu dữ liệu đạt yêu cầu, hệ thống tiếp nhận dữ liệu và thông báo thành công.</v>
      </c>
      <c r="H20" s="36" t="s">
        <v>5</v>
      </c>
      <c r="I20" s="36" t="s">
        <v>6</v>
      </c>
    </row>
    <row r="21" spans="1:9" ht="82.5">
      <c r="A21" s="49">
        <f>COUNTA($D$4:D21)</f>
        <v>16</v>
      </c>
      <c r="B21" s="50" t="str">
        <f t="shared" si="6"/>
        <v>Thu thập dữ liệu Bảo trợ xã hội và giảm nghèo - Người đơn thân</v>
      </c>
      <c r="C21" s="63" t="s">
        <v>641</v>
      </c>
      <c r="D21" s="51" t="s">
        <v>39</v>
      </c>
      <c r="E21" s="35"/>
      <c r="F21" s="38"/>
      <c r="G21" s="38" t="str">
        <f t="shared" si="7"/>
        <v>1. Hệ thống nguồn (TTDLQG) gửi dữ liệu Bảo trợ xã hội và giảm nghèo - Người đơn thân đến kho dữ liệu dùng chung. Kho dữ liệu dùng chung tiếp nhận dữ liệu Bảo trợ xã hội và giảm nghèo - Người đơn thân từ hệ thống nguồn thông qua kênh tích hợp. Trường hợp dữ liệu không đạt yêu cầu, hệ thống gửi thông báo lỗi kèm nguyên nhân. Nếu dữ liệu đạt yêu cầu, hệ thống tiếp nhận dữ liệu và thông báo thành công.</v>
      </c>
      <c r="H21" s="36" t="s">
        <v>5</v>
      </c>
      <c r="I21" s="36" t="s">
        <v>6</v>
      </c>
    </row>
    <row r="22" spans="1:9" ht="99">
      <c r="A22" s="49">
        <f>COUNTA($D$4:D22)</f>
        <v>17</v>
      </c>
      <c r="B22" s="50" t="str">
        <f t="shared" si="6"/>
        <v>Thu thập dữ liệu Bảo trợ xã hội và giảm nghèo - Trẻ em là đối tượng bảo trợ xã hội</v>
      </c>
      <c r="C22" s="63" t="s">
        <v>642</v>
      </c>
      <c r="D22" s="51" t="s">
        <v>39</v>
      </c>
      <c r="E22" s="35"/>
      <c r="F22" s="38"/>
      <c r="G22" s="38" t="str">
        <f t="shared" si="7"/>
        <v>1. Hệ thống nguồn (TTDLQG) gửi dữ liệu Bảo trợ xã hội và giảm nghèo - Trẻ em là đối tượng bảo trợ xã hội đến kho dữ liệu dùng chung. Kho dữ liệu dùng chung tiếp nhận dữ liệu Bảo trợ xã hội và giảm nghèo - Trẻ em là đối tượng bảo trợ xã hội từ hệ thống nguồn thông qua kênh tích hợp. Trường hợp dữ liệu không đạt yêu cầu, hệ thống gửi thông báo lỗi kèm nguyên nhân. Nếu dữ liệu đạt yêu cầu, hệ thống tiếp nhận dữ liệu và thông báo thành công.</v>
      </c>
      <c r="H22" s="36" t="s">
        <v>5</v>
      </c>
      <c r="I22" s="36" t="s">
        <v>6</v>
      </c>
    </row>
    <row r="23" spans="1:9" ht="82.5">
      <c r="A23" s="49">
        <f>COUNTA($D$4:D23)</f>
        <v>18</v>
      </c>
      <c r="B23" s="50" t="str">
        <f t="shared" si="6"/>
        <v>Thu thập dữ liệu Bảo trợ xã hội và giảm nghèo -Người có HIV</v>
      </c>
      <c r="C23" s="63" t="s">
        <v>643</v>
      </c>
      <c r="D23" s="51" t="s">
        <v>39</v>
      </c>
      <c r="E23" s="35"/>
      <c r="F23" s="38"/>
      <c r="G23" s="38" t="str">
        <f t="shared" si="7"/>
        <v>1. Hệ thống nguồn (TTDLQG) gửi dữ liệu Bảo trợ xã hội và giảm nghèo -Người có HIV đến kho dữ liệu dùng chung. Kho dữ liệu dùng chung tiếp nhận dữ liệu Bảo trợ xã hội và giảm nghèo -Người có HIV từ hệ thống nguồn thông qua kênh tích hợp. Trường hợp dữ liệu không đạt yêu cầu, hệ thống gửi thông báo lỗi kèm nguyên nhân. Nếu dữ liệu đạt yêu cầu, hệ thống tiếp nhận dữ liệu và thông báo thành công.</v>
      </c>
      <c r="H23" s="36" t="s">
        <v>5</v>
      </c>
      <c r="I23" s="36" t="s">
        <v>6</v>
      </c>
    </row>
    <row r="24" spans="1:9" ht="82.5">
      <c r="A24" s="49">
        <f>COUNTA($D$4:D24)</f>
        <v>19</v>
      </c>
      <c r="B24" s="50" t="str">
        <f t="shared" si="6"/>
        <v>Thu thập dữ liệu Bảo trợ xã hội và giảm nghèo -Người cao tuổi</v>
      </c>
      <c r="C24" s="63" t="s">
        <v>644</v>
      </c>
      <c r="D24" s="51" t="s">
        <v>39</v>
      </c>
      <c r="E24" s="35"/>
      <c r="F24" s="38"/>
      <c r="G24" s="38" t="str">
        <f t="shared" si="7"/>
        <v>1. Hệ thống nguồn (TTDLQG) gửi dữ liệu Bảo trợ xã hội và giảm nghèo -Người cao tuổi đến kho dữ liệu dùng chung. Kho dữ liệu dùng chung tiếp nhận dữ liệu Bảo trợ xã hội và giảm nghèo -Người cao tuổi từ hệ thống nguồn thông qua kênh tích hợp. Trường hợp dữ liệu không đạt yêu cầu, hệ thống gửi thông báo lỗi kèm nguyên nhân. Nếu dữ liệu đạt yêu cầu, hệ thống tiếp nhận dữ liệu và thông báo thành công.</v>
      </c>
      <c r="H24" s="36" t="s">
        <v>5</v>
      </c>
      <c r="I24" s="36" t="s">
        <v>6</v>
      </c>
    </row>
    <row r="25" spans="1:9" ht="99">
      <c r="A25" s="49">
        <f>COUNTA($D$4:D25)</f>
        <v>20</v>
      </c>
      <c r="B25" s="50" t="str">
        <f t="shared" si="6"/>
        <v>Thu thập dữ liệu Bảo trợ xã hội và giảm nghèo - Thông tin về người khuyết tật</v>
      </c>
      <c r="C25" s="63" t="s">
        <v>645</v>
      </c>
      <c r="D25" s="51" t="s">
        <v>39</v>
      </c>
      <c r="E25" s="35"/>
      <c r="F25" s="38"/>
      <c r="G25" s="38" t="str">
        <f t="shared" si="7"/>
        <v>1. Hệ thống nguồn (TTDLQG) gửi dữ liệu Bảo trợ xã hội và giảm nghèo - Thông tin về người khuyết tật đến kho dữ liệu dùng chung. Kho dữ liệu dùng chung tiếp nhận dữ liệu Bảo trợ xã hội và giảm nghèo - Thông tin về người khuyết tật từ hệ thống nguồn thông qua kênh tích hợp. Trường hợp dữ liệu không đạt yêu cầu, hệ thống gửi thông báo lỗi kèm nguyên nhân. Nếu dữ liệu đạt yêu cầu, hệ thống tiếp nhận dữ liệu và thông báo thành công.</v>
      </c>
      <c r="H25" s="36" t="s">
        <v>5</v>
      </c>
      <c r="I25" s="36" t="s">
        <v>6</v>
      </c>
    </row>
    <row r="26" spans="1:9" ht="99">
      <c r="A26" s="49">
        <f>COUNTA($D$4:D26)</f>
        <v>21</v>
      </c>
      <c r="B26" s="50" t="str">
        <f t="shared" si="6"/>
        <v>Thu thập dữ liệu Người có công - Hồ sơ công nhận người có công</v>
      </c>
      <c r="C26" s="63" t="s">
        <v>646</v>
      </c>
      <c r="D26" s="51" t="s">
        <v>39</v>
      </c>
      <c r="E26" s="35"/>
      <c r="F26" s="38"/>
      <c r="G26" s="38" t="str">
        <f t="shared" si="7"/>
        <v>1. Hệ thống nguồn (TTDLQG) gửi dữ liệu Người có công - Hồ sơ công nhận người có công đến kho dữ liệu dùng chung. Kho dữ liệu dùng chung tiếp nhận dữ liệu Người có công - Hồ sơ công nhận người có công từ hệ thống nguồn thông qua kênh tích hợp. Trường hợp dữ liệu không đạt yêu cầu, hệ thống gửi thông báo lỗi kèm nguyên nhân. Nếu dữ liệu đạt yêu cầu, hệ thống tiếp nhận dữ liệu và thông báo thành công.</v>
      </c>
      <c r="H26" s="36" t="s">
        <v>5</v>
      </c>
      <c r="I26" s="36" t="s">
        <v>6</v>
      </c>
    </row>
    <row r="27" spans="1:9" ht="82.5">
      <c r="A27" s="49">
        <f>COUNTA($D$4:D27)</f>
        <v>22</v>
      </c>
      <c r="B27" s="50" t="str">
        <f t="shared" si="6"/>
        <v>Thu thập dữ liệu Người có công - Hồ sơ liệt sĩ:</v>
      </c>
      <c r="C27" s="63" t="s">
        <v>647</v>
      </c>
      <c r="D27" s="51" t="s">
        <v>39</v>
      </c>
      <c r="E27" s="35"/>
      <c r="F27" s="38"/>
      <c r="G27" s="38" t="str">
        <f t="shared" si="7"/>
        <v>1. Hệ thống nguồn (TTDLQG) gửi dữ liệu Người có công - Hồ sơ liệt sĩ: đến kho dữ liệu dùng chung. Kho dữ liệu dùng chung tiếp nhận dữ liệu Người có công - Hồ sơ liệt sĩ: từ hệ thống nguồn thông qua kênh tích hợp. Trường hợp dữ liệu không đạt yêu cầu, hệ thống gửi thông báo lỗi kèm nguyên nhân. Nếu dữ liệu đạt yêu cầu, hệ thống tiếp nhận dữ liệu và thông báo thành công.</v>
      </c>
      <c r="H27" s="36" t="s">
        <v>5</v>
      </c>
      <c r="I27" s="36" t="s">
        <v>6</v>
      </c>
    </row>
    <row r="28" spans="1:9" ht="99">
      <c r="A28" s="49">
        <f>COUNTA($D$4:D28)</f>
        <v>23</v>
      </c>
      <c r="B28" s="50" t="str">
        <f t="shared" si="6"/>
        <v>Thu thập dữ liệu Người có công - Hồ sơ công nhận thân nhân người có công</v>
      </c>
      <c r="C28" s="63" t="s">
        <v>648</v>
      </c>
      <c r="D28" s="51" t="s">
        <v>39</v>
      </c>
      <c r="E28" s="35"/>
      <c r="F28" s="38"/>
      <c r="G28" s="38" t="str">
        <f t="shared" si="7"/>
        <v>1. Hệ thống nguồn (TTDLQG) gửi dữ liệu Người có công - Hồ sơ công nhận thân nhân người có công đến kho dữ liệu dùng chung. Kho dữ liệu dùng chung tiếp nhận dữ liệu Người có công - Hồ sơ công nhận thân nhân người có công từ hệ thống nguồn thông qua kênh tích hợp. Trường hợp dữ liệu không đạt yêu cầu, hệ thống gửi thông báo lỗi kèm nguyên nhân. Nếu dữ liệu đạt yêu cầu, hệ thống tiếp nhận dữ liệu và thông báo thành công.</v>
      </c>
      <c r="H28" s="36" t="s">
        <v>5</v>
      </c>
      <c r="I28" s="36" t="s">
        <v>6</v>
      </c>
    </row>
    <row r="29" spans="1:9" ht="82.5">
      <c r="A29" s="49">
        <f>COUNTA($D$4:D29)</f>
        <v>24</v>
      </c>
      <c r="B29" s="50" t="str">
        <f t="shared" si="6"/>
        <v xml:space="preserve">Thu thập dữ liệu Trẻ em -Trẻ em </v>
      </c>
      <c r="C29" s="63" t="s">
        <v>649</v>
      </c>
      <c r="D29" s="51" t="s">
        <v>39</v>
      </c>
      <c r="E29" s="35"/>
      <c r="F29" s="38"/>
      <c r="G29" s="38" t="str">
        <f t="shared" si="7"/>
        <v>1. Hệ thống nguồn (TTDLQG) gửi dữ liệu Trẻ em -Trẻ em  đến kho dữ liệu dùng chung. Kho dữ liệu dùng chung tiếp nhận dữ liệu Trẻ em -Trẻ em  từ hệ thống nguồn thông qua kênh tích hợp. Trường hợp dữ liệu không đạt yêu cầu, hệ thống gửi thông báo lỗi kèm nguyên nhân. Nếu dữ liệu đạt yêu cầu, hệ thống tiếp nhận dữ liệu và thông báo thành công.</v>
      </c>
      <c r="H29" s="36" t="s">
        <v>5</v>
      </c>
      <c r="I29" s="36" t="s">
        <v>6</v>
      </c>
    </row>
    <row r="30" spans="1:9" ht="33">
      <c r="A30" s="40" t="s">
        <v>47</v>
      </c>
      <c r="B30" s="39" t="s">
        <v>48</v>
      </c>
      <c r="C30" s="39"/>
      <c r="D30" s="34"/>
      <c r="E30" s="35"/>
      <c r="F30" s="35"/>
      <c r="G30" s="35"/>
      <c r="H30" s="36"/>
      <c r="I30" s="36"/>
    </row>
    <row r="31" spans="1:9" ht="16.5">
      <c r="A31" s="41" t="s">
        <v>49</v>
      </c>
      <c r="B31" s="42" t="s">
        <v>50</v>
      </c>
      <c r="C31" s="42"/>
      <c r="D31" s="34"/>
      <c r="E31" s="35"/>
      <c r="F31" s="35"/>
      <c r="G31" s="35"/>
      <c r="H31" s="36"/>
      <c r="I31" s="36"/>
    </row>
    <row r="32" spans="1:9" ht="16.5">
      <c r="A32" s="41" t="s">
        <v>51</v>
      </c>
      <c r="B32" s="42" t="s">
        <v>52</v>
      </c>
      <c r="C32" s="42"/>
      <c r="D32" s="34"/>
      <c r="E32" s="35"/>
      <c r="F32" s="35"/>
      <c r="G32" s="35"/>
      <c r="H32" s="36"/>
      <c r="I32" s="36"/>
    </row>
    <row r="33" spans="1:9" ht="82.5">
      <c r="A33" s="36">
        <f>COUNTA($D$4:D33)</f>
        <v>25</v>
      </c>
      <c r="B33" s="38" t="str">
        <f>"Thu thập "&amp;C33</f>
        <v>Thu thập Bộ dữ liệu hồ sơ đăng ký khai sinh</v>
      </c>
      <c r="C33" s="43" t="s">
        <v>53</v>
      </c>
      <c r="D33" s="34" t="s">
        <v>54</v>
      </c>
      <c r="E33" s="35"/>
      <c r="F33" s="38"/>
      <c r="G33" s="38" t="str">
        <f t="shared" ref="G33:G48" si="8">"1. "&amp;D33&amp; " gửi dữ liệu " &amp;C33&amp; " đến kho dữ liệu dùng chung. Kho dữ liệu dùng chung tiếp nhận dữ liệu "&amp;C33&amp;" từ hệ thống nguồn thông qua kênh tích hợp. Trường hợp dữ liệu không đạt yêu cầu, hệ thống gửi thông báo lỗi kèm nguyên nhân. Nếu dữ liệu đạt yêu cầu, hệ thống tiếp nhận dữ liệu và thông báo thành công."</f>
        <v>1. Hệ thống nguồn (CSDL Hộ tịch điện tử) gửi dữ liệu Bộ dữ liệu hồ sơ đăng ký khai sinh đến kho dữ liệu dùng chung. Kho dữ liệu dùng chung tiếp nhận dữ liệu Bộ dữ liệu hồ sơ đăng ký khai sinh từ hệ thống nguồn thông qua kênh tích hợp. Trường hợp dữ liệu không đạt yêu cầu, hệ thống gửi thông báo lỗi kèm nguyên nhân. Nếu dữ liệu đạt yêu cầu, hệ thống tiếp nhận dữ liệu và thông báo thành công.</v>
      </c>
      <c r="H33" s="36" t="s">
        <v>5</v>
      </c>
      <c r="I33" s="36" t="s">
        <v>6</v>
      </c>
    </row>
    <row r="34" spans="1:9" ht="82.5">
      <c r="A34" s="36">
        <f>COUNTA($D$4:D34)</f>
        <v>26</v>
      </c>
      <c r="B34" s="38" t="str">
        <f t="shared" ref="B34:B44" si="9">"Thu thập "&amp;C34</f>
        <v>Thu thập Bộ dữ liệu hồ sơ đăng ký kết hôn</v>
      </c>
      <c r="C34" s="43" t="s">
        <v>55</v>
      </c>
      <c r="D34" s="34" t="s">
        <v>54</v>
      </c>
      <c r="E34" s="35"/>
      <c r="F34" s="38"/>
      <c r="G34" s="38" t="str">
        <f t="shared" si="8"/>
        <v>1. Hệ thống nguồn (CSDL Hộ tịch điện tử) gửi dữ liệu Bộ dữ liệu hồ sơ đăng ký kết hôn đến kho dữ liệu dùng chung. Kho dữ liệu dùng chung tiếp nhận dữ liệu Bộ dữ liệu hồ sơ đăng ký kết hôn từ hệ thống nguồn thông qua kênh tích hợp. Trường hợp dữ liệu không đạt yêu cầu, hệ thống gửi thông báo lỗi kèm nguyên nhân. Nếu dữ liệu đạt yêu cầu, hệ thống tiếp nhận dữ liệu và thông báo thành công.</v>
      </c>
      <c r="H34" s="36" t="s">
        <v>5</v>
      </c>
      <c r="I34" s="36" t="s">
        <v>6</v>
      </c>
    </row>
    <row r="35" spans="1:9" ht="99">
      <c r="A35" s="36">
        <f>COUNTA($D$4:D35)</f>
        <v>27</v>
      </c>
      <c r="B35" s="38" t="str">
        <f t="shared" si="9"/>
        <v>Thu thập Bộ dữ liệu hồ sơ cấp Giấy xác nhận tình trạng hôn nhân</v>
      </c>
      <c r="C35" s="43" t="s">
        <v>56</v>
      </c>
      <c r="D35" s="34" t="s">
        <v>54</v>
      </c>
      <c r="E35" s="35"/>
      <c r="F35" s="38"/>
      <c r="G35" s="38" t="str">
        <f t="shared" si="8"/>
        <v>1. Hệ thống nguồn (CSDL Hộ tịch điện tử) gửi dữ liệu Bộ dữ liệu hồ sơ cấp Giấy xác nhận tình trạng hôn nhân đến kho dữ liệu dùng chung. Kho dữ liệu dùng chung tiếp nhận dữ liệu Bộ dữ liệu hồ sơ cấp Giấy xác nhận tình trạng hôn nhân từ hệ thống nguồn thông qua kênh tích hợp. Trường hợp dữ liệu không đạt yêu cầu, hệ thống gửi thông báo lỗi kèm nguyên nhân. Nếu dữ liệu đạt yêu cầu, hệ thống tiếp nhận dữ liệu và thông báo thành công.</v>
      </c>
      <c r="H35" s="36" t="s">
        <v>5</v>
      </c>
      <c r="I35" s="36" t="s">
        <v>6</v>
      </c>
    </row>
    <row r="36" spans="1:9" ht="82.5">
      <c r="A36" s="36">
        <f>COUNTA($D$4:D36)</f>
        <v>28</v>
      </c>
      <c r="B36" s="38" t="str">
        <f t="shared" si="9"/>
        <v>Thu thập Bộ dữ liệu hồ sơ đăng ký khai tử</v>
      </c>
      <c r="C36" s="43" t="s">
        <v>57</v>
      </c>
      <c r="D36" s="34" t="s">
        <v>54</v>
      </c>
      <c r="E36" s="35"/>
      <c r="F36" s="38"/>
      <c r="G36" s="38" t="str">
        <f t="shared" si="8"/>
        <v>1. Hệ thống nguồn (CSDL Hộ tịch điện tử) gửi dữ liệu Bộ dữ liệu hồ sơ đăng ký khai tử đến kho dữ liệu dùng chung. Kho dữ liệu dùng chung tiếp nhận dữ liệu Bộ dữ liệu hồ sơ đăng ký khai tử từ hệ thống nguồn thông qua kênh tích hợp. Trường hợp dữ liệu không đạt yêu cầu, hệ thống gửi thông báo lỗi kèm nguyên nhân. Nếu dữ liệu đạt yêu cầu, hệ thống tiếp nhận dữ liệu và thông báo thành công.</v>
      </c>
      <c r="H36" s="36" t="s">
        <v>5</v>
      </c>
      <c r="I36" s="36" t="s">
        <v>6</v>
      </c>
    </row>
    <row r="37" spans="1:9" ht="99">
      <c r="A37" s="36">
        <f>COUNTA($D$4:D37)</f>
        <v>29</v>
      </c>
      <c r="B37" s="38" t="str">
        <f t="shared" si="9"/>
        <v>Thu thập Bộ dữ liệu hồ sơ đăng ký nhận cha, mẹ, con</v>
      </c>
      <c r="C37" s="43" t="s">
        <v>58</v>
      </c>
      <c r="D37" s="34" t="s">
        <v>54</v>
      </c>
      <c r="E37" s="35"/>
      <c r="F37" s="38"/>
      <c r="G37" s="38" t="str">
        <f t="shared" si="8"/>
        <v>1. Hệ thống nguồn (CSDL Hộ tịch điện tử) gửi dữ liệu Bộ dữ liệu hồ sơ đăng ký nhận cha, mẹ, con đến kho dữ liệu dùng chung. Kho dữ liệu dùng chung tiếp nhận dữ liệu Bộ dữ liệu hồ sơ đăng ký nhận cha, mẹ, con từ hệ thống nguồn thông qua kênh tích hợp. Trường hợp dữ liệu không đạt yêu cầu, hệ thống gửi thông báo lỗi kèm nguyên nhân. Nếu dữ liệu đạt yêu cầu, hệ thống tiếp nhận dữ liệu và thông báo thành công.</v>
      </c>
      <c r="H37" s="36" t="s">
        <v>5</v>
      </c>
      <c r="I37" s="36" t="s">
        <v>6</v>
      </c>
    </row>
    <row r="38" spans="1:9" ht="82.5">
      <c r="A38" s="36">
        <f>COUNTA($D$4:D38)</f>
        <v>30</v>
      </c>
      <c r="B38" s="38" t="str">
        <f t="shared" si="9"/>
        <v>Thu thập Bộ dữ liệu hồ sơ đăng ký nuôi con nuôi</v>
      </c>
      <c r="C38" s="43" t="s">
        <v>59</v>
      </c>
      <c r="D38" s="34" t="s">
        <v>54</v>
      </c>
      <c r="E38" s="35"/>
      <c r="F38" s="38"/>
      <c r="G38" s="38" t="str">
        <f t="shared" si="8"/>
        <v>1. Hệ thống nguồn (CSDL Hộ tịch điện tử) gửi dữ liệu Bộ dữ liệu hồ sơ đăng ký nuôi con nuôi đến kho dữ liệu dùng chung. Kho dữ liệu dùng chung tiếp nhận dữ liệu Bộ dữ liệu hồ sơ đăng ký nuôi con nuôi từ hệ thống nguồn thông qua kênh tích hợp. Trường hợp dữ liệu không đạt yêu cầu, hệ thống gửi thông báo lỗi kèm nguyên nhân. Nếu dữ liệu đạt yêu cầu, hệ thống tiếp nhận dữ liệu và thông báo thành công.</v>
      </c>
      <c r="H38" s="36" t="s">
        <v>5</v>
      </c>
      <c r="I38" s="36" t="s">
        <v>6</v>
      </c>
    </row>
    <row r="39" spans="1:9" ht="82.5">
      <c r="A39" s="36">
        <f>COUNTA($D$4:D39)</f>
        <v>31</v>
      </c>
      <c r="B39" s="38" t="str">
        <f t="shared" si="9"/>
        <v>Thu thập Bộ dữ liệu hồ sơ đăng ký giám hộ</v>
      </c>
      <c r="C39" s="43" t="s">
        <v>60</v>
      </c>
      <c r="D39" s="34" t="s">
        <v>54</v>
      </c>
      <c r="E39" s="35"/>
      <c r="F39" s="38"/>
      <c r="G39" s="38" t="str">
        <f t="shared" si="8"/>
        <v>1. Hệ thống nguồn (CSDL Hộ tịch điện tử) gửi dữ liệu Bộ dữ liệu hồ sơ đăng ký giám hộ đến kho dữ liệu dùng chung. Kho dữ liệu dùng chung tiếp nhận dữ liệu Bộ dữ liệu hồ sơ đăng ký giám hộ từ hệ thống nguồn thông qua kênh tích hợp. Trường hợp dữ liệu không đạt yêu cầu, hệ thống gửi thông báo lỗi kèm nguyên nhân. Nếu dữ liệu đạt yêu cầu, hệ thống tiếp nhận dữ liệu và thông báo thành công.</v>
      </c>
      <c r="H39" s="36" t="s">
        <v>5</v>
      </c>
      <c r="I39" s="36" t="s">
        <v>6</v>
      </c>
    </row>
    <row r="40" spans="1:9" ht="99">
      <c r="A40" s="36">
        <f>COUNTA($D$4:D40)</f>
        <v>32</v>
      </c>
      <c r="B40" s="38" t="str">
        <f t="shared" si="9"/>
        <v>Thu thập Bộ dữ liệu hồ sơ đăng ký chấm dứt giám hộ</v>
      </c>
      <c r="C40" s="43" t="s">
        <v>61</v>
      </c>
      <c r="D40" s="34" t="s">
        <v>54</v>
      </c>
      <c r="E40" s="35"/>
      <c r="F40" s="38"/>
      <c r="G40" s="38" t="str">
        <f t="shared" si="8"/>
        <v>1. Hệ thống nguồn (CSDL Hộ tịch điện tử) gửi dữ liệu Bộ dữ liệu hồ sơ đăng ký chấm dứt giám hộ đến kho dữ liệu dùng chung. Kho dữ liệu dùng chung tiếp nhận dữ liệu Bộ dữ liệu hồ sơ đăng ký chấm dứt giám hộ từ hệ thống nguồn thông qua kênh tích hợp. Trường hợp dữ liệu không đạt yêu cầu, hệ thống gửi thông báo lỗi kèm nguyên nhân. Nếu dữ liệu đạt yêu cầu, hệ thống tiếp nhận dữ liệu và thông báo thành công.</v>
      </c>
      <c r="H40" s="36" t="s">
        <v>5</v>
      </c>
      <c r="I40" s="36" t="s">
        <v>6</v>
      </c>
    </row>
    <row r="41" spans="1:9" ht="115.5">
      <c r="A41" s="36">
        <f>COUNTA($D$4:D41)</f>
        <v>33</v>
      </c>
      <c r="B41" s="38" t="str">
        <f t="shared" si="9"/>
        <v>Thu thập Bộ dữ liệu hồ sơ đăng ký thay đổi, cải chính, bổ sung thông tin hộ tịch, xác định lại dân tộc</v>
      </c>
      <c r="C41" s="43" t="s">
        <v>62</v>
      </c>
      <c r="D41" s="34" t="s">
        <v>54</v>
      </c>
      <c r="E41" s="35"/>
      <c r="F41" s="38"/>
      <c r="G41" s="38" t="str">
        <f t="shared" si="8"/>
        <v>1. Hệ thống nguồn (CSDL Hộ tịch điện tử) gửi dữ liệu Bộ dữ liệu hồ sơ đăng ký thay đổi, cải chính, bổ sung thông tin hộ tịch, xác định lại dân tộc đến kho dữ liệu dùng chung. Kho dữ liệu dùng chung tiếp nhận dữ liệu Bộ dữ liệu hồ sơ đăng ký thay đổi, cải chính, bổ sung thông tin hộ tịch, xác định lại dân tộc từ hệ thống nguồn thông qua kênh tích hợp. Trường hợp dữ liệu không đạt yêu cầu, hệ thống gửi thông báo lỗi kèm nguyên nhân. Nếu dữ liệu đạt yêu cầu, hệ thống tiếp nhận dữ liệu và thông báo thành công.</v>
      </c>
      <c r="H41" s="36" t="s">
        <v>5</v>
      </c>
      <c r="I41" s="36" t="s">
        <v>6</v>
      </c>
    </row>
    <row r="42" spans="1:9" ht="99">
      <c r="A42" s="36">
        <f>COUNTA($D$4:D42)</f>
        <v>34</v>
      </c>
      <c r="B42" s="38" t="str">
        <f t="shared" si="9"/>
        <v>Thu thập Bộ dữ liệu hồ sơ đăng ký giám sát việc giám hộ</v>
      </c>
      <c r="C42" s="43" t="s">
        <v>63</v>
      </c>
      <c r="D42" s="34" t="s">
        <v>54</v>
      </c>
      <c r="E42" s="35"/>
      <c r="F42" s="38"/>
      <c r="G42" s="38" t="str">
        <f t="shared" si="8"/>
        <v>1. Hệ thống nguồn (CSDL Hộ tịch điện tử) gửi dữ liệu Bộ dữ liệu hồ sơ đăng ký giám sát việc giám hộ đến kho dữ liệu dùng chung. Kho dữ liệu dùng chung tiếp nhận dữ liệu Bộ dữ liệu hồ sơ đăng ký giám sát việc giám hộ từ hệ thống nguồn thông qua kênh tích hợp. Trường hợp dữ liệu không đạt yêu cầu, hệ thống gửi thông báo lỗi kèm nguyên nhân. Nếu dữ liệu đạt yêu cầu, hệ thống tiếp nhận dữ liệu và thông báo thành công.</v>
      </c>
      <c r="H42" s="36" t="s">
        <v>5</v>
      </c>
      <c r="I42" s="36" t="s">
        <v>6</v>
      </c>
    </row>
    <row r="43" spans="1:9" ht="99">
      <c r="A43" s="36">
        <f>COUNTA($D$4:D43)</f>
        <v>35</v>
      </c>
      <c r="B43" s="38" t="str">
        <f t="shared" si="9"/>
        <v>Thu thập Bộ dữ liệu hồ sơ đăng ký chấm dứt giám sát việc giám hộ</v>
      </c>
      <c r="C43" s="43" t="s">
        <v>64</v>
      </c>
      <c r="D43" s="34" t="s">
        <v>54</v>
      </c>
      <c r="E43" s="35"/>
      <c r="F43" s="38"/>
      <c r="G43" s="38" t="str">
        <f t="shared" si="8"/>
        <v>1. Hệ thống nguồn (CSDL Hộ tịch điện tử) gửi dữ liệu Bộ dữ liệu hồ sơ đăng ký chấm dứt giám sát việc giám hộ đến kho dữ liệu dùng chung. Kho dữ liệu dùng chung tiếp nhận dữ liệu Bộ dữ liệu hồ sơ đăng ký chấm dứt giám sát việc giám hộ từ hệ thống nguồn thông qua kênh tích hợp. Trường hợp dữ liệu không đạt yêu cầu, hệ thống gửi thông báo lỗi kèm nguyên nhân. Nếu dữ liệu đạt yêu cầu, hệ thống tiếp nhận dữ liệu và thông báo thành công.</v>
      </c>
      <c r="H43" s="36" t="s">
        <v>5</v>
      </c>
      <c r="I43" s="36" t="s">
        <v>6</v>
      </c>
    </row>
    <row r="44" spans="1:9" ht="132">
      <c r="A44" s="36">
        <f>COUNTA($D$4:D44)</f>
        <v>36</v>
      </c>
      <c r="B44" s="38" t="str">
        <f t="shared" si="9"/>
        <v>Thu thập Bộ dữ liệu hồ sơ ghi vào sổ việc ly hôn/hủy việc kết hôn đã thực hiện tại cơ quan có thẩm quyền của nước ngoài (ghi chú ly hôn)</v>
      </c>
      <c r="C44" s="43" t="s">
        <v>65</v>
      </c>
      <c r="D44" s="34" t="s">
        <v>54</v>
      </c>
      <c r="E44" s="35"/>
      <c r="F44" s="38"/>
      <c r="G44" s="38" t="str">
        <f t="shared" si="8"/>
        <v>1. Hệ thống nguồn (CSDL Hộ tịch điện tử) gửi dữ liệu Bộ dữ liệu hồ sơ ghi vào sổ việc ly hôn/hủy việc kết hôn đã thực hiện tại cơ quan có thẩm quyền của nước ngoài (ghi chú ly hôn) đến kho dữ liệu dùng chung. Kho dữ liệu dùng chung tiếp nhận dữ liệu Bộ dữ liệu hồ sơ ghi vào sổ việc ly hôn/hủy việc kết hôn đã thực hiện tại cơ quan có thẩm quyền của nước ngoài (ghi chú ly hôn) từ hệ thống nguồn thông qua kênh tích hợp. Trường hợp dữ liệu không đạt yêu cầu, hệ thống gửi thông báo lỗi kèm nguyên nhân. Nếu dữ liệu đạt yêu cầu, hệ thống tiếp nhận dữ liệu và thông báo thành công.</v>
      </c>
      <c r="H44" s="36" t="s">
        <v>5</v>
      </c>
      <c r="I44" s="36" t="s">
        <v>6</v>
      </c>
    </row>
    <row r="45" spans="1:9" ht="33">
      <c r="A45" s="41" t="s">
        <v>66</v>
      </c>
      <c r="B45" s="44" t="s">
        <v>67</v>
      </c>
      <c r="C45" s="44"/>
      <c r="D45" s="34"/>
      <c r="E45" s="35"/>
      <c r="F45" s="35"/>
      <c r="G45" s="35"/>
      <c r="H45" s="36"/>
      <c r="I45" s="36"/>
    </row>
    <row r="46" spans="1:9" ht="82.5">
      <c r="A46" s="36">
        <f>COUNTA($D$4:D46)</f>
        <v>37</v>
      </c>
      <c r="B46" s="38" t="str">
        <f t="shared" ref="B46:B48" si="10">"Thu thập dữ liệu "&amp;C46</f>
        <v>Thu thập dữ liệu Nhập Quốc tịch</v>
      </c>
      <c r="C46" s="45" t="s">
        <v>68</v>
      </c>
      <c r="D46" s="34" t="s">
        <v>69</v>
      </c>
      <c r="E46" s="35"/>
      <c r="F46" s="38"/>
      <c r="G46" s="38" t="str">
        <f>"1. "&amp;D46&amp; " gửi dữ liệu " &amp;C46&amp; " đến kho dữ liệu dùng chung. Kho dữ liệu dùng chung tiếp nhận dữ liệu "&amp;C46&amp;" từ hệ thống nguồn thông qua kênh tích hợp. Trường hợp dữ liệu không đạt yêu cầu, hệ thống gửi thông báo lỗi kèm nguyên nhân. Nếu dữ liệu đạt yêu cầu, hệ thống tiếp nhận dữ liệu và thông báo thành công."</f>
        <v>1. Hệ thống nguồn (Hệ thống quản lý hồ sơ quốc tịch) gửi dữ liệu Nhập Quốc tịch đến kho dữ liệu dùng chung. Kho dữ liệu dùng chung tiếp nhận dữ liệu Nhập Quốc tịch từ hệ thống nguồn thông qua kênh tích hợp. Trường hợp dữ liệu không đạt yêu cầu, hệ thống gửi thông báo lỗi kèm nguyên nhân. Nếu dữ liệu đạt yêu cầu, hệ thống tiếp nhận dữ liệu và thông báo thành công.</v>
      </c>
      <c r="H46" s="36" t="s">
        <v>5</v>
      </c>
      <c r="I46" s="36" t="s">
        <v>6</v>
      </c>
    </row>
    <row r="47" spans="1:9" ht="82.5">
      <c r="A47" s="36">
        <f>COUNTA($D$4:D47)</f>
        <v>38</v>
      </c>
      <c r="B47" s="38" t="str">
        <f t="shared" si="10"/>
        <v>Thu thập dữ liệu Thôi Quốc tịch</v>
      </c>
      <c r="C47" s="45" t="s">
        <v>70</v>
      </c>
      <c r="D47" s="34" t="s">
        <v>69</v>
      </c>
      <c r="E47" s="35"/>
      <c r="F47" s="38"/>
      <c r="G47" s="38" t="str">
        <f t="shared" si="8"/>
        <v>1. Hệ thống nguồn (Hệ thống quản lý hồ sơ quốc tịch) gửi dữ liệu Thôi Quốc tịch đến kho dữ liệu dùng chung. Kho dữ liệu dùng chung tiếp nhận dữ liệu Thôi Quốc tịch từ hệ thống nguồn thông qua kênh tích hợp. Trường hợp dữ liệu không đạt yêu cầu, hệ thống gửi thông báo lỗi kèm nguyên nhân. Nếu dữ liệu đạt yêu cầu, hệ thống tiếp nhận dữ liệu và thông báo thành công.</v>
      </c>
      <c r="H47" s="36" t="s">
        <v>5</v>
      </c>
      <c r="I47" s="36" t="s">
        <v>6</v>
      </c>
    </row>
    <row r="48" spans="1:9" ht="82.5">
      <c r="A48" s="36">
        <f>COUNTA($D$4:D48)</f>
        <v>39</v>
      </c>
      <c r="B48" s="38" t="str">
        <f t="shared" si="10"/>
        <v>Thu thập dữ liệu Trở lại Quốc tịch</v>
      </c>
      <c r="C48" s="45" t="s">
        <v>71</v>
      </c>
      <c r="D48" s="34" t="s">
        <v>69</v>
      </c>
      <c r="E48" s="35"/>
      <c r="F48" s="38"/>
      <c r="G48" s="38" t="str">
        <f t="shared" si="8"/>
        <v>1. Hệ thống nguồn (Hệ thống quản lý hồ sơ quốc tịch) gửi dữ liệu Trở lại Quốc tịch đến kho dữ liệu dùng chung. Kho dữ liệu dùng chung tiếp nhận dữ liệu Trở lại Quốc tịch từ hệ thống nguồn thông qua kênh tích hợp. Trường hợp dữ liệu không đạt yêu cầu, hệ thống gửi thông báo lỗi kèm nguyên nhân. Nếu dữ liệu đạt yêu cầu, hệ thống tiếp nhận dữ liệu và thông báo thành công.</v>
      </c>
      <c r="H48" s="36" t="s">
        <v>5</v>
      </c>
      <c r="I48" s="36" t="s">
        <v>6</v>
      </c>
    </row>
    <row r="49" spans="1:9" ht="33">
      <c r="A49" s="41" t="s">
        <v>72</v>
      </c>
      <c r="B49" s="46" t="s">
        <v>73</v>
      </c>
      <c r="C49" s="46"/>
      <c r="D49" s="34"/>
      <c r="E49" s="35"/>
      <c r="F49" s="38"/>
      <c r="G49" s="38"/>
      <c r="H49" s="36"/>
      <c r="I49" s="36"/>
    </row>
    <row r="50" spans="1:9" ht="33">
      <c r="A50" s="41" t="s">
        <v>74</v>
      </c>
      <c r="B50" s="42" t="s">
        <v>75</v>
      </c>
      <c r="C50" s="42"/>
      <c r="D50" s="34"/>
      <c r="E50" s="35"/>
      <c r="F50" s="38"/>
      <c r="G50" s="38"/>
      <c r="H50" s="36"/>
      <c r="I50" s="36"/>
    </row>
    <row r="51" spans="1:9" ht="99">
      <c r="A51" s="36">
        <f>COUNTA($D$4:D51)</f>
        <v>40</v>
      </c>
      <c r="B51" s="38" t="str">
        <f t="shared" ref="B51:B66" si="11">"Thu thập dữ liệu "&amp;C51</f>
        <v>Thu thập dữ liệu Yêu cầu thi hành án của cá nhân, cơ quan, tổ chức</v>
      </c>
      <c r="C51" s="38" t="s">
        <v>78</v>
      </c>
      <c r="D51" s="34" t="s">
        <v>77</v>
      </c>
      <c r="E51" s="35"/>
      <c r="F51" s="38"/>
      <c r="G51" s="38" t="str">
        <f t="shared" ref="G51:G66" si="12">"1. "&amp;D51&amp; " gửi dữ liệu " &amp;C51&amp; " đến kho dữ liệu dùng chung. Kho dữ liệu dùng chung tiếp nhận dữ liệu "&amp;C51&amp;" từ hệ thống nguồn thông qua kênh tích hợp. Trường hợp dữ liệu không đạt yêu cầu, hệ thống gửi thông báo lỗi kèm nguyên nhân. Nếu dữ liệu đạt yêu cầu, hệ thống tiếp nhận dữ liệu và thông báo thành công."</f>
        <v>1. Hệ thống nguồn (CSDL thi hành án dân sự) gửi dữ liệu Yêu cầu thi hành án của cá nhân, cơ quan, tổ chức đến kho dữ liệu dùng chung. Kho dữ liệu dùng chung tiếp nhận dữ liệu Yêu cầu thi hành án của cá nhân, cơ quan, tổ chức từ hệ thống nguồn thông qua kênh tích hợp. Trường hợp dữ liệu không đạt yêu cầu, hệ thống gửi thông báo lỗi kèm nguyên nhân. Nếu dữ liệu đạt yêu cầu, hệ thống tiếp nhận dữ liệu và thông báo thành công.</v>
      </c>
      <c r="H51" s="36" t="s">
        <v>5</v>
      </c>
      <c r="I51" s="36" t="s">
        <v>6</v>
      </c>
    </row>
    <row r="52" spans="1:9" ht="82.5">
      <c r="A52" s="36">
        <f>COUNTA($D$4:D52)</f>
        <v>41</v>
      </c>
      <c r="B52" s="38" t="str">
        <f t="shared" si="11"/>
        <v>Thu thập dữ liệu Quyết định thi hành án dân sự</v>
      </c>
      <c r="C52" s="38" t="s">
        <v>79</v>
      </c>
      <c r="D52" s="34" t="s">
        <v>77</v>
      </c>
      <c r="E52" s="35"/>
      <c r="F52" s="38"/>
      <c r="G52" s="38" t="str">
        <f t="shared" si="12"/>
        <v>1. Hệ thống nguồn (CSDL thi hành án dân sự) gửi dữ liệu Quyết định thi hành án dân sự đến kho dữ liệu dùng chung. Kho dữ liệu dùng chung tiếp nhận dữ liệu Quyết định thi hành án dân sự từ hệ thống nguồn thông qua kênh tích hợp. Trường hợp dữ liệu không đạt yêu cầu, hệ thống gửi thông báo lỗi kèm nguyên nhân. Nếu dữ liệu đạt yêu cầu, hệ thống tiếp nhận dữ liệu và thông báo thành công.</v>
      </c>
      <c r="H52" s="36" t="s">
        <v>5</v>
      </c>
      <c r="I52" s="36" t="s">
        <v>6</v>
      </c>
    </row>
    <row r="53" spans="1:9" ht="115.5">
      <c r="A53" s="36">
        <f>COUNTA($D$4:D53)</f>
        <v>42</v>
      </c>
      <c r="B53" s="38" t="str">
        <f t="shared" si="11"/>
        <v>Thu thập dữ liệu Người phải thi hành án, người được thi hành án, người có quyền lợi nghĩa vụ liên quan</v>
      </c>
      <c r="C53" s="38" t="s">
        <v>80</v>
      </c>
      <c r="D53" s="34" t="s">
        <v>77</v>
      </c>
      <c r="E53" s="35"/>
      <c r="F53" s="38"/>
      <c r="G53" s="38" t="str">
        <f t="shared" si="12"/>
        <v>1. Hệ thống nguồn (CSDL thi hành án dân sự) gửi dữ liệu Người phải thi hành án, người được thi hành án, người có quyền lợi nghĩa vụ liên quan đến kho dữ liệu dùng chung. Kho dữ liệu dùng chung tiếp nhận dữ liệu Người phải thi hành án, người được thi hành án, người có quyền lợi nghĩa vụ liên quan từ hệ thống nguồn thông qua kênh tích hợp. Trường hợp dữ liệu không đạt yêu cầu, hệ thống gửi thông báo lỗi kèm nguyên nhân. Nếu dữ liệu đạt yêu cầu, hệ thống tiếp nhận dữ liệu và thông báo thành công.</v>
      </c>
      <c r="H53" s="36" t="s">
        <v>5</v>
      </c>
      <c r="I53" s="36" t="s">
        <v>6</v>
      </c>
    </row>
    <row r="54" spans="1:9" ht="82.5">
      <c r="A54" s="36">
        <f>COUNTA($D$4:D54)</f>
        <v>43</v>
      </c>
      <c r="B54" s="38" t="str">
        <f t="shared" si="11"/>
        <v>Thu thập dữ liệu Nghĩa vụ thi hành án</v>
      </c>
      <c r="C54" s="38" t="s">
        <v>81</v>
      </c>
      <c r="D54" s="34" t="s">
        <v>77</v>
      </c>
      <c r="E54" s="35"/>
      <c r="F54" s="38"/>
      <c r="G54" s="38" t="str">
        <f t="shared" si="12"/>
        <v>1. Hệ thống nguồn (CSDL thi hành án dân sự) gửi dữ liệu Nghĩa vụ thi hành án đến kho dữ liệu dùng chung. Kho dữ liệu dùng chung tiếp nhận dữ liệu Nghĩa vụ thi hành án từ hệ thống nguồn thông qua kênh tích hợp. Trường hợp dữ liệu không đạt yêu cầu, hệ thống gửi thông báo lỗi kèm nguyên nhân. Nếu dữ liệu đạt yêu cầu, hệ thống tiếp nhận dữ liệu và thông báo thành công.</v>
      </c>
      <c r="H54" s="36" t="s">
        <v>5</v>
      </c>
      <c r="I54" s="36" t="s">
        <v>6</v>
      </c>
    </row>
    <row r="55" spans="1:9" ht="82.5">
      <c r="A55" s="36">
        <f>COUNTA($D$4:D55)</f>
        <v>44</v>
      </c>
      <c r="B55" s="38" t="str">
        <f t="shared" si="11"/>
        <v>Thu thập dữ liệu Trạng thái thi hành án</v>
      </c>
      <c r="C55" s="38" t="s">
        <v>82</v>
      </c>
      <c r="D55" s="34" t="s">
        <v>77</v>
      </c>
      <c r="E55" s="35"/>
      <c r="F55" s="38"/>
      <c r="G55" s="38" t="str">
        <f t="shared" si="12"/>
        <v>1. Hệ thống nguồn (CSDL thi hành án dân sự) gửi dữ liệu Trạng thái thi hành án đến kho dữ liệu dùng chung. Kho dữ liệu dùng chung tiếp nhận dữ liệu Trạng thái thi hành án từ hệ thống nguồn thông qua kênh tích hợp. Trường hợp dữ liệu không đạt yêu cầu, hệ thống gửi thông báo lỗi kèm nguyên nhân. Nếu dữ liệu đạt yêu cầu, hệ thống tiếp nhận dữ liệu và thông báo thành công.</v>
      </c>
      <c r="H55" s="36" t="s">
        <v>5</v>
      </c>
      <c r="I55" s="36" t="s">
        <v>6</v>
      </c>
    </row>
    <row r="56" spans="1:9" ht="82.5">
      <c r="A56" s="36">
        <f>COUNTA($D$4:D56)</f>
        <v>45</v>
      </c>
      <c r="B56" s="38" t="str">
        <f t="shared" si="11"/>
        <v>Thu thập dữ liệu Tài sản thi hành án</v>
      </c>
      <c r="C56" s="38" t="s">
        <v>83</v>
      </c>
      <c r="D56" s="34" t="s">
        <v>77</v>
      </c>
      <c r="E56" s="35"/>
      <c r="F56" s="38"/>
      <c r="G56" s="38" t="str">
        <f t="shared" si="12"/>
        <v>1. Hệ thống nguồn (CSDL thi hành án dân sự) gửi dữ liệu Tài sản thi hành án đến kho dữ liệu dùng chung. Kho dữ liệu dùng chung tiếp nhận dữ liệu Tài sản thi hành án từ hệ thống nguồn thông qua kênh tích hợp. Trường hợp dữ liệu không đạt yêu cầu, hệ thống gửi thông báo lỗi kèm nguyên nhân. Nếu dữ liệu đạt yêu cầu, hệ thống tiếp nhận dữ liệu và thông báo thành công.</v>
      </c>
      <c r="H56" s="36" t="s">
        <v>5</v>
      </c>
      <c r="I56" s="36" t="s">
        <v>6</v>
      </c>
    </row>
    <row r="57" spans="1:9" ht="99">
      <c r="A57" s="36">
        <f>COUNTA($D$4:D57)</f>
        <v>46</v>
      </c>
      <c r="B57" s="38" t="str">
        <f t="shared" si="11"/>
        <v>Thu thập dữ liệu Xác minh điều kiện trong thi hành án dân sự</v>
      </c>
      <c r="C57" s="38" t="s">
        <v>84</v>
      </c>
      <c r="D57" s="34" t="s">
        <v>77</v>
      </c>
      <c r="E57" s="35"/>
      <c r="F57" s="38"/>
      <c r="G57" s="38" t="str">
        <f t="shared" si="12"/>
        <v>1. Hệ thống nguồn (CSDL thi hành án dân sự) gửi dữ liệu Xác minh điều kiện trong thi hành án dân sự đến kho dữ liệu dùng chung. Kho dữ liệu dùng chung tiếp nhận dữ liệu Xác minh điều kiện trong thi hành án dân sự từ hệ thống nguồn thông qua kênh tích hợp. Trường hợp dữ liệu không đạt yêu cầu, hệ thống gửi thông báo lỗi kèm nguyên nhân. Nếu dữ liệu đạt yêu cầu, hệ thống tiếp nhận dữ liệu và thông báo thành công.</v>
      </c>
      <c r="H57" s="36" t="s">
        <v>5</v>
      </c>
      <c r="I57" s="36" t="s">
        <v>6</v>
      </c>
    </row>
    <row r="58" spans="1:9" ht="99">
      <c r="A58" s="36">
        <f>COUNTA($D$4:D58)</f>
        <v>47</v>
      </c>
      <c r="B58" s="38" t="str">
        <f t="shared" si="11"/>
        <v>Thu thập dữ liệu Cưỡng chế thi hành án trong thi hành án dân sự</v>
      </c>
      <c r="C58" s="38" t="s">
        <v>85</v>
      </c>
      <c r="D58" s="34" t="s">
        <v>77</v>
      </c>
      <c r="E58" s="35"/>
      <c r="F58" s="38"/>
      <c r="G58" s="38" t="str">
        <f t="shared" si="12"/>
        <v>1. Hệ thống nguồn (CSDL thi hành án dân sự) gửi dữ liệu Cưỡng chế thi hành án trong thi hành án dân sự đến kho dữ liệu dùng chung. Kho dữ liệu dùng chung tiếp nhận dữ liệu Cưỡng chế thi hành án trong thi hành án dân sự từ hệ thống nguồn thông qua kênh tích hợp. Trường hợp dữ liệu không đạt yêu cầu, hệ thống gửi thông báo lỗi kèm nguyên nhân. Nếu dữ liệu đạt yêu cầu, hệ thống tiếp nhận dữ liệu và thông báo thành công.</v>
      </c>
      <c r="H58" s="36" t="s">
        <v>5</v>
      </c>
      <c r="I58" s="36" t="s">
        <v>6</v>
      </c>
    </row>
    <row r="59" spans="1:9" ht="99">
      <c r="A59" s="36">
        <f>COUNTA($D$4:D59)</f>
        <v>48</v>
      </c>
      <c r="B59" s="38" t="str">
        <f t="shared" si="11"/>
        <v>Thu thập dữ liệu Áp dụng biện pháp bảo đảm trong thi hành án dân sự</v>
      </c>
      <c r="C59" s="38" t="s">
        <v>86</v>
      </c>
      <c r="D59" s="34" t="s">
        <v>77</v>
      </c>
      <c r="E59" s="35"/>
      <c r="F59" s="38"/>
      <c r="G59" s="38" t="str">
        <f t="shared" si="12"/>
        <v>1. Hệ thống nguồn (CSDL thi hành án dân sự) gửi dữ liệu Áp dụng biện pháp bảo đảm trong thi hành án dân sự đến kho dữ liệu dùng chung. Kho dữ liệu dùng chung tiếp nhận dữ liệu Áp dụng biện pháp bảo đảm trong thi hành án dân sự từ hệ thống nguồn thông qua kênh tích hợp. Trường hợp dữ liệu không đạt yêu cầu, hệ thống gửi thông báo lỗi kèm nguyên nhân. Nếu dữ liệu đạt yêu cầu, hệ thống tiếp nhận dữ liệu và thông báo thành công.</v>
      </c>
      <c r="H59" s="36" t="s">
        <v>5</v>
      </c>
      <c r="I59" s="36" t="s">
        <v>6</v>
      </c>
    </row>
    <row r="60" spans="1:9" ht="99">
      <c r="A60" s="36">
        <f>COUNTA($D$4:D60)</f>
        <v>49</v>
      </c>
      <c r="B60" s="38" t="str">
        <f t="shared" si="11"/>
        <v>Thu thập dữ liệu Chứng từ nghiệp vụ trong thi hành án dân sự</v>
      </c>
      <c r="C60" s="38" t="s">
        <v>87</v>
      </c>
      <c r="D60" s="34" t="s">
        <v>77</v>
      </c>
      <c r="E60" s="35"/>
      <c r="F60" s="38"/>
      <c r="G60" s="38" t="str">
        <f t="shared" si="12"/>
        <v>1. Hệ thống nguồn (CSDL thi hành án dân sự) gửi dữ liệu Chứng từ nghiệp vụ trong thi hành án dân sự đến kho dữ liệu dùng chung. Kho dữ liệu dùng chung tiếp nhận dữ liệu Chứng từ nghiệp vụ trong thi hành án dân sự từ hệ thống nguồn thông qua kênh tích hợp. Trường hợp dữ liệu không đạt yêu cầu, hệ thống gửi thông báo lỗi kèm nguyên nhân. Nếu dữ liệu đạt yêu cầu, hệ thống tiếp nhận dữ liệu và thông báo thành công.</v>
      </c>
      <c r="H60" s="36" t="s">
        <v>5</v>
      </c>
      <c r="I60" s="36" t="s">
        <v>6</v>
      </c>
    </row>
    <row r="61" spans="1:9" ht="82.5">
      <c r="A61" s="36">
        <f>COUNTA($D$4:D61)</f>
        <v>50</v>
      </c>
      <c r="B61" s="38" t="str">
        <f t="shared" si="11"/>
        <v>Thu thập dữ liệu Biên lai thu tiền thi hành án dân sự</v>
      </c>
      <c r="C61" s="38" t="s">
        <v>88</v>
      </c>
      <c r="D61" s="34" t="s">
        <v>77</v>
      </c>
      <c r="E61" s="35"/>
      <c r="F61" s="38"/>
      <c r="G61" s="38" t="str">
        <f t="shared" si="12"/>
        <v>1. Hệ thống nguồn (CSDL thi hành án dân sự) gửi dữ liệu Biên lai thu tiền thi hành án dân sự đến kho dữ liệu dùng chung. Kho dữ liệu dùng chung tiếp nhận dữ liệu Biên lai thu tiền thi hành án dân sự từ hệ thống nguồn thông qua kênh tích hợp. Trường hợp dữ liệu không đạt yêu cầu, hệ thống gửi thông báo lỗi kèm nguyên nhân. Nếu dữ liệu đạt yêu cầu, hệ thống tiếp nhận dữ liệu và thông báo thành công.</v>
      </c>
      <c r="H61" s="36" t="s">
        <v>5</v>
      </c>
      <c r="I61" s="36" t="s">
        <v>6</v>
      </c>
    </row>
    <row r="62" spans="1:9" ht="82.5">
      <c r="A62" s="36">
        <f>COUNTA($D$4:D62)</f>
        <v>51</v>
      </c>
      <c r="B62" s="38" t="str">
        <f t="shared" si="11"/>
        <v>Thu thập dữ liệu Vật chứng trong thi hành án dân sự</v>
      </c>
      <c r="C62" s="38" t="s">
        <v>89</v>
      </c>
      <c r="D62" s="34" t="s">
        <v>77</v>
      </c>
      <c r="E62" s="35"/>
      <c r="F62" s="38"/>
      <c r="G62" s="38" t="str">
        <f t="shared" si="12"/>
        <v>1. Hệ thống nguồn (CSDL thi hành án dân sự) gửi dữ liệu Vật chứng trong thi hành án dân sự đến kho dữ liệu dùng chung. Kho dữ liệu dùng chung tiếp nhận dữ liệu Vật chứng trong thi hành án dân sự từ hệ thống nguồn thông qua kênh tích hợp. Trường hợp dữ liệu không đạt yêu cầu, hệ thống gửi thông báo lỗi kèm nguyên nhân. Nếu dữ liệu đạt yêu cầu, hệ thống tiếp nhận dữ liệu và thông báo thành công.</v>
      </c>
      <c r="H62" s="36" t="s">
        <v>5</v>
      </c>
      <c r="I62" s="36" t="s">
        <v>6</v>
      </c>
    </row>
    <row r="63" spans="1:9" ht="99">
      <c r="A63" s="36">
        <f>COUNTA($D$4:D63)</f>
        <v>52</v>
      </c>
      <c r="B63" s="38" t="str">
        <f t="shared" si="11"/>
        <v>Thu thập dữ liệu Thẩm định giá tài sản trong thi hành án dân sự</v>
      </c>
      <c r="C63" s="38" t="s">
        <v>90</v>
      </c>
      <c r="D63" s="34" t="s">
        <v>77</v>
      </c>
      <c r="E63" s="35"/>
      <c r="F63" s="38"/>
      <c r="G63" s="38" t="str">
        <f t="shared" si="12"/>
        <v>1. Hệ thống nguồn (CSDL thi hành án dân sự) gửi dữ liệu Thẩm định giá tài sản trong thi hành án dân sự đến kho dữ liệu dùng chung. Kho dữ liệu dùng chung tiếp nhận dữ liệu Thẩm định giá tài sản trong thi hành án dân sự từ hệ thống nguồn thông qua kênh tích hợp. Trường hợp dữ liệu không đạt yêu cầu, hệ thống gửi thông báo lỗi kèm nguyên nhân. Nếu dữ liệu đạt yêu cầu, hệ thống tiếp nhận dữ liệu và thông báo thành công.</v>
      </c>
      <c r="H63" s="36" t="s">
        <v>5</v>
      </c>
      <c r="I63" s="36" t="s">
        <v>6</v>
      </c>
    </row>
    <row r="64" spans="1:9" ht="82.5">
      <c r="A64" s="36">
        <f>COUNTA($D$4:D64)</f>
        <v>53</v>
      </c>
      <c r="B64" s="38" t="str">
        <f t="shared" si="11"/>
        <v>Thu thập dữ liệu Đấu giá tài sản trong thi hành án dân sự</v>
      </c>
      <c r="C64" s="38" t="s">
        <v>91</v>
      </c>
      <c r="D64" s="34" t="s">
        <v>77</v>
      </c>
      <c r="E64" s="35"/>
      <c r="F64" s="38"/>
      <c r="G64" s="38" t="str">
        <f t="shared" si="12"/>
        <v>1. Hệ thống nguồn (CSDL thi hành án dân sự) gửi dữ liệu Đấu giá tài sản trong thi hành án dân sự đến kho dữ liệu dùng chung. Kho dữ liệu dùng chung tiếp nhận dữ liệu Đấu giá tài sản trong thi hành án dân sự từ hệ thống nguồn thông qua kênh tích hợp. Trường hợp dữ liệu không đạt yêu cầu, hệ thống gửi thông báo lỗi kèm nguyên nhân. Nếu dữ liệu đạt yêu cầu, hệ thống tiếp nhận dữ liệu và thông báo thành công.</v>
      </c>
      <c r="H64" s="36" t="s">
        <v>5</v>
      </c>
      <c r="I64" s="36" t="s">
        <v>6</v>
      </c>
    </row>
    <row r="65" spans="1:9" ht="99">
      <c r="A65" s="36">
        <f>COUNTA($D$4:D65)</f>
        <v>54</v>
      </c>
      <c r="B65" s="38" t="str">
        <f t="shared" si="11"/>
        <v>Thu thập dữ liệu Giải quyết khiếu nại, tố cáo trong thi hành án dân sự</v>
      </c>
      <c r="C65" s="38" t="s">
        <v>92</v>
      </c>
      <c r="D65" s="34" t="s">
        <v>77</v>
      </c>
      <c r="E65" s="35"/>
      <c r="F65" s="38"/>
      <c r="G65" s="38" t="str">
        <f t="shared" si="12"/>
        <v>1. Hệ thống nguồn (CSDL thi hành án dân sự) gửi dữ liệu Giải quyết khiếu nại, tố cáo trong thi hành án dân sự đến kho dữ liệu dùng chung. Kho dữ liệu dùng chung tiếp nhận dữ liệu Giải quyết khiếu nại, tố cáo trong thi hành án dân sự từ hệ thống nguồn thông qua kênh tích hợp. Trường hợp dữ liệu không đạt yêu cầu, hệ thống gửi thông báo lỗi kèm nguyên nhân. Nếu dữ liệu đạt yêu cầu, hệ thống tiếp nhận dữ liệu và thông báo thành công.</v>
      </c>
      <c r="H65" s="36" t="s">
        <v>5</v>
      </c>
      <c r="I65" s="36" t="s">
        <v>6</v>
      </c>
    </row>
    <row r="66" spans="1:9" ht="99">
      <c r="A66" s="36">
        <f>COUNTA($D$4:D66)</f>
        <v>55</v>
      </c>
      <c r="B66" s="38" t="str">
        <f t="shared" si="11"/>
        <v>Thu thập dữ liệu Hướng dẫn nghiệp vụ trong thi hành án dân sự</v>
      </c>
      <c r="C66" s="38" t="s">
        <v>93</v>
      </c>
      <c r="D66" s="34" t="s">
        <v>77</v>
      </c>
      <c r="E66" s="35"/>
      <c r="F66" s="38"/>
      <c r="G66" s="38" t="str">
        <f t="shared" si="12"/>
        <v>1. Hệ thống nguồn (CSDL thi hành án dân sự) gửi dữ liệu Hướng dẫn nghiệp vụ trong thi hành án dân sự đến kho dữ liệu dùng chung. Kho dữ liệu dùng chung tiếp nhận dữ liệu Hướng dẫn nghiệp vụ trong thi hành án dân sự từ hệ thống nguồn thông qua kênh tích hợp. Trường hợp dữ liệu không đạt yêu cầu, hệ thống gửi thông báo lỗi kèm nguyên nhân. Nếu dữ liệu đạt yêu cầu, hệ thống tiếp nhận dữ liệu và thông báo thành công.</v>
      </c>
      <c r="H66" s="36" t="s">
        <v>5</v>
      </c>
      <c r="I66" s="36" t="s">
        <v>6</v>
      </c>
    </row>
    <row r="67" spans="1:9" ht="33">
      <c r="A67" s="41" t="s">
        <v>94</v>
      </c>
      <c r="B67" s="46" t="s">
        <v>427</v>
      </c>
      <c r="C67" s="46"/>
      <c r="D67" s="34"/>
      <c r="E67" s="35"/>
      <c r="F67" s="35"/>
      <c r="G67" s="35"/>
      <c r="H67" s="36"/>
      <c r="I67" s="36"/>
    </row>
    <row r="68" spans="1:9" ht="33">
      <c r="A68" s="41" t="s">
        <v>96</v>
      </c>
      <c r="B68" s="42" t="s">
        <v>97</v>
      </c>
      <c r="C68" s="42"/>
      <c r="D68" s="34"/>
      <c r="E68" s="35"/>
      <c r="F68" s="35"/>
      <c r="G68" s="35"/>
      <c r="H68" s="36"/>
      <c r="I68" s="36"/>
    </row>
    <row r="69" spans="1:9" ht="99">
      <c r="A69" s="36">
        <f>COUNTA($D$4:D69)</f>
        <v>56</v>
      </c>
      <c r="B69" s="38" t="str">
        <f t="shared" ref="B69:B72" si="13">"Thu thập dữ liệu "&amp;C69</f>
        <v>Thu thập dữ liệu Thông tin chung (Bao gồm người đăng ký và Hợp đồng bảo đảm)</v>
      </c>
      <c r="C69" s="38" t="s">
        <v>98</v>
      </c>
      <c r="D69" s="34" t="s">
        <v>99</v>
      </c>
      <c r="E69" s="35"/>
      <c r="F69" s="38"/>
      <c r="G69" s="38" t="str">
        <f t="shared" ref="G69:G72" si="14">"1. "&amp;D69&amp; " gửi dữ liệu " &amp;C69&amp; " đến kho dữ liệu dùng chung. Kho dữ liệu dùng chung tiếp nhận dữ liệu "&amp;C69&amp;" từ hệ thống nguồn thông qua kênh tích hợp. Trường hợp dữ liệu không đạt yêu cầu, hệ thống gửi thông báo lỗi kèm nguyên nhân. Nếu dữ liệu đạt yêu cầu, hệ thống tiếp nhận dữ liệu và thông báo thành công."</f>
        <v>1. Hệ thống nguồn (CSDL về biện pháp bảo đảm) gửi dữ liệu Thông tin chung (Bao gồm người đăng ký và Hợp đồng bảo đảm) đến kho dữ liệu dùng chung. Kho dữ liệu dùng chung tiếp nhận dữ liệu Thông tin chung (Bao gồm người đăng ký và Hợp đồng bảo đảm) từ hệ thống nguồn thông qua kênh tích hợp. Trường hợp dữ liệu không đạt yêu cầu, hệ thống gửi thông báo lỗi kèm nguyên nhân. Nếu dữ liệu đạt yêu cầu, hệ thống tiếp nhận dữ liệu và thông báo thành công.</v>
      </c>
      <c r="H69" s="36" t="s">
        <v>5</v>
      </c>
      <c r="I69" s="36" t="s">
        <v>6</v>
      </c>
    </row>
    <row r="70" spans="1:9" ht="82.5">
      <c r="A70" s="36">
        <f>COUNTA($D$4:D70)</f>
        <v>57</v>
      </c>
      <c r="B70" s="38" t="str">
        <f t="shared" si="13"/>
        <v>Thu thập dữ liệu Bên bảo đảm</v>
      </c>
      <c r="C70" s="38" t="s">
        <v>100</v>
      </c>
      <c r="D70" s="34" t="s">
        <v>99</v>
      </c>
      <c r="E70" s="35"/>
      <c r="F70" s="38"/>
      <c r="G70" s="38" t="str">
        <f t="shared" si="14"/>
        <v>1. Hệ thống nguồn (CSDL về biện pháp bảo đảm) gửi dữ liệu Bên bảo đảm đến kho dữ liệu dùng chung. Kho dữ liệu dùng chung tiếp nhận dữ liệu Bên bảo đảm từ hệ thống nguồn thông qua kênh tích hợp. Trường hợp dữ liệu không đạt yêu cầu, hệ thống gửi thông báo lỗi kèm nguyên nhân. Nếu dữ liệu đạt yêu cầu, hệ thống tiếp nhận dữ liệu và thông báo thành công.</v>
      </c>
      <c r="H70" s="36" t="s">
        <v>5</v>
      </c>
      <c r="I70" s="36" t="s">
        <v>6</v>
      </c>
    </row>
    <row r="71" spans="1:9" ht="82.5">
      <c r="A71" s="36">
        <f>COUNTA($D$4:D71)</f>
        <v>58</v>
      </c>
      <c r="B71" s="38" t="str">
        <f t="shared" si="13"/>
        <v>Thu thập dữ liệu Bên nhận bảo đảm</v>
      </c>
      <c r="C71" s="38" t="s">
        <v>101</v>
      </c>
      <c r="D71" s="34" t="s">
        <v>99</v>
      </c>
      <c r="E71" s="35"/>
      <c r="F71" s="38"/>
      <c r="G71" s="38" t="str">
        <f t="shared" si="14"/>
        <v>1. Hệ thống nguồn (CSDL về biện pháp bảo đảm) gửi dữ liệu Bên nhận bảo đảm đến kho dữ liệu dùng chung. Kho dữ liệu dùng chung tiếp nhận dữ liệu Bên nhận bảo đảm từ hệ thống nguồn thông qua kênh tích hợp. Trường hợp dữ liệu không đạt yêu cầu, hệ thống gửi thông báo lỗi kèm nguyên nhân. Nếu dữ liệu đạt yêu cầu, hệ thống tiếp nhận dữ liệu và thông báo thành công.</v>
      </c>
      <c r="H71" s="36" t="s">
        <v>5</v>
      </c>
      <c r="I71" s="36" t="s">
        <v>6</v>
      </c>
    </row>
    <row r="72" spans="1:9" ht="82.5">
      <c r="A72" s="36">
        <f>COUNTA($D$4:D72)</f>
        <v>59</v>
      </c>
      <c r="B72" s="38" t="str">
        <f t="shared" si="13"/>
        <v>Thu thập dữ liệu Tài sản bảo đảm</v>
      </c>
      <c r="C72" s="38" t="s">
        <v>102</v>
      </c>
      <c r="D72" s="34" t="s">
        <v>99</v>
      </c>
      <c r="E72" s="35"/>
      <c r="F72" s="38"/>
      <c r="G72" s="38" t="str">
        <f t="shared" si="14"/>
        <v>1. Hệ thống nguồn (CSDL về biện pháp bảo đảm) gửi dữ liệu Tài sản bảo đảm đến kho dữ liệu dùng chung. Kho dữ liệu dùng chung tiếp nhận dữ liệu Tài sản bảo đảm từ hệ thống nguồn thông qua kênh tích hợp. Trường hợp dữ liệu không đạt yêu cầu, hệ thống gửi thông báo lỗi kèm nguyên nhân. Nếu dữ liệu đạt yêu cầu, hệ thống tiếp nhận dữ liệu và thông báo thành công.</v>
      </c>
      <c r="H72" s="36" t="s">
        <v>5</v>
      </c>
      <c r="I72" s="36" t="s">
        <v>6</v>
      </c>
    </row>
    <row r="73" spans="1:9" ht="49.5">
      <c r="A73" s="41" t="s">
        <v>103</v>
      </c>
      <c r="B73" s="46" t="s">
        <v>104</v>
      </c>
      <c r="C73" s="46"/>
      <c r="D73" s="34"/>
      <c r="E73" s="35"/>
      <c r="F73" s="35"/>
      <c r="G73" s="35"/>
      <c r="H73" s="36"/>
      <c r="I73" s="36"/>
    </row>
    <row r="74" spans="1:9" ht="16.5">
      <c r="A74" s="41" t="s">
        <v>105</v>
      </c>
      <c r="B74" s="42" t="s">
        <v>106</v>
      </c>
      <c r="C74" s="42"/>
      <c r="D74" s="34"/>
      <c r="E74" s="35"/>
      <c r="F74" s="35"/>
      <c r="G74" s="35"/>
      <c r="H74" s="36"/>
      <c r="I74" s="36"/>
    </row>
    <row r="75" spans="1:9" ht="82.5">
      <c r="A75" s="36">
        <f>COUNTA($D$4:D75)</f>
        <v>60</v>
      </c>
      <c r="B75" s="38" t="str">
        <f t="shared" ref="B75:B79" si="15">"Thu thập dữ liệu "&amp;C75</f>
        <v>Thu thập dữ liệu Văn bản quy phạm pháp luật</v>
      </c>
      <c r="C75" s="47" t="s">
        <v>107</v>
      </c>
      <c r="D75" s="34" t="s">
        <v>108</v>
      </c>
      <c r="E75" s="35"/>
      <c r="F75" s="38"/>
      <c r="G75" s="38" t="str">
        <f t="shared" ref="G75:G79" si="16">"1. "&amp;D75&amp; " gửi dữ liệu " &amp;C75&amp; " đến kho dữ liệu dùng chung. Kho dữ liệu dùng chung tiếp nhận dữ liệu "&amp;C75&amp;" từ hệ thống nguồn thông qua kênh tích hợp. Trường hợp dữ liệu không đạt yêu cầu, hệ thống gửi thông báo lỗi kèm nguyên nhân. Nếu dữ liệu đạt yêu cầu, hệ thống tiếp nhận dữ liệu và thông báo thành công."</f>
        <v>1. Hệ thống nguồn (CSDL quốc gia về pháp luật) gửi dữ liệu Văn bản quy phạm pháp luật đến kho dữ liệu dùng chung. Kho dữ liệu dùng chung tiếp nhận dữ liệu Văn bản quy phạm pháp luật từ hệ thống nguồn thông qua kênh tích hợp. Trường hợp dữ liệu không đạt yêu cầu, hệ thống gửi thông báo lỗi kèm nguyên nhân. Nếu dữ liệu đạt yêu cầu, hệ thống tiếp nhận dữ liệu và thông báo thành công.</v>
      </c>
      <c r="H75" s="36" t="s">
        <v>5</v>
      </c>
      <c r="I75" s="36" t="s">
        <v>6</v>
      </c>
    </row>
    <row r="76" spans="1:9" ht="99">
      <c r="A76" s="36">
        <f>COUNTA($D$4:D76)</f>
        <v>61</v>
      </c>
      <c r="B76" s="38" t="str">
        <f t="shared" si="15"/>
        <v>Thu thập dữ liệu Nội dung của văn bản quy phạm pháp luật</v>
      </c>
      <c r="C76" s="47" t="s">
        <v>109</v>
      </c>
      <c r="D76" s="34" t="s">
        <v>108</v>
      </c>
      <c r="E76" s="35"/>
      <c r="F76" s="38"/>
      <c r="G76" s="38" t="str">
        <f t="shared" si="16"/>
        <v>1. Hệ thống nguồn (CSDL quốc gia về pháp luật) gửi dữ liệu Nội dung của văn bản quy phạm pháp luật đến kho dữ liệu dùng chung. Kho dữ liệu dùng chung tiếp nhận dữ liệu Nội dung của văn bản quy phạm pháp luật từ hệ thống nguồn thông qua kênh tích hợp. Trường hợp dữ liệu không đạt yêu cầu, hệ thống gửi thông báo lỗi kèm nguyên nhân. Nếu dữ liệu đạt yêu cầu, hệ thống tiếp nhận dữ liệu và thông báo thành công.</v>
      </c>
      <c r="H76" s="36" t="s">
        <v>5</v>
      </c>
      <c r="I76" s="36" t="s">
        <v>6</v>
      </c>
    </row>
    <row r="77" spans="1:9" ht="99">
      <c r="A77" s="36">
        <f>COUNTA($D$4:D77)</f>
        <v>62</v>
      </c>
      <c r="B77" s="38" t="str">
        <f t="shared" si="15"/>
        <v>Thu thập dữ liệu Quan hệ giữa các điều khoản trong các văn bản quy phạm pháp luật</v>
      </c>
      <c r="C77" s="47" t="s">
        <v>110</v>
      </c>
      <c r="D77" s="34" t="s">
        <v>108</v>
      </c>
      <c r="E77" s="35"/>
      <c r="F77" s="38"/>
      <c r="G77" s="38" t="str">
        <f t="shared" si="16"/>
        <v>1. Hệ thống nguồn (CSDL quốc gia về pháp luật) gửi dữ liệu Quan hệ giữa các điều khoản trong các văn bản quy phạm pháp luật đến kho dữ liệu dùng chung. Kho dữ liệu dùng chung tiếp nhận dữ liệu Quan hệ giữa các điều khoản trong các văn bản quy phạm pháp luật từ hệ thống nguồn thông qua kênh tích hợp. Trường hợp dữ liệu không đạt yêu cầu, hệ thống gửi thông báo lỗi kèm nguyên nhân. Nếu dữ liệu đạt yêu cầu, hệ thống tiếp nhận dữ liệu và thông báo thành công.</v>
      </c>
      <c r="H77" s="36" t="s">
        <v>5</v>
      </c>
      <c r="I77" s="36" t="s">
        <v>6</v>
      </c>
    </row>
    <row r="78" spans="1:9" ht="82.5">
      <c r="A78" s="36">
        <f>COUNTA($D$4:D78)</f>
        <v>63</v>
      </c>
      <c r="B78" s="38" t="str">
        <f t="shared" si="15"/>
        <v>Thu thập dữ liệu Văn bản hợp nhất</v>
      </c>
      <c r="C78" s="47" t="s">
        <v>111</v>
      </c>
      <c r="D78" s="34" t="s">
        <v>108</v>
      </c>
      <c r="E78" s="35"/>
      <c r="F78" s="38"/>
      <c r="G78" s="38" t="str">
        <f t="shared" si="16"/>
        <v>1. Hệ thống nguồn (CSDL quốc gia về pháp luật) gửi dữ liệu Văn bản hợp nhất đến kho dữ liệu dùng chung. Kho dữ liệu dùng chung tiếp nhận dữ liệu Văn bản hợp nhất từ hệ thống nguồn thông qua kênh tích hợp. Trường hợp dữ liệu không đạt yêu cầu, hệ thống gửi thông báo lỗi kèm nguyên nhân. Nếu dữ liệu đạt yêu cầu, hệ thống tiếp nhận dữ liệu và thông báo thành công.</v>
      </c>
      <c r="H78" s="36" t="s">
        <v>5</v>
      </c>
      <c r="I78" s="36" t="s">
        <v>6</v>
      </c>
    </row>
    <row r="79" spans="1:9" ht="99">
      <c r="A79" s="36">
        <f>COUNTA($D$4:D79)</f>
        <v>64</v>
      </c>
      <c r="B79" s="38" t="str">
        <f t="shared" si="15"/>
        <v>Thu thập dữ liệu Hệ thống hóa văn bản quy phạm pháp luật</v>
      </c>
      <c r="C79" s="47" t="s">
        <v>112</v>
      </c>
      <c r="D79" s="34" t="s">
        <v>108</v>
      </c>
      <c r="E79" s="35"/>
      <c r="F79" s="38"/>
      <c r="G79" s="38" t="str">
        <f t="shared" si="16"/>
        <v>1. Hệ thống nguồn (CSDL quốc gia về pháp luật) gửi dữ liệu Hệ thống hóa văn bản quy phạm pháp luật đến kho dữ liệu dùng chung. Kho dữ liệu dùng chung tiếp nhận dữ liệu Hệ thống hóa văn bản quy phạm pháp luật từ hệ thống nguồn thông qua kênh tích hợp. Trường hợp dữ liệu không đạt yêu cầu, hệ thống gửi thông báo lỗi kèm nguyên nhân. Nếu dữ liệu đạt yêu cầu, hệ thống tiếp nhận dữ liệu và thông báo thành công.</v>
      </c>
      <c r="H79" s="36" t="s">
        <v>5</v>
      </c>
      <c r="I79" s="36" t="s">
        <v>6</v>
      </c>
    </row>
    <row r="80" spans="1:9" ht="33">
      <c r="A80" s="41" t="s">
        <v>113</v>
      </c>
      <c r="B80" s="42" t="s">
        <v>114</v>
      </c>
      <c r="C80" s="42"/>
      <c r="D80" s="34"/>
      <c r="E80" s="35"/>
      <c r="F80" s="35"/>
      <c r="G80" s="35"/>
      <c r="H80" s="36"/>
      <c r="I80" s="36"/>
    </row>
    <row r="81" spans="1:9" ht="82.5">
      <c r="A81" s="36">
        <f>COUNTA($D$4:D81)</f>
        <v>65</v>
      </c>
      <c r="B81" s="38" t="str">
        <f t="shared" ref="B81:B82" si="17">"Thu thập dữ liệu "&amp;C81</f>
        <v>Thu thập dữ liệu Hồ sơ ủy thác tư pháp đến</v>
      </c>
      <c r="C81" s="38" t="s">
        <v>115</v>
      </c>
      <c r="D81" s="34" t="s">
        <v>116</v>
      </c>
      <c r="E81" s="35"/>
      <c r="F81" s="38"/>
      <c r="G81" s="38" t="str">
        <f t="shared" ref="G81:G82" si="18">"1. "&amp;D81&amp; " gửi dữ liệu " &amp;C81&amp; " đến kho dữ liệu dùng chung. Kho dữ liệu dùng chung tiếp nhận dữ liệu "&amp;C81&amp;" từ hệ thống nguồn thông qua kênh tích hợp. Trường hợp dữ liệu không đạt yêu cầu, hệ thống gửi thông báo lỗi kèm nguyên nhân. Nếu dữ liệu đạt yêu cầu, hệ thống tiếp nhận dữ liệu và thông báo thành công."</f>
        <v>1. Hệ thống nguồn (CSDL tương trợ tư pháp về dân sự) gửi dữ liệu Hồ sơ ủy thác tư pháp đến đến kho dữ liệu dùng chung. Kho dữ liệu dùng chung tiếp nhận dữ liệu Hồ sơ ủy thác tư pháp đến từ hệ thống nguồn thông qua kênh tích hợp. Trường hợp dữ liệu không đạt yêu cầu, hệ thống gửi thông báo lỗi kèm nguyên nhân. Nếu dữ liệu đạt yêu cầu, hệ thống tiếp nhận dữ liệu và thông báo thành công.</v>
      </c>
      <c r="H81" s="36" t="s">
        <v>5</v>
      </c>
      <c r="I81" s="36" t="s">
        <v>6</v>
      </c>
    </row>
    <row r="82" spans="1:9" ht="82.5">
      <c r="A82" s="36">
        <f>COUNTA($D$4:D82)</f>
        <v>66</v>
      </c>
      <c r="B82" s="38" t="str">
        <f t="shared" si="17"/>
        <v>Thu thập dữ liệu Hồ sơ ủy thác tư pháp đi</v>
      </c>
      <c r="C82" s="38" t="s">
        <v>117</v>
      </c>
      <c r="D82" s="34" t="s">
        <v>116</v>
      </c>
      <c r="E82" s="35"/>
      <c r="F82" s="38"/>
      <c r="G82" s="38" t="str">
        <f t="shared" si="18"/>
        <v>1. Hệ thống nguồn (CSDL tương trợ tư pháp về dân sự) gửi dữ liệu Hồ sơ ủy thác tư pháp đi đến kho dữ liệu dùng chung. Kho dữ liệu dùng chung tiếp nhận dữ liệu Hồ sơ ủy thác tư pháp đi từ hệ thống nguồn thông qua kênh tích hợp. Trường hợp dữ liệu không đạt yêu cầu, hệ thống gửi thông báo lỗi kèm nguyên nhân. Nếu dữ liệu đạt yêu cầu, hệ thống tiếp nhận dữ liệu và thông báo thành công.</v>
      </c>
      <c r="H82" s="36" t="s">
        <v>5</v>
      </c>
      <c r="I82" s="36" t="s">
        <v>6</v>
      </c>
    </row>
    <row r="83" spans="1:9" ht="33">
      <c r="A83" s="41" t="s">
        <v>118</v>
      </c>
      <c r="B83" s="42" t="s">
        <v>119</v>
      </c>
      <c r="C83" s="42"/>
      <c r="D83" s="34"/>
      <c r="E83" s="35"/>
      <c r="F83" s="35"/>
      <c r="G83" s="38"/>
      <c r="H83" s="36"/>
      <c r="I83" s="36"/>
    </row>
    <row r="84" spans="1:9" ht="82.5">
      <c r="A84" s="36">
        <f>COUNTA($D$4:D84)</f>
        <v>67</v>
      </c>
      <c r="B84" s="38" t="str">
        <f t="shared" ref="B84:B91" si="19">"Thu thập dữ liệu "&amp;C84</f>
        <v>Thu thập dữ liệu Tổ chức thực hiện trợ giúp pháp lý</v>
      </c>
      <c r="C84" s="38" t="s">
        <v>120</v>
      </c>
      <c r="D84" s="34" t="s">
        <v>121</v>
      </c>
      <c r="E84" s="35"/>
      <c r="F84" s="38"/>
      <c r="G84" s="38" t="str">
        <f t="shared" ref="G84:G91" si="20">"1. "&amp;D84&amp; " gửi dữ liệu " &amp;C84&amp; " đến kho dữ liệu dùng chung. Kho dữ liệu dùng chung tiếp nhận dữ liệu "&amp;C84&amp;" từ hệ thống nguồn thông qua kênh tích hợp. Trường hợp dữ liệu không đạt yêu cầu, hệ thống gửi thông báo lỗi kèm nguyên nhân. Nếu dữ liệu đạt yêu cầu, hệ thống tiếp nhận dữ liệu và thông báo thành công."</f>
        <v>1. Hệ thống nguồn (Hệ thống thông tin trợ giúp pháp lý) gửi dữ liệu Tổ chức thực hiện trợ giúp pháp lý đến kho dữ liệu dùng chung. Kho dữ liệu dùng chung tiếp nhận dữ liệu Tổ chức thực hiện trợ giúp pháp lý từ hệ thống nguồn thông qua kênh tích hợp. Trường hợp dữ liệu không đạt yêu cầu, hệ thống gửi thông báo lỗi kèm nguyên nhân. Nếu dữ liệu đạt yêu cầu, hệ thống tiếp nhận dữ liệu và thông báo thành công.</v>
      </c>
      <c r="H84" s="36" t="s">
        <v>5</v>
      </c>
      <c r="I84" s="36" t="s">
        <v>6</v>
      </c>
    </row>
    <row r="85" spans="1:9" ht="99">
      <c r="A85" s="36">
        <f>COUNTA($D$4:D85)</f>
        <v>68</v>
      </c>
      <c r="B85" s="38" t="str">
        <f t="shared" si="19"/>
        <v>Thu thập dữ liệu Tổ chức đăng ký tham gia trợ giúp pháp lý</v>
      </c>
      <c r="C85" s="48" t="s">
        <v>122</v>
      </c>
      <c r="D85" s="34" t="s">
        <v>121</v>
      </c>
      <c r="E85" s="35"/>
      <c r="F85" s="38"/>
      <c r="G85" s="38" t="str">
        <f t="shared" si="20"/>
        <v>1. Hệ thống nguồn (Hệ thống thông tin trợ giúp pháp lý) gửi dữ liệu Tổ chức đăng ký tham gia trợ giúp pháp lý đến kho dữ liệu dùng chung. Kho dữ liệu dùng chung tiếp nhận dữ liệu Tổ chức đăng ký tham gia trợ giúp pháp lý từ hệ thống nguồn thông qua kênh tích hợp. Trường hợp dữ liệu không đạt yêu cầu, hệ thống gửi thông báo lỗi kèm nguyên nhân. Nếu dữ liệu đạt yêu cầu, hệ thống tiếp nhận dữ liệu và thông báo thành công.</v>
      </c>
      <c r="H85" s="36" t="s">
        <v>5</v>
      </c>
      <c r="I85" s="36" t="s">
        <v>6</v>
      </c>
    </row>
    <row r="86" spans="1:9" ht="99">
      <c r="A86" s="36">
        <f>COUNTA($D$4:D86)</f>
        <v>69</v>
      </c>
      <c r="B86" s="38" t="str">
        <f t="shared" si="19"/>
        <v>Thu thập dữ liệu Thông tin văn bản cử người thực hiện trợ giúp pháp lý</v>
      </c>
      <c r="C86" s="48" t="s">
        <v>123</v>
      </c>
      <c r="D86" s="34" t="s">
        <v>121</v>
      </c>
      <c r="E86" s="35"/>
      <c r="F86" s="38"/>
      <c r="G86" s="38" t="str">
        <f t="shared" si="20"/>
        <v>1. Hệ thống nguồn (Hệ thống thông tin trợ giúp pháp lý) gửi dữ liệu Thông tin văn bản cử người thực hiện trợ giúp pháp lý đến kho dữ liệu dùng chung. Kho dữ liệu dùng chung tiếp nhận dữ liệu Thông tin văn bản cử người thực hiện trợ giúp pháp lý từ hệ thống nguồn thông qua kênh tích hợp. Trường hợp dữ liệu không đạt yêu cầu, hệ thống gửi thông báo lỗi kèm nguyên nhân. Nếu dữ liệu đạt yêu cầu, hệ thống tiếp nhận dữ liệu và thông báo thành công.</v>
      </c>
      <c r="H86" s="36" t="s">
        <v>5</v>
      </c>
      <c r="I86" s="36" t="s">
        <v>6</v>
      </c>
    </row>
    <row r="87" spans="1:9" ht="82.5">
      <c r="A87" s="36">
        <f>COUNTA($D$4:D87)</f>
        <v>70</v>
      </c>
      <c r="B87" s="38" t="str">
        <f t="shared" si="19"/>
        <v>Thu thập dữ liệu Trung tâm TGPL nhà nước</v>
      </c>
      <c r="C87" s="38" t="s">
        <v>124</v>
      </c>
      <c r="D87" s="34" t="s">
        <v>121</v>
      </c>
      <c r="E87" s="35"/>
      <c r="F87" s="38"/>
      <c r="G87" s="38" t="str">
        <f t="shared" si="20"/>
        <v>1. Hệ thống nguồn (Hệ thống thông tin trợ giúp pháp lý) gửi dữ liệu Trung tâm TGPL nhà nước đến kho dữ liệu dùng chung. Kho dữ liệu dùng chung tiếp nhận dữ liệu Trung tâm TGPL nhà nước từ hệ thống nguồn thông qua kênh tích hợp. Trường hợp dữ liệu không đạt yêu cầu, hệ thống gửi thông báo lỗi kèm nguyên nhân. Nếu dữ liệu đạt yêu cầu, hệ thống tiếp nhận dữ liệu và thông báo thành công.</v>
      </c>
      <c r="H87" s="36" t="s">
        <v>5</v>
      </c>
      <c r="I87" s="36" t="s">
        <v>6</v>
      </c>
    </row>
    <row r="88" spans="1:9" ht="82.5">
      <c r="A88" s="36">
        <f>COUNTA($D$4:D88)</f>
        <v>71</v>
      </c>
      <c r="B88" s="64" t="str">
        <f t="shared" ref="B88" si="21">"Thu thập dữ liệu "&amp;C88</f>
        <v>Thu thập dữ liệu Chi nhánh TGPL</v>
      </c>
      <c r="C88" s="50" t="s">
        <v>650</v>
      </c>
      <c r="D88" s="65" t="s">
        <v>121</v>
      </c>
      <c r="E88" s="35"/>
      <c r="F88" s="38"/>
      <c r="G88" s="38" t="str">
        <f t="shared" si="20"/>
        <v>1. Hệ thống nguồn (Hệ thống thông tin trợ giúp pháp lý) gửi dữ liệu Chi nhánh TGPL đến kho dữ liệu dùng chung. Kho dữ liệu dùng chung tiếp nhận dữ liệu Chi nhánh TGPL từ hệ thống nguồn thông qua kênh tích hợp. Trường hợp dữ liệu không đạt yêu cầu, hệ thống gửi thông báo lỗi kèm nguyên nhân. Nếu dữ liệu đạt yêu cầu, hệ thống tiếp nhận dữ liệu và thông báo thành công.</v>
      </c>
      <c r="H88" s="36" t="s">
        <v>5</v>
      </c>
      <c r="I88" s="36" t="s">
        <v>6</v>
      </c>
    </row>
    <row r="89" spans="1:9" ht="82.5">
      <c r="A89" s="36">
        <f>COUNTA($D$4:D89)</f>
        <v>72</v>
      </c>
      <c r="B89" s="38" t="str">
        <f t="shared" si="19"/>
        <v>Thu thập dữ liệu Người thực hiện TGPL</v>
      </c>
      <c r="C89" s="38" t="s">
        <v>29</v>
      </c>
      <c r="D89" s="34" t="s">
        <v>121</v>
      </c>
      <c r="E89" s="35"/>
      <c r="F89" s="38"/>
      <c r="G89" s="38" t="str">
        <f t="shared" si="20"/>
        <v>1. Hệ thống nguồn (Hệ thống thông tin trợ giúp pháp lý) gửi dữ liệu Người thực hiện TGPL đến kho dữ liệu dùng chung. Kho dữ liệu dùng chung tiếp nhận dữ liệu Người thực hiện TGPL từ hệ thống nguồn thông qua kênh tích hợp. Trường hợp dữ liệu không đạt yêu cầu, hệ thống gửi thông báo lỗi kèm nguyên nhân. Nếu dữ liệu đạt yêu cầu, hệ thống tiếp nhận dữ liệu và thông báo thành công.</v>
      </c>
      <c r="H89" s="36" t="s">
        <v>5</v>
      </c>
      <c r="I89" s="36" t="s">
        <v>6</v>
      </c>
    </row>
    <row r="90" spans="1:9" ht="33">
      <c r="A90" s="41" t="s">
        <v>584</v>
      </c>
      <c r="B90" s="42" t="s">
        <v>464</v>
      </c>
      <c r="C90" s="42"/>
      <c r="D90" s="34"/>
      <c r="E90" s="35"/>
      <c r="F90" s="35"/>
      <c r="G90" s="38"/>
      <c r="H90" s="36"/>
      <c r="I90" s="36"/>
    </row>
    <row r="91" spans="1:9" ht="82.5">
      <c r="A91" s="49">
        <f>COUNTA($D$4:D91)</f>
        <v>73</v>
      </c>
      <c r="B91" s="50" t="str">
        <f t="shared" si="19"/>
        <v>Thu thập dữ liệu Báo cáo viên pháp luật</v>
      </c>
      <c r="C91" s="50" t="s">
        <v>428</v>
      </c>
      <c r="D91" s="51" t="s">
        <v>429</v>
      </c>
      <c r="E91" s="52"/>
      <c r="F91" s="50"/>
      <c r="G91" s="38" t="str">
        <f t="shared" si="20"/>
        <v>1. Hệ thống nguồn (CSDL phổ biến, giáo dục pháp luật và hoà giải cơ sở) gửi dữ liệu Báo cáo viên pháp luật đến kho dữ liệu dùng chung. Kho dữ liệu dùng chung tiếp nhận dữ liệu Báo cáo viên pháp luật từ hệ thống nguồn thông qua kênh tích hợp. Trường hợp dữ liệu không đạt yêu cầu, hệ thống gửi thông báo lỗi kèm nguyên nhân. Nếu dữ liệu đạt yêu cầu, hệ thống tiếp nhận dữ liệu và thông báo thành công.</v>
      </c>
      <c r="H91" s="36" t="s">
        <v>5</v>
      </c>
      <c r="I91" s="36" t="s">
        <v>6</v>
      </c>
    </row>
    <row r="92" spans="1:9" ht="82.5">
      <c r="A92" s="49">
        <f>COUNTA($D$4:D92)</f>
        <v>74</v>
      </c>
      <c r="B92" s="50" t="str">
        <f t="shared" ref="B92:B106" si="22">"Thu thập dữ liệu "&amp;C92</f>
        <v>Thu thập dữ liệu Tuyên truyền viên pháp luật</v>
      </c>
      <c r="C92" s="38" t="s">
        <v>585</v>
      </c>
      <c r="D92" s="51" t="s">
        <v>429</v>
      </c>
      <c r="E92" s="52"/>
      <c r="F92" s="50"/>
      <c r="G92" s="38" t="str">
        <f t="shared" ref="G92:G106" si="23">"1. "&amp;D92&amp; " gửi dữ liệu " &amp;C92&amp; " đến kho dữ liệu dùng chung. Kho dữ liệu dùng chung tiếp nhận dữ liệu "&amp;C92&amp;" từ hệ thống nguồn thông qua kênh tích hợp. Trường hợp dữ liệu không đạt yêu cầu, hệ thống gửi thông báo lỗi kèm nguyên nhân. Nếu dữ liệu đạt yêu cầu, hệ thống tiếp nhận dữ liệu và thông báo thành công."</f>
        <v>1. Hệ thống nguồn (CSDL phổ biến, giáo dục pháp luật và hoà giải cơ sở) gửi dữ liệu Tuyên truyền viên pháp luật đến kho dữ liệu dùng chung. Kho dữ liệu dùng chung tiếp nhận dữ liệu Tuyên truyền viên pháp luật từ hệ thống nguồn thông qua kênh tích hợp. Trường hợp dữ liệu không đạt yêu cầu, hệ thống gửi thông báo lỗi kèm nguyên nhân. Nếu dữ liệu đạt yêu cầu, hệ thống tiếp nhận dữ liệu và thông báo thành công.</v>
      </c>
      <c r="H92" s="36" t="s">
        <v>5</v>
      </c>
      <c r="I92" s="36" t="s">
        <v>6</v>
      </c>
    </row>
    <row r="93" spans="1:9" ht="99">
      <c r="A93" s="49">
        <f>COUNTA($D$4:D93)</f>
        <v>75</v>
      </c>
      <c r="B93" s="50" t="str">
        <f t="shared" si="22"/>
        <v>Thu thập dữ liệu Chương trình, kế hoạch về phổ biến, giáo dục pháp luật</v>
      </c>
      <c r="C93" s="38" t="s">
        <v>586</v>
      </c>
      <c r="D93" s="51" t="s">
        <v>429</v>
      </c>
      <c r="E93" s="52"/>
      <c r="F93" s="50"/>
      <c r="G93" s="38" t="str">
        <f t="shared" si="23"/>
        <v>1. Hệ thống nguồn (CSDL phổ biến, giáo dục pháp luật và hoà giải cơ sở) gửi dữ liệu Chương trình, kế hoạch về phổ biến, giáo dục pháp luật đến kho dữ liệu dùng chung. Kho dữ liệu dùng chung tiếp nhận dữ liệu Chương trình, kế hoạch về phổ biến, giáo dục pháp luật từ hệ thống nguồn thông qua kênh tích hợp. Trường hợp dữ liệu không đạt yêu cầu, hệ thống gửi thông báo lỗi kèm nguyên nhân. Nếu dữ liệu đạt yêu cầu, hệ thống tiếp nhận dữ liệu và thông báo thành công.</v>
      </c>
      <c r="H93" s="36" t="s">
        <v>5</v>
      </c>
      <c r="I93" s="36" t="s">
        <v>6</v>
      </c>
    </row>
    <row r="94" spans="1:9" ht="99">
      <c r="A94" s="49">
        <f>COUNTA($D$4:D94)</f>
        <v>76</v>
      </c>
      <c r="B94" s="50" t="str">
        <f t="shared" si="22"/>
        <v>Thu thập dữ liệu Hội đồng phối hợp phổ biến, giáo dục pháp luật</v>
      </c>
      <c r="C94" s="38" t="s">
        <v>587</v>
      </c>
      <c r="D94" s="51" t="s">
        <v>429</v>
      </c>
      <c r="E94" s="52"/>
      <c r="F94" s="50"/>
      <c r="G94" s="38" t="str">
        <f t="shared" si="23"/>
        <v>1. Hệ thống nguồn (CSDL phổ biến, giáo dục pháp luật và hoà giải cơ sở) gửi dữ liệu Hội đồng phối hợp phổ biến, giáo dục pháp luật đến kho dữ liệu dùng chung. Kho dữ liệu dùng chung tiếp nhận dữ liệu Hội đồng phối hợp phổ biến, giáo dục pháp luật từ hệ thống nguồn thông qua kênh tích hợp. Trường hợp dữ liệu không đạt yêu cầu, hệ thống gửi thông báo lỗi kèm nguyên nhân. Nếu dữ liệu đạt yêu cầu, hệ thống tiếp nhận dữ liệu và thông báo thành công.</v>
      </c>
      <c r="H94" s="36" t="s">
        <v>5</v>
      </c>
      <c r="I94" s="36" t="s">
        <v>6</v>
      </c>
    </row>
    <row r="95" spans="1:9" ht="82.5">
      <c r="A95" s="49">
        <f>COUNTA($D$4:D95)</f>
        <v>77</v>
      </c>
      <c r="B95" s="50" t="str">
        <f t="shared" si="22"/>
        <v>Thu thập dữ liệu Đề án</v>
      </c>
      <c r="C95" s="38" t="s">
        <v>588</v>
      </c>
      <c r="D95" s="51" t="s">
        <v>429</v>
      </c>
      <c r="E95" s="52"/>
      <c r="F95" s="50"/>
      <c r="G95" s="38" t="str">
        <f t="shared" si="23"/>
        <v>1. Hệ thống nguồn (CSDL phổ biến, giáo dục pháp luật và hoà giải cơ sở) gửi dữ liệu Đề án đến kho dữ liệu dùng chung. Kho dữ liệu dùng chung tiếp nhận dữ liệu Đề án từ hệ thống nguồn thông qua kênh tích hợp. Trường hợp dữ liệu không đạt yêu cầu, hệ thống gửi thông báo lỗi kèm nguyên nhân. Nếu dữ liệu đạt yêu cầu, hệ thống tiếp nhận dữ liệu và thông báo thành công.</v>
      </c>
      <c r="H95" s="36" t="s">
        <v>5</v>
      </c>
      <c r="I95" s="36" t="s">
        <v>6</v>
      </c>
    </row>
    <row r="96" spans="1:9" ht="99">
      <c r="A96" s="49">
        <f>COUNTA($D$4:D96)</f>
        <v>78</v>
      </c>
      <c r="B96" s="50" t="str">
        <f t="shared" si="22"/>
        <v>Thu thập dữ liệu Hội nghị tập huấn (trực tuyến, trực tiếp)</v>
      </c>
      <c r="C96" s="38" t="s">
        <v>589</v>
      </c>
      <c r="D96" s="51" t="s">
        <v>429</v>
      </c>
      <c r="E96" s="52"/>
      <c r="F96" s="50"/>
      <c r="G96" s="38" t="str">
        <f t="shared" si="23"/>
        <v>1. Hệ thống nguồn (CSDL phổ biến, giáo dục pháp luật và hoà giải cơ sở) gửi dữ liệu Hội nghị tập huấn (trực tuyến, trực tiếp) đến kho dữ liệu dùng chung. Kho dữ liệu dùng chung tiếp nhận dữ liệu Hội nghị tập huấn (trực tuyến, trực tiếp) từ hệ thống nguồn thông qua kênh tích hợp. Trường hợp dữ liệu không đạt yêu cầu, hệ thống gửi thông báo lỗi kèm nguyên nhân. Nếu dữ liệu đạt yêu cầu, hệ thống tiếp nhận dữ liệu và thông báo thành công.</v>
      </c>
      <c r="H96" s="36" t="s">
        <v>5</v>
      </c>
      <c r="I96" s="36" t="s">
        <v>6</v>
      </c>
    </row>
    <row r="97" spans="1:9" ht="82.5">
      <c r="A97" s="49">
        <f>COUNTA($D$4:D97)</f>
        <v>79</v>
      </c>
      <c r="B97" s="50" t="str">
        <f t="shared" si="22"/>
        <v>Thu thập dữ liệu Hội thảo</v>
      </c>
      <c r="C97" s="38" t="s">
        <v>590</v>
      </c>
      <c r="D97" s="51" t="s">
        <v>429</v>
      </c>
      <c r="E97" s="52"/>
      <c r="F97" s="50"/>
      <c r="G97" s="38" t="str">
        <f t="shared" si="23"/>
        <v>1. Hệ thống nguồn (CSDL phổ biến, giáo dục pháp luật và hoà giải cơ sở) gửi dữ liệu Hội thảo đến kho dữ liệu dùng chung. Kho dữ liệu dùng chung tiếp nhận dữ liệu Hội thảo từ hệ thống nguồn thông qua kênh tích hợp. Trường hợp dữ liệu không đạt yêu cầu, hệ thống gửi thông báo lỗi kèm nguyên nhân. Nếu dữ liệu đạt yêu cầu, hệ thống tiếp nhận dữ liệu và thông báo thành công.</v>
      </c>
      <c r="H97" s="36" t="s">
        <v>5</v>
      </c>
      <c r="I97" s="36" t="s">
        <v>6</v>
      </c>
    </row>
    <row r="98" spans="1:9" ht="82.5">
      <c r="A98" s="49">
        <f>COUNTA($D$4:D98)</f>
        <v>80</v>
      </c>
      <c r="B98" s="50" t="str">
        <f t="shared" si="22"/>
        <v>Thu thập dữ liệu Tổ hoà giải</v>
      </c>
      <c r="C98" s="38" t="s">
        <v>591</v>
      </c>
      <c r="D98" s="51" t="s">
        <v>429</v>
      </c>
      <c r="E98" s="52"/>
      <c r="F98" s="50"/>
      <c r="G98" s="38" t="str">
        <f t="shared" si="23"/>
        <v>1. Hệ thống nguồn (CSDL phổ biến, giáo dục pháp luật và hoà giải cơ sở) gửi dữ liệu Tổ hoà giải đến kho dữ liệu dùng chung. Kho dữ liệu dùng chung tiếp nhận dữ liệu Tổ hoà giải từ hệ thống nguồn thông qua kênh tích hợp. Trường hợp dữ liệu không đạt yêu cầu, hệ thống gửi thông báo lỗi kèm nguyên nhân. Nếu dữ liệu đạt yêu cầu, hệ thống tiếp nhận dữ liệu và thông báo thành công.</v>
      </c>
      <c r="H98" s="36" t="s">
        <v>5</v>
      </c>
      <c r="I98" s="36" t="s">
        <v>6</v>
      </c>
    </row>
    <row r="99" spans="1:9" ht="82.5">
      <c r="A99" s="49">
        <f>COUNTA($D$4:D99)</f>
        <v>81</v>
      </c>
      <c r="B99" s="50" t="str">
        <f t="shared" si="22"/>
        <v>Thu thập dữ liệu Hoà giải viên</v>
      </c>
      <c r="C99" s="38" t="s">
        <v>592</v>
      </c>
      <c r="D99" s="51" t="s">
        <v>429</v>
      </c>
      <c r="E99" s="52"/>
      <c r="F99" s="50"/>
      <c r="G99" s="38" t="str">
        <f t="shared" si="23"/>
        <v>1. Hệ thống nguồn (CSDL phổ biến, giáo dục pháp luật và hoà giải cơ sở) gửi dữ liệu Hoà giải viên đến kho dữ liệu dùng chung. Kho dữ liệu dùng chung tiếp nhận dữ liệu Hoà giải viên từ hệ thống nguồn thông qua kênh tích hợp. Trường hợp dữ liệu không đạt yêu cầu, hệ thống gửi thông báo lỗi kèm nguyên nhân. Nếu dữ liệu đạt yêu cầu, hệ thống tiếp nhận dữ liệu và thông báo thành công.</v>
      </c>
      <c r="H99" s="36" t="s">
        <v>5</v>
      </c>
      <c r="I99" s="36" t="s">
        <v>6</v>
      </c>
    </row>
    <row r="100" spans="1:9" ht="82.5">
      <c r="A100" s="49">
        <f>COUNTA($D$4:D100)</f>
        <v>82</v>
      </c>
      <c r="B100" s="50" t="str">
        <f t="shared" si="22"/>
        <v>Thu thập dữ liệu Vụ việc hoà giải</v>
      </c>
      <c r="C100" s="38" t="s">
        <v>593</v>
      </c>
      <c r="D100" s="51" t="s">
        <v>429</v>
      </c>
      <c r="E100" s="52"/>
      <c r="F100" s="50"/>
      <c r="G100" s="38" t="str">
        <f t="shared" si="23"/>
        <v>1. Hệ thống nguồn (CSDL phổ biến, giáo dục pháp luật và hoà giải cơ sở) gửi dữ liệu Vụ việc hoà giải đến kho dữ liệu dùng chung. Kho dữ liệu dùng chung tiếp nhận dữ liệu Vụ việc hoà giải từ hệ thống nguồn thông qua kênh tích hợp. Trường hợp dữ liệu không đạt yêu cầu, hệ thống gửi thông báo lỗi kèm nguyên nhân. Nếu dữ liệu đạt yêu cầu, hệ thống tiếp nhận dữ liệu và thông báo thành công.</v>
      </c>
      <c r="H100" s="36" t="s">
        <v>5</v>
      </c>
      <c r="I100" s="36" t="s">
        <v>6</v>
      </c>
    </row>
    <row r="101" spans="1:9" ht="82.5">
      <c r="A101" s="49">
        <f>COUNTA($D$4:D101)</f>
        <v>83</v>
      </c>
      <c r="B101" s="50" t="str">
        <f t="shared" si="22"/>
        <v>Thu thập dữ liệu Tập huấn viên</v>
      </c>
      <c r="C101" s="38" t="s">
        <v>594</v>
      </c>
      <c r="D101" s="51" t="s">
        <v>429</v>
      </c>
      <c r="E101" s="52"/>
      <c r="F101" s="50"/>
      <c r="G101" s="38" t="str">
        <f t="shared" si="23"/>
        <v>1. Hệ thống nguồn (CSDL phổ biến, giáo dục pháp luật và hoà giải cơ sở) gửi dữ liệu Tập huấn viên đến kho dữ liệu dùng chung. Kho dữ liệu dùng chung tiếp nhận dữ liệu Tập huấn viên từ hệ thống nguồn thông qua kênh tích hợp. Trường hợp dữ liệu không đạt yêu cầu, hệ thống gửi thông báo lỗi kèm nguyên nhân. Nếu dữ liệu đạt yêu cầu, hệ thống tiếp nhận dữ liệu và thông báo thành công.</v>
      </c>
      <c r="H101" s="36" t="s">
        <v>5</v>
      </c>
      <c r="I101" s="36" t="s">
        <v>6</v>
      </c>
    </row>
    <row r="102" spans="1:9" ht="99">
      <c r="A102" s="49">
        <f>COUNTA($D$4:D102)</f>
        <v>84</v>
      </c>
      <c r="B102" s="50" t="str">
        <f t="shared" si="22"/>
        <v>Thu thập dữ liệu Kinh phí phổ biến giáo dục pháp luật</v>
      </c>
      <c r="C102" s="38" t="s">
        <v>595</v>
      </c>
      <c r="D102" s="51" t="s">
        <v>429</v>
      </c>
      <c r="E102" s="52"/>
      <c r="F102" s="50"/>
      <c r="G102" s="38" t="str">
        <f t="shared" si="23"/>
        <v>1. Hệ thống nguồn (CSDL phổ biến, giáo dục pháp luật và hoà giải cơ sở) gửi dữ liệu Kinh phí phổ biến giáo dục pháp luật đến kho dữ liệu dùng chung. Kho dữ liệu dùng chung tiếp nhận dữ liệu Kinh phí phổ biến giáo dục pháp luật từ hệ thống nguồn thông qua kênh tích hợp. Trường hợp dữ liệu không đạt yêu cầu, hệ thống gửi thông báo lỗi kèm nguyên nhân. Nếu dữ liệu đạt yêu cầu, hệ thống tiếp nhận dữ liệu và thông báo thành công.</v>
      </c>
      <c r="H102" s="36" t="s">
        <v>5</v>
      </c>
      <c r="I102" s="36" t="s">
        <v>6</v>
      </c>
    </row>
    <row r="103" spans="1:9" ht="99">
      <c r="A103" s="49">
        <f>COUNTA($D$4:D103)</f>
        <v>85</v>
      </c>
      <c r="B103" s="50" t="str">
        <f t="shared" si="22"/>
        <v>Thu thập dữ liệu Tiêu chí, chỉ tiêu tiếp cận pháp luật</v>
      </c>
      <c r="C103" s="38" t="s">
        <v>596</v>
      </c>
      <c r="D103" s="51" t="s">
        <v>429</v>
      </c>
      <c r="E103" s="52"/>
      <c r="F103" s="50"/>
      <c r="G103" s="38" t="str">
        <f t="shared" si="23"/>
        <v>1. Hệ thống nguồn (CSDL phổ biến, giáo dục pháp luật và hoà giải cơ sở) gửi dữ liệu Tiêu chí, chỉ tiêu tiếp cận pháp luật đến kho dữ liệu dùng chung. Kho dữ liệu dùng chung tiếp nhận dữ liệu Tiêu chí, chỉ tiêu tiếp cận pháp luật từ hệ thống nguồn thông qua kênh tích hợp. Trường hợp dữ liệu không đạt yêu cầu, hệ thống gửi thông báo lỗi kèm nguyên nhân. Nếu dữ liệu đạt yêu cầu, hệ thống tiếp nhận dữ liệu và thông báo thành công.</v>
      </c>
      <c r="H103" s="36" t="s">
        <v>5</v>
      </c>
      <c r="I103" s="36" t="s">
        <v>6</v>
      </c>
    </row>
    <row r="104" spans="1:9" ht="99">
      <c r="A104" s="49">
        <f>COUNTA($D$4:D104)</f>
        <v>86</v>
      </c>
      <c r="B104" s="50" t="str">
        <f t="shared" si="22"/>
        <v>Thu thập dữ liệu Đánh giá cấp xã đạt chuẩn tiếp cận pháp luật</v>
      </c>
      <c r="C104" s="38" t="s">
        <v>597</v>
      </c>
      <c r="D104" s="51" t="s">
        <v>429</v>
      </c>
      <c r="E104" s="52"/>
      <c r="F104" s="50"/>
      <c r="G104" s="38" t="str">
        <f t="shared" si="23"/>
        <v>1. Hệ thống nguồn (CSDL phổ biến, giáo dục pháp luật và hoà giải cơ sở) gửi dữ liệu Đánh giá cấp xã đạt chuẩn tiếp cận pháp luật đến kho dữ liệu dùng chung. Kho dữ liệu dùng chung tiếp nhận dữ liệu Đánh giá cấp xã đạt chuẩn tiếp cận pháp luật từ hệ thống nguồn thông qua kênh tích hợp. Trường hợp dữ liệu không đạt yêu cầu, hệ thống gửi thông báo lỗi kèm nguyên nhân. Nếu dữ liệu đạt yêu cầu, hệ thống tiếp nhận dữ liệu và thông báo thành công.</v>
      </c>
      <c r="H104" s="36" t="s">
        <v>5</v>
      </c>
      <c r="I104" s="36" t="s">
        <v>6</v>
      </c>
    </row>
    <row r="105" spans="1:9" ht="82.5">
      <c r="A105" s="49">
        <f>COUNTA($D$4:D105)</f>
        <v>87</v>
      </c>
      <c r="B105" s="50" t="str">
        <f t="shared" si="22"/>
        <v>Thu thập dữ liệu Cuộc PBGDPL</v>
      </c>
      <c r="C105" s="38" t="s">
        <v>598</v>
      </c>
      <c r="D105" s="51" t="s">
        <v>429</v>
      </c>
      <c r="E105" s="52"/>
      <c r="F105" s="50"/>
      <c r="G105" s="38" t="str">
        <f t="shared" si="23"/>
        <v>1. Hệ thống nguồn (CSDL phổ biến, giáo dục pháp luật và hoà giải cơ sở) gửi dữ liệu Cuộc PBGDPL đến kho dữ liệu dùng chung. Kho dữ liệu dùng chung tiếp nhận dữ liệu Cuộc PBGDPL từ hệ thống nguồn thông qua kênh tích hợp. Trường hợp dữ liệu không đạt yêu cầu, hệ thống gửi thông báo lỗi kèm nguyên nhân. Nếu dữ liệu đạt yêu cầu, hệ thống tiếp nhận dữ liệu và thông báo thành công.</v>
      </c>
      <c r="H105" s="36" t="s">
        <v>5</v>
      </c>
      <c r="I105" s="36" t="s">
        <v>6</v>
      </c>
    </row>
    <row r="106" spans="1:9" ht="99">
      <c r="A106" s="49">
        <f>COUNTA($D$4:D106)</f>
        <v>88</v>
      </c>
      <c r="B106" s="50" t="str">
        <f t="shared" si="22"/>
        <v>Thu thập dữ liệu Cuộc thi tìm hiểu về pháp luật</v>
      </c>
      <c r="C106" s="53" t="s">
        <v>599</v>
      </c>
      <c r="D106" s="51" t="s">
        <v>429</v>
      </c>
      <c r="E106" s="52"/>
      <c r="F106" s="50"/>
      <c r="G106" s="38" t="str">
        <f t="shared" si="23"/>
        <v>1. Hệ thống nguồn (CSDL phổ biến, giáo dục pháp luật và hoà giải cơ sở) gửi dữ liệu Cuộc thi tìm hiểu về pháp luật đến kho dữ liệu dùng chung. Kho dữ liệu dùng chung tiếp nhận dữ liệu Cuộc thi tìm hiểu về pháp luật từ hệ thống nguồn thông qua kênh tích hợp. Trường hợp dữ liệu không đạt yêu cầu, hệ thống gửi thông báo lỗi kèm nguyên nhân. Nếu dữ liệu đạt yêu cầu, hệ thống tiếp nhận dữ liệu và thông báo thành công.</v>
      </c>
      <c r="H106" s="36" t="s">
        <v>5</v>
      </c>
      <c r="I106" s="36" t="s">
        <v>6</v>
      </c>
    </row>
    <row r="107" spans="1:9" ht="16.5">
      <c r="A107" s="41" t="s">
        <v>125</v>
      </c>
      <c r="B107" s="46" t="s">
        <v>126</v>
      </c>
      <c r="C107" s="46"/>
      <c r="D107" s="34"/>
      <c r="E107" s="35"/>
      <c r="F107" s="35"/>
      <c r="G107" s="35"/>
      <c r="H107" s="36"/>
      <c r="I107" s="36"/>
    </row>
    <row r="108" spans="1:9" ht="16.5">
      <c r="A108" s="41" t="s">
        <v>127</v>
      </c>
      <c r="B108" s="42" t="s">
        <v>128</v>
      </c>
      <c r="C108" s="42"/>
      <c r="D108" s="34"/>
      <c r="E108" s="35"/>
      <c r="F108" s="35"/>
      <c r="G108" s="35"/>
      <c r="H108" s="36"/>
      <c r="I108" s="36"/>
    </row>
    <row r="109" spans="1:9" ht="82.5">
      <c r="A109" s="36">
        <f>COUNTA($D$4:D109)</f>
        <v>89</v>
      </c>
      <c r="B109" s="38" t="str">
        <f t="shared" ref="B109:B132" si="24">"Thu thập dữ liệu "&amp;C109</f>
        <v>Thu thập dữ liệu Đấu giá viên</v>
      </c>
      <c r="C109" s="38" t="s">
        <v>129</v>
      </c>
      <c r="D109" s="34" t="s">
        <v>130</v>
      </c>
      <c r="E109" s="35"/>
      <c r="F109" s="38"/>
      <c r="G109" s="38" t="str">
        <f t="shared" ref="G109:G132" si="25">"1. "&amp;D109&amp; " gửi dữ liệu " &amp;C109&amp; " đến kho dữ liệu dùng chung. Kho dữ liệu dùng chung tiếp nhận dữ liệu "&amp;C109&amp;" từ hệ thống nguồn thông qua kênh tích hợp. Trường hợp dữ liệu không đạt yêu cầu, hệ thống gửi thông báo lỗi kèm nguyên nhân. Nếu dữ liệu đạt yêu cầu, hệ thống tiếp nhận dữ liệu và thông báo thành công."</f>
        <v>1. Hệ thống nguồn (CSDL quản lý đấu giá tài sản) gửi dữ liệu Đấu giá viên đến kho dữ liệu dùng chung. Kho dữ liệu dùng chung tiếp nhận dữ liệu Đấu giá viên từ hệ thống nguồn thông qua kênh tích hợp. Trường hợp dữ liệu không đạt yêu cầu, hệ thống gửi thông báo lỗi kèm nguyên nhân. Nếu dữ liệu đạt yêu cầu, hệ thống tiếp nhận dữ liệu và thông báo thành công.</v>
      </c>
      <c r="H109" s="36" t="s">
        <v>5</v>
      </c>
      <c r="I109" s="36" t="s">
        <v>6</v>
      </c>
    </row>
    <row r="110" spans="1:9" ht="82.5">
      <c r="A110" s="36">
        <f>COUNTA($D$4:D110)</f>
        <v>90</v>
      </c>
      <c r="B110" s="38" t="str">
        <f t="shared" si="24"/>
        <v>Thu thập dữ liệu Tổ chức hành nghề đấu giá</v>
      </c>
      <c r="C110" s="38" t="s">
        <v>131</v>
      </c>
      <c r="D110" s="34" t="s">
        <v>130</v>
      </c>
      <c r="E110" s="35"/>
      <c r="F110" s="38"/>
      <c r="G110" s="38" t="str">
        <f t="shared" si="25"/>
        <v>1. Hệ thống nguồn (CSDL quản lý đấu giá tài sản) gửi dữ liệu Tổ chức hành nghề đấu giá đến kho dữ liệu dùng chung. Kho dữ liệu dùng chung tiếp nhận dữ liệu Tổ chức hành nghề đấu giá từ hệ thống nguồn thông qua kênh tích hợp. Trường hợp dữ liệu không đạt yêu cầu, hệ thống gửi thông báo lỗi kèm nguyên nhân. Nếu dữ liệu đạt yêu cầu, hệ thống tiếp nhận dữ liệu và thông báo thành công.</v>
      </c>
      <c r="H110" s="36" t="s">
        <v>5</v>
      </c>
      <c r="I110" s="36" t="s">
        <v>6</v>
      </c>
    </row>
    <row r="111" spans="1:9" ht="82.5">
      <c r="A111" s="36">
        <f>COUNTA($D$4:D111)</f>
        <v>91</v>
      </c>
      <c r="B111" s="38" t="str">
        <f t="shared" ref="B111:B113" si="26">"Thu thập dữ liệu "&amp;C111</f>
        <v>Thu thập dữ liệu Người có tài sản đấu giá</v>
      </c>
      <c r="C111" s="66" t="s">
        <v>651</v>
      </c>
      <c r="D111" s="34" t="s">
        <v>130</v>
      </c>
      <c r="E111" s="35"/>
      <c r="F111" s="38"/>
      <c r="G111" s="38" t="str">
        <f t="shared" ref="G111:G113" si="27">"1. "&amp;D111&amp; " gửi dữ liệu " &amp;C111&amp; " đến kho dữ liệu dùng chung. Kho dữ liệu dùng chung tiếp nhận dữ liệu "&amp;C111&amp;" từ hệ thống nguồn thông qua kênh tích hợp. Trường hợp dữ liệu không đạt yêu cầu, hệ thống gửi thông báo lỗi kèm nguyên nhân. Nếu dữ liệu đạt yêu cầu, hệ thống tiếp nhận dữ liệu và thông báo thành công."</f>
        <v>1. Hệ thống nguồn (CSDL quản lý đấu giá tài sản) gửi dữ liệu Người có tài sản đấu giá đến kho dữ liệu dùng chung. Kho dữ liệu dùng chung tiếp nhận dữ liệu Người có tài sản đấu giá từ hệ thống nguồn thông qua kênh tích hợp. Trường hợp dữ liệu không đạt yêu cầu, hệ thống gửi thông báo lỗi kèm nguyên nhân. Nếu dữ liệu đạt yêu cầu, hệ thống tiếp nhận dữ liệu và thông báo thành công.</v>
      </c>
      <c r="H111" s="36" t="s">
        <v>5</v>
      </c>
      <c r="I111" s="36" t="s">
        <v>6</v>
      </c>
    </row>
    <row r="112" spans="1:9" ht="82.5">
      <c r="A112" s="36">
        <f>COUNTA($D$4:D112)</f>
        <v>92</v>
      </c>
      <c r="B112" s="38" t="str">
        <f t="shared" si="26"/>
        <v>Thu thập dữ liệu Thông tin việc đấu giá</v>
      </c>
      <c r="C112" s="66" t="s">
        <v>652</v>
      </c>
      <c r="D112" s="34" t="s">
        <v>130</v>
      </c>
      <c r="E112" s="35"/>
      <c r="F112" s="38"/>
      <c r="G112" s="38" t="str">
        <f t="shared" si="27"/>
        <v>1. Hệ thống nguồn (CSDL quản lý đấu giá tài sản) gửi dữ liệu Thông tin việc đấu giá đến kho dữ liệu dùng chung. Kho dữ liệu dùng chung tiếp nhận dữ liệu Thông tin việc đấu giá từ hệ thống nguồn thông qua kênh tích hợp. Trường hợp dữ liệu không đạt yêu cầu, hệ thống gửi thông báo lỗi kèm nguyên nhân. Nếu dữ liệu đạt yêu cầu, hệ thống tiếp nhận dữ liệu và thông báo thành công.</v>
      </c>
      <c r="H112" s="36" t="s">
        <v>5</v>
      </c>
      <c r="I112" s="36" t="s">
        <v>6</v>
      </c>
    </row>
    <row r="113" spans="1:9" ht="82.5">
      <c r="A113" s="36">
        <f>COUNTA($D$4:D113)</f>
        <v>93</v>
      </c>
      <c r="B113" s="38" t="str">
        <f t="shared" si="26"/>
        <v>Thu thập dữ liệu Tài sản đấu giá</v>
      </c>
      <c r="C113" s="66" t="s">
        <v>653</v>
      </c>
      <c r="D113" s="34" t="s">
        <v>130</v>
      </c>
      <c r="E113" s="35"/>
      <c r="F113" s="38"/>
      <c r="G113" s="38" t="str">
        <f t="shared" si="27"/>
        <v>1. Hệ thống nguồn (CSDL quản lý đấu giá tài sản) gửi dữ liệu Tài sản đấu giá đến kho dữ liệu dùng chung. Kho dữ liệu dùng chung tiếp nhận dữ liệu Tài sản đấu giá từ hệ thống nguồn thông qua kênh tích hợp. Trường hợp dữ liệu không đạt yêu cầu, hệ thống gửi thông báo lỗi kèm nguyên nhân. Nếu dữ liệu đạt yêu cầu, hệ thống tiếp nhận dữ liệu và thông báo thành công.</v>
      </c>
      <c r="H113" s="36" t="s">
        <v>5</v>
      </c>
      <c r="I113" s="36" t="s">
        <v>6</v>
      </c>
    </row>
    <row r="114" spans="1:9" ht="82.5">
      <c r="A114" s="36">
        <f>COUNTA($D$4:D114)</f>
        <v>94</v>
      </c>
      <c r="B114" s="38" t="str">
        <f t="shared" si="24"/>
        <v>Thu thập dữ liệu Công chứng viên</v>
      </c>
      <c r="C114" s="38" t="s">
        <v>132</v>
      </c>
      <c r="D114" s="34" t="s">
        <v>130</v>
      </c>
      <c r="E114" s="35"/>
      <c r="F114" s="38"/>
      <c r="G114" s="38" t="str">
        <f t="shared" si="25"/>
        <v>1. Hệ thống nguồn (CSDL quản lý đấu giá tài sản) gửi dữ liệu Công chứng viên đến kho dữ liệu dùng chung. Kho dữ liệu dùng chung tiếp nhận dữ liệu Công chứng viên từ hệ thống nguồn thông qua kênh tích hợp. Trường hợp dữ liệu không đạt yêu cầu, hệ thống gửi thông báo lỗi kèm nguyên nhân. Nếu dữ liệu đạt yêu cầu, hệ thống tiếp nhận dữ liệu và thông báo thành công.</v>
      </c>
      <c r="H114" s="36" t="s">
        <v>5</v>
      </c>
      <c r="I114" s="36" t="s">
        <v>6</v>
      </c>
    </row>
    <row r="115" spans="1:9" ht="82.5">
      <c r="A115" s="36">
        <f>COUNTA($D$4:D115)</f>
        <v>95</v>
      </c>
      <c r="B115" s="38" t="str">
        <f t="shared" si="24"/>
        <v>Thu thập dữ liệu Thông tin ngăn chặn</v>
      </c>
      <c r="C115" s="38" t="s">
        <v>133</v>
      </c>
      <c r="D115" s="34" t="s">
        <v>130</v>
      </c>
      <c r="E115" s="35"/>
      <c r="F115" s="38"/>
      <c r="G115" s="38" t="str">
        <f t="shared" si="25"/>
        <v>1. Hệ thống nguồn (CSDL quản lý đấu giá tài sản) gửi dữ liệu Thông tin ngăn chặn đến kho dữ liệu dùng chung. Kho dữ liệu dùng chung tiếp nhận dữ liệu Thông tin ngăn chặn từ hệ thống nguồn thông qua kênh tích hợp. Trường hợp dữ liệu không đạt yêu cầu, hệ thống gửi thông báo lỗi kèm nguyên nhân. Nếu dữ liệu đạt yêu cầu, hệ thống tiếp nhận dữ liệu và thông báo thành công.</v>
      </c>
      <c r="H115" s="36" t="s">
        <v>5</v>
      </c>
      <c r="I115" s="36" t="s">
        <v>6</v>
      </c>
    </row>
    <row r="116" spans="1:9" ht="82.5">
      <c r="A116" s="36">
        <f>COUNTA($D$4:D116)</f>
        <v>96</v>
      </c>
      <c r="B116" s="38" t="str">
        <f t="shared" si="24"/>
        <v>Thu thập dữ liệu Tổ chức hành nghề công chứng</v>
      </c>
      <c r="C116" s="38" t="s">
        <v>134</v>
      </c>
      <c r="D116" s="34" t="s">
        <v>130</v>
      </c>
      <c r="E116" s="35"/>
      <c r="F116" s="38"/>
      <c r="G116" s="38" t="str">
        <f t="shared" si="25"/>
        <v>1. Hệ thống nguồn (CSDL quản lý đấu giá tài sản) gửi dữ liệu Tổ chức hành nghề công chứng đến kho dữ liệu dùng chung. Kho dữ liệu dùng chung tiếp nhận dữ liệu Tổ chức hành nghề công chứng từ hệ thống nguồn thông qua kênh tích hợp. Trường hợp dữ liệu không đạt yêu cầu, hệ thống gửi thông báo lỗi kèm nguyên nhân. Nếu dữ liệu đạt yêu cầu, hệ thống tiếp nhận dữ liệu và thông báo thành công.</v>
      </c>
      <c r="H116" s="36" t="s">
        <v>5</v>
      </c>
      <c r="I116" s="36" t="s">
        <v>6</v>
      </c>
    </row>
    <row r="117" spans="1:9" ht="82.5">
      <c r="A117" s="36">
        <f>COUNTA($D$4:D117)</f>
        <v>97</v>
      </c>
      <c r="B117" s="38" t="str">
        <f t="shared" si="24"/>
        <v>Thu thập dữ liệu Tài sản trong giao dịch công chứng</v>
      </c>
      <c r="C117" s="38" t="s">
        <v>135</v>
      </c>
      <c r="D117" s="34" t="s">
        <v>130</v>
      </c>
      <c r="E117" s="35"/>
      <c r="F117" s="38"/>
      <c r="G117" s="38" t="str">
        <f t="shared" si="25"/>
        <v>1. Hệ thống nguồn (CSDL quản lý đấu giá tài sản) gửi dữ liệu Tài sản trong giao dịch công chứng đến kho dữ liệu dùng chung. Kho dữ liệu dùng chung tiếp nhận dữ liệu Tài sản trong giao dịch công chứng từ hệ thống nguồn thông qua kênh tích hợp. Trường hợp dữ liệu không đạt yêu cầu, hệ thống gửi thông báo lỗi kèm nguyên nhân. Nếu dữ liệu đạt yêu cầu, hệ thống tiếp nhận dữ liệu và thông báo thành công.</v>
      </c>
      <c r="H117" s="36" t="s">
        <v>5</v>
      </c>
      <c r="I117" s="36" t="s">
        <v>6</v>
      </c>
    </row>
    <row r="118" spans="1:9" ht="82.5">
      <c r="A118" s="36">
        <f>COUNTA($D$4:D118)</f>
        <v>98</v>
      </c>
      <c r="B118" s="38" t="str">
        <f t="shared" si="24"/>
        <v>Thu thập dữ liệu Kết quả hoạt động công chứng</v>
      </c>
      <c r="C118" s="38" t="s">
        <v>136</v>
      </c>
      <c r="D118" s="34" t="s">
        <v>130</v>
      </c>
      <c r="E118" s="35"/>
      <c r="F118" s="38"/>
      <c r="G118" s="38" t="str">
        <f t="shared" si="25"/>
        <v>1. Hệ thống nguồn (CSDL quản lý đấu giá tài sản) gửi dữ liệu Kết quả hoạt động công chứng đến kho dữ liệu dùng chung. Kho dữ liệu dùng chung tiếp nhận dữ liệu Kết quả hoạt động công chứng từ hệ thống nguồn thông qua kênh tích hợp. Trường hợp dữ liệu không đạt yêu cầu, hệ thống gửi thông báo lỗi kèm nguyên nhân. Nếu dữ liệu đạt yêu cầu, hệ thống tiếp nhận dữ liệu và thông báo thành công.</v>
      </c>
      <c r="H118" s="36" t="s">
        <v>5</v>
      </c>
      <c r="I118" s="36" t="s">
        <v>6</v>
      </c>
    </row>
    <row r="119" spans="1:9" ht="82.5">
      <c r="A119" s="36">
        <f>COUNTA($D$4:D119)</f>
        <v>99</v>
      </c>
      <c r="B119" s="38" t="str">
        <f t="shared" si="24"/>
        <v>Thu thập dữ liệu Quản tài viên</v>
      </c>
      <c r="C119" s="50" t="s">
        <v>137</v>
      </c>
      <c r="D119" s="34" t="s">
        <v>130</v>
      </c>
      <c r="E119" s="35"/>
      <c r="F119" s="38"/>
      <c r="G119" s="38" t="str">
        <f t="shared" si="25"/>
        <v>1. Hệ thống nguồn (CSDL quản lý đấu giá tài sản) gửi dữ liệu Quản tài viên đến kho dữ liệu dùng chung. Kho dữ liệu dùng chung tiếp nhận dữ liệu Quản tài viên từ hệ thống nguồn thông qua kênh tích hợp. Trường hợp dữ liệu không đạt yêu cầu, hệ thống gửi thông báo lỗi kèm nguyên nhân. Nếu dữ liệu đạt yêu cầu, hệ thống tiếp nhận dữ liệu và thông báo thành công.</v>
      </c>
      <c r="H119" s="36" t="s">
        <v>5</v>
      </c>
      <c r="I119" s="36" t="s">
        <v>6</v>
      </c>
    </row>
    <row r="120" spans="1:9" ht="82.5">
      <c r="A120" s="36">
        <f>COUNTA($D$4:D120)</f>
        <v>100</v>
      </c>
      <c r="B120" s="38" t="str">
        <f t="shared" si="24"/>
        <v>Thu thập dữ liệu Doanh nghiệp quản lý, thanh lý tài sản</v>
      </c>
      <c r="C120" s="38" t="s">
        <v>138</v>
      </c>
      <c r="D120" s="34" t="s">
        <v>130</v>
      </c>
      <c r="E120" s="35"/>
      <c r="F120" s="38"/>
      <c r="G120" s="38" t="str">
        <f t="shared" si="25"/>
        <v>1. Hệ thống nguồn (CSDL quản lý đấu giá tài sản) gửi dữ liệu Doanh nghiệp quản lý, thanh lý tài sản đến kho dữ liệu dùng chung. Kho dữ liệu dùng chung tiếp nhận dữ liệu Doanh nghiệp quản lý, thanh lý tài sản từ hệ thống nguồn thông qua kênh tích hợp. Trường hợp dữ liệu không đạt yêu cầu, hệ thống gửi thông báo lỗi kèm nguyên nhân. Nếu dữ liệu đạt yêu cầu, hệ thống tiếp nhận dữ liệu và thông báo thành công.</v>
      </c>
      <c r="H120" s="36" t="s">
        <v>5</v>
      </c>
      <c r="I120" s="36" t="s">
        <v>6</v>
      </c>
    </row>
    <row r="121" spans="1:9" ht="82.5">
      <c r="A121" s="36">
        <f>COUNTA($D$4:D121)</f>
        <v>101</v>
      </c>
      <c r="B121" s="38" t="str">
        <f t="shared" si="24"/>
        <v>Thu thập dữ liệu Luật sư Việt Nam</v>
      </c>
      <c r="C121" s="38" t="s">
        <v>139</v>
      </c>
      <c r="D121" s="34" t="s">
        <v>130</v>
      </c>
      <c r="E121" s="35"/>
      <c r="F121" s="38"/>
      <c r="G121" s="38" t="str">
        <f t="shared" si="25"/>
        <v>1. Hệ thống nguồn (CSDL quản lý đấu giá tài sản) gửi dữ liệu Luật sư Việt Nam đến kho dữ liệu dùng chung. Kho dữ liệu dùng chung tiếp nhận dữ liệu Luật sư Việt Nam từ hệ thống nguồn thông qua kênh tích hợp. Trường hợp dữ liệu không đạt yêu cầu, hệ thống gửi thông báo lỗi kèm nguyên nhân. Nếu dữ liệu đạt yêu cầu, hệ thống tiếp nhận dữ liệu và thông báo thành công.</v>
      </c>
      <c r="H121" s="36" t="s">
        <v>5</v>
      </c>
      <c r="I121" s="36" t="s">
        <v>6</v>
      </c>
    </row>
    <row r="122" spans="1:9" ht="99">
      <c r="A122" s="36">
        <f>COUNTA($D$4:D122)</f>
        <v>102</v>
      </c>
      <c r="B122" s="38" t="str">
        <f t="shared" si="24"/>
        <v>Thu thập dữ liệu Người được cấp chứng chỉ hành nghề luật sư</v>
      </c>
      <c r="C122" s="38" t="s">
        <v>140</v>
      </c>
      <c r="D122" s="34" t="s">
        <v>130</v>
      </c>
      <c r="E122" s="35"/>
      <c r="F122" s="38"/>
      <c r="G122" s="38" t="str">
        <f t="shared" si="25"/>
        <v>1. Hệ thống nguồn (CSDL quản lý đấu giá tài sản) gửi dữ liệu Người được cấp chứng chỉ hành nghề luật sư đến kho dữ liệu dùng chung. Kho dữ liệu dùng chung tiếp nhận dữ liệu Người được cấp chứng chỉ hành nghề luật sư từ hệ thống nguồn thông qua kênh tích hợp. Trường hợp dữ liệu không đạt yêu cầu, hệ thống gửi thông báo lỗi kèm nguyên nhân. Nếu dữ liệu đạt yêu cầu, hệ thống tiếp nhận dữ liệu và thông báo thành công.</v>
      </c>
      <c r="H122" s="36" t="s">
        <v>5</v>
      </c>
      <c r="I122" s="36" t="s">
        <v>6</v>
      </c>
    </row>
    <row r="123" spans="1:9" ht="82.5">
      <c r="A123" s="36">
        <f>COUNTA($D$4:D123)</f>
        <v>103</v>
      </c>
      <c r="B123" s="38" t="str">
        <f t="shared" si="24"/>
        <v>Thu thập dữ liệu Tổ chức hành nghề luật sư Việt Nam</v>
      </c>
      <c r="C123" s="38" t="s">
        <v>141</v>
      </c>
      <c r="D123" s="34" t="s">
        <v>130</v>
      </c>
      <c r="E123" s="35"/>
      <c r="F123" s="38"/>
      <c r="G123" s="38" t="str">
        <f t="shared" si="25"/>
        <v>1. Hệ thống nguồn (CSDL quản lý đấu giá tài sản) gửi dữ liệu Tổ chức hành nghề luật sư Việt Nam đến kho dữ liệu dùng chung. Kho dữ liệu dùng chung tiếp nhận dữ liệu Tổ chức hành nghề luật sư Việt Nam từ hệ thống nguồn thông qua kênh tích hợp. Trường hợp dữ liệu không đạt yêu cầu, hệ thống gửi thông báo lỗi kèm nguyên nhân. Nếu dữ liệu đạt yêu cầu, hệ thống tiếp nhận dữ liệu và thông báo thành công.</v>
      </c>
      <c r="H123" s="36" t="s">
        <v>5</v>
      </c>
      <c r="I123" s="36" t="s">
        <v>6</v>
      </c>
    </row>
    <row r="124" spans="1:9" ht="82.5">
      <c r="A124" s="36">
        <f>COUNTA($D$4:D124)</f>
        <v>104</v>
      </c>
      <c r="B124" s="38" t="str">
        <f t="shared" si="24"/>
        <v>Thu thập dữ liệu Luật sư nước ngoài</v>
      </c>
      <c r="C124" s="38" t="s">
        <v>142</v>
      </c>
      <c r="D124" s="34" t="s">
        <v>130</v>
      </c>
      <c r="E124" s="35"/>
      <c r="F124" s="38"/>
      <c r="G124" s="38" t="str">
        <f t="shared" si="25"/>
        <v>1. Hệ thống nguồn (CSDL quản lý đấu giá tài sản) gửi dữ liệu Luật sư nước ngoài đến kho dữ liệu dùng chung. Kho dữ liệu dùng chung tiếp nhận dữ liệu Luật sư nước ngoài từ hệ thống nguồn thông qua kênh tích hợp. Trường hợp dữ liệu không đạt yêu cầu, hệ thống gửi thông báo lỗi kèm nguyên nhân. Nếu dữ liệu đạt yêu cầu, hệ thống tiếp nhận dữ liệu và thông báo thành công.</v>
      </c>
      <c r="H124" s="36" t="s">
        <v>5</v>
      </c>
      <c r="I124" s="36" t="s">
        <v>6</v>
      </c>
    </row>
    <row r="125" spans="1:9" ht="82.5">
      <c r="A125" s="36">
        <f>COUNTA($D$4:D125)</f>
        <v>105</v>
      </c>
      <c r="B125" s="38" t="str">
        <f t="shared" si="24"/>
        <v>Thu thập dữ liệu Tổ chức hành nghề luật sư nước ngoài</v>
      </c>
      <c r="C125" s="38" t="s">
        <v>143</v>
      </c>
      <c r="D125" s="34" t="s">
        <v>130</v>
      </c>
      <c r="E125" s="35"/>
      <c r="F125" s="38"/>
      <c r="G125" s="38" t="str">
        <f t="shared" si="25"/>
        <v>1. Hệ thống nguồn (CSDL quản lý đấu giá tài sản) gửi dữ liệu Tổ chức hành nghề luật sư nước ngoài đến kho dữ liệu dùng chung. Kho dữ liệu dùng chung tiếp nhận dữ liệu Tổ chức hành nghề luật sư nước ngoài từ hệ thống nguồn thông qua kênh tích hợp. Trường hợp dữ liệu không đạt yêu cầu, hệ thống gửi thông báo lỗi kèm nguyên nhân. Nếu dữ liệu đạt yêu cầu, hệ thống tiếp nhận dữ liệu và thông báo thành công.</v>
      </c>
      <c r="H125" s="36" t="s">
        <v>5</v>
      </c>
      <c r="I125" s="36" t="s">
        <v>6</v>
      </c>
    </row>
    <row r="126" spans="1:9" ht="82.5">
      <c r="A126" s="36">
        <f>COUNTA($D$4:D126)</f>
        <v>106</v>
      </c>
      <c r="B126" s="38" t="str">
        <f t="shared" si="24"/>
        <v>Thu thập dữ liệu Trọng tài viên</v>
      </c>
      <c r="C126" s="50" t="s">
        <v>144</v>
      </c>
      <c r="D126" s="34" t="s">
        <v>130</v>
      </c>
      <c r="E126" s="35"/>
      <c r="F126" s="38"/>
      <c r="G126" s="38" t="str">
        <f t="shared" si="25"/>
        <v>1. Hệ thống nguồn (CSDL quản lý đấu giá tài sản) gửi dữ liệu Trọng tài viên đến kho dữ liệu dùng chung. Kho dữ liệu dùng chung tiếp nhận dữ liệu Trọng tài viên từ hệ thống nguồn thông qua kênh tích hợp. Trường hợp dữ liệu không đạt yêu cầu, hệ thống gửi thông báo lỗi kèm nguyên nhân. Nếu dữ liệu đạt yêu cầu, hệ thống tiếp nhận dữ liệu và thông báo thành công.</v>
      </c>
      <c r="H126" s="36" t="s">
        <v>5</v>
      </c>
      <c r="I126" s="36" t="s">
        <v>6</v>
      </c>
    </row>
    <row r="127" spans="1:9" ht="82.5">
      <c r="A127" s="36">
        <f>COUNTA($D$4:D127)</f>
        <v>107</v>
      </c>
      <c r="B127" s="38" t="str">
        <f t="shared" si="24"/>
        <v>Thu thập dữ liệu Trung tâm trọng tài</v>
      </c>
      <c r="C127" s="50" t="s">
        <v>145</v>
      </c>
      <c r="D127" s="34" t="s">
        <v>130</v>
      </c>
      <c r="E127" s="35"/>
      <c r="F127" s="38"/>
      <c r="G127" s="38" t="str">
        <f t="shared" si="25"/>
        <v>1. Hệ thống nguồn (CSDL quản lý đấu giá tài sản) gửi dữ liệu Trung tâm trọng tài đến kho dữ liệu dùng chung. Kho dữ liệu dùng chung tiếp nhận dữ liệu Trung tâm trọng tài từ hệ thống nguồn thông qua kênh tích hợp. Trường hợp dữ liệu không đạt yêu cầu, hệ thống gửi thông báo lỗi kèm nguyên nhân. Nếu dữ liệu đạt yêu cầu, hệ thống tiếp nhận dữ liệu và thông báo thành công.</v>
      </c>
      <c r="H127" s="36" t="s">
        <v>5</v>
      </c>
      <c r="I127" s="36" t="s">
        <v>6</v>
      </c>
    </row>
    <row r="128" spans="1:9" ht="82.5">
      <c r="A128" s="36">
        <f>COUNTA($D$4:D128)</f>
        <v>108</v>
      </c>
      <c r="B128" s="38" t="str">
        <f t="shared" si="24"/>
        <v>Thu thập dữ liệu Chi nhánh của tổ chức trọng tài</v>
      </c>
      <c r="C128" s="50" t="s">
        <v>146</v>
      </c>
      <c r="D128" s="34" t="s">
        <v>130</v>
      </c>
      <c r="E128" s="35"/>
      <c r="F128" s="38"/>
      <c r="G128" s="38" t="str">
        <f t="shared" si="25"/>
        <v>1. Hệ thống nguồn (CSDL quản lý đấu giá tài sản) gửi dữ liệu Chi nhánh của tổ chức trọng tài đến kho dữ liệu dùng chung. Kho dữ liệu dùng chung tiếp nhận dữ liệu Chi nhánh của tổ chức trọng tài từ hệ thống nguồn thông qua kênh tích hợp. Trường hợp dữ liệu không đạt yêu cầu, hệ thống gửi thông báo lỗi kèm nguyên nhân. Nếu dữ liệu đạt yêu cầu, hệ thống tiếp nhận dữ liệu và thông báo thành công.</v>
      </c>
      <c r="H128" s="36" t="s">
        <v>5</v>
      </c>
      <c r="I128" s="36" t="s">
        <v>6</v>
      </c>
    </row>
    <row r="129" spans="1:9" ht="99">
      <c r="A129" s="36">
        <f>COUNTA($D$4:D129)</f>
        <v>109</v>
      </c>
      <c r="B129" s="38" t="str">
        <f t="shared" si="24"/>
        <v>Thu thập dữ liệu Văn phòng đại diện của trung tâm trọng tài</v>
      </c>
      <c r="C129" s="50" t="s">
        <v>147</v>
      </c>
      <c r="D129" s="34" t="s">
        <v>130</v>
      </c>
      <c r="E129" s="35"/>
      <c r="F129" s="38"/>
      <c r="G129" s="38" t="str">
        <f t="shared" si="25"/>
        <v>1. Hệ thống nguồn (CSDL quản lý đấu giá tài sản) gửi dữ liệu Văn phòng đại diện của trung tâm trọng tài đến kho dữ liệu dùng chung. Kho dữ liệu dùng chung tiếp nhận dữ liệu Văn phòng đại diện của trung tâm trọng tài từ hệ thống nguồn thông qua kênh tích hợp. Trường hợp dữ liệu không đạt yêu cầu, hệ thống gửi thông báo lỗi kèm nguyên nhân. Nếu dữ liệu đạt yêu cầu, hệ thống tiếp nhận dữ liệu và thông báo thành công.</v>
      </c>
      <c r="H129" s="36" t="s">
        <v>5</v>
      </c>
      <c r="I129" s="36" t="s">
        <v>6</v>
      </c>
    </row>
    <row r="130" spans="1:9" ht="82.5">
      <c r="A130" s="36">
        <f>COUNTA($D$4:D130)</f>
        <v>110</v>
      </c>
      <c r="B130" s="38" t="str">
        <f t="shared" si="24"/>
        <v>Thu thập dữ liệu Hòa giải viên thương mại</v>
      </c>
      <c r="C130" s="50" t="s">
        <v>148</v>
      </c>
      <c r="D130" s="34" t="s">
        <v>130</v>
      </c>
      <c r="E130" s="35"/>
      <c r="F130" s="38"/>
      <c r="G130" s="38" t="str">
        <f t="shared" si="25"/>
        <v>1. Hệ thống nguồn (CSDL quản lý đấu giá tài sản) gửi dữ liệu Hòa giải viên thương mại đến kho dữ liệu dùng chung. Kho dữ liệu dùng chung tiếp nhận dữ liệu Hòa giải viên thương mại từ hệ thống nguồn thông qua kênh tích hợp. Trường hợp dữ liệu không đạt yêu cầu, hệ thống gửi thông báo lỗi kèm nguyên nhân. Nếu dữ liệu đạt yêu cầu, hệ thống tiếp nhận dữ liệu và thông báo thành công.</v>
      </c>
      <c r="H130" s="36" t="s">
        <v>5</v>
      </c>
      <c r="I130" s="36" t="s">
        <v>6</v>
      </c>
    </row>
    <row r="131" spans="1:9" ht="82.5">
      <c r="A131" s="36">
        <f>COUNTA($D$4:D131)</f>
        <v>111</v>
      </c>
      <c r="B131" s="38" t="str">
        <f t="shared" si="24"/>
        <v>Thu thập dữ liệu Trung tâm hòa giải thương mại</v>
      </c>
      <c r="C131" s="50" t="s">
        <v>149</v>
      </c>
      <c r="D131" s="34" t="s">
        <v>130</v>
      </c>
      <c r="E131" s="35"/>
      <c r="F131" s="38"/>
      <c r="G131" s="38" t="str">
        <f t="shared" si="25"/>
        <v>1. Hệ thống nguồn (CSDL quản lý đấu giá tài sản) gửi dữ liệu Trung tâm hòa giải thương mại đến kho dữ liệu dùng chung. Kho dữ liệu dùng chung tiếp nhận dữ liệu Trung tâm hòa giải thương mại từ hệ thống nguồn thông qua kênh tích hợp. Trường hợp dữ liệu không đạt yêu cầu, hệ thống gửi thông báo lỗi kèm nguyên nhân. Nếu dữ liệu đạt yêu cầu, hệ thống tiếp nhận dữ liệu và thông báo thành công.</v>
      </c>
      <c r="H131" s="36" t="s">
        <v>5</v>
      </c>
      <c r="I131" s="36" t="s">
        <v>6</v>
      </c>
    </row>
    <row r="132" spans="1:9" ht="82.5">
      <c r="A132" s="36">
        <f>COUNTA($D$4:D132)</f>
        <v>112</v>
      </c>
      <c r="B132" s="38" t="str">
        <f t="shared" si="24"/>
        <v>Thu thập dữ liệu Giám định viên tư pháp</v>
      </c>
      <c r="C132" s="50" t="s">
        <v>150</v>
      </c>
      <c r="D132" s="34" t="s">
        <v>130</v>
      </c>
      <c r="E132" s="35"/>
      <c r="F132" s="38"/>
      <c r="G132" s="38" t="str">
        <f t="shared" si="25"/>
        <v>1. Hệ thống nguồn (CSDL quản lý đấu giá tài sản) gửi dữ liệu Giám định viên tư pháp đến kho dữ liệu dùng chung. Kho dữ liệu dùng chung tiếp nhận dữ liệu Giám định viên tư pháp từ hệ thống nguồn thông qua kênh tích hợp. Trường hợp dữ liệu không đạt yêu cầu, hệ thống gửi thông báo lỗi kèm nguyên nhân. Nếu dữ liệu đạt yêu cầu, hệ thống tiếp nhận dữ liệu và thông báo thành công.</v>
      </c>
      <c r="H132" s="36" t="s">
        <v>5</v>
      </c>
      <c r="I132" s="36" t="s">
        <v>6</v>
      </c>
    </row>
    <row r="133" spans="1:9" ht="16.5">
      <c r="A133" s="41" t="s">
        <v>125</v>
      </c>
      <c r="B133" s="46" t="s">
        <v>600</v>
      </c>
      <c r="C133" s="46"/>
      <c r="D133" s="34"/>
      <c r="E133" s="35"/>
      <c r="F133" s="35"/>
      <c r="G133" s="35"/>
      <c r="H133" s="36"/>
      <c r="I133" s="36"/>
    </row>
    <row r="134" spans="1:9" ht="16.5">
      <c r="A134" s="41" t="s">
        <v>127</v>
      </c>
      <c r="B134" s="42" t="s">
        <v>601</v>
      </c>
      <c r="C134" s="42"/>
      <c r="D134" s="34"/>
      <c r="E134" s="35"/>
      <c r="F134" s="35"/>
      <c r="G134" s="35"/>
      <c r="H134" s="36"/>
      <c r="I134" s="36"/>
    </row>
    <row r="135" spans="1:9" ht="99">
      <c r="A135" s="36">
        <f>COUNTA($D$4:D135)</f>
        <v>113</v>
      </c>
      <c r="B135" s="38" t="str">
        <f t="shared" ref="B135:B140" si="28">"Thu thập dữ liệu "&amp;C135</f>
        <v>Thu thập dữ liệu Thông tin điều ước quốc tế, thỏa thuận quốc tế</v>
      </c>
      <c r="C135" s="50" t="s">
        <v>602</v>
      </c>
      <c r="D135" s="34" t="s">
        <v>608</v>
      </c>
      <c r="E135" s="35"/>
      <c r="F135" s="38"/>
      <c r="G135" s="38" t="str">
        <f t="shared" ref="G135:G140" si="29">"1. "&amp;D135&amp; " gửi dữ liệu " &amp;C135&amp; " đến kho dữ liệu dùng chung. Kho dữ liệu dùng chung tiếp nhận dữ liệu "&amp;C135&amp;" từ hệ thống nguồn thông qua kênh tích hợp. Trường hợp dữ liệu không đạt yêu cầu, hệ thống gửi thông báo lỗi kèm nguyên nhân. Nếu dữ liệu đạt yêu cầu, hệ thống tiếp nhận dữ liệu và thông báo thành công."</f>
        <v>1. Hệ thống nguồn (CSDL CSDL Hợp tác quốc tế) gửi dữ liệu Thông tin điều ước quốc tế, thỏa thuận quốc tế đến kho dữ liệu dùng chung. Kho dữ liệu dùng chung tiếp nhận dữ liệu Thông tin điều ước quốc tế, thỏa thuận quốc tế từ hệ thống nguồn thông qua kênh tích hợp. Trường hợp dữ liệu không đạt yêu cầu, hệ thống gửi thông báo lỗi kèm nguyên nhân. Nếu dữ liệu đạt yêu cầu, hệ thống tiếp nhận dữ liệu và thông báo thành công.</v>
      </c>
      <c r="H135" s="36" t="s">
        <v>5</v>
      </c>
      <c r="I135" s="36" t="s">
        <v>6</v>
      </c>
    </row>
    <row r="136" spans="1:9" ht="82.5">
      <c r="A136" s="36">
        <f>COUNTA($D$4:D136)</f>
        <v>114</v>
      </c>
      <c r="B136" s="38" t="str">
        <f t="shared" si="28"/>
        <v>Thu thập dữ liệu Thông tin chương trình dự án</v>
      </c>
      <c r="C136" s="50" t="s">
        <v>603</v>
      </c>
      <c r="D136" s="34" t="s">
        <v>608</v>
      </c>
      <c r="E136" s="35"/>
      <c r="F136" s="38"/>
      <c r="G136" s="38" t="str">
        <f t="shared" si="29"/>
        <v>1. Hệ thống nguồn (CSDL CSDL Hợp tác quốc tế) gửi dữ liệu Thông tin chương trình dự án đến kho dữ liệu dùng chung. Kho dữ liệu dùng chung tiếp nhận dữ liệu Thông tin chương trình dự án từ hệ thống nguồn thông qua kênh tích hợp. Trường hợp dữ liệu không đạt yêu cầu, hệ thống gửi thông báo lỗi kèm nguyên nhân. Nếu dữ liệu đạt yêu cầu, hệ thống tiếp nhận dữ liệu và thông báo thành công.</v>
      </c>
      <c r="H136" s="36" t="s">
        <v>5</v>
      </c>
      <c r="I136" s="36" t="s">
        <v>6</v>
      </c>
    </row>
    <row r="137" spans="1:9" ht="82.5">
      <c r="A137" s="36">
        <f>COUNTA($D$4:D137)</f>
        <v>115</v>
      </c>
      <c r="B137" s="38" t="str">
        <f t="shared" si="28"/>
        <v>Thu thập dữ liệu Danh sách chuyên gia</v>
      </c>
      <c r="C137" s="50" t="s">
        <v>604</v>
      </c>
      <c r="D137" s="34" t="s">
        <v>608</v>
      </c>
      <c r="E137" s="35"/>
      <c r="F137" s="38"/>
      <c r="G137" s="38" t="str">
        <f t="shared" si="29"/>
        <v>1. Hệ thống nguồn (CSDL CSDL Hợp tác quốc tế) gửi dữ liệu Danh sách chuyên gia đến kho dữ liệu dùng chung. Kho dữ liệu dùng chung tiếp nhận dữ liệu Danh sách chuyên gia từ hệ thống nguồn thông qua kênh tích hợp. Trường hợp dữ liệu không đạt yêu cầu, hệ thống gửi thông báo lỗi kèm nguyên nhân. Nếu dữ liệu đạt yêu cầu, hệ thống tiếp nhận dữ liệu và thông báo thành công.</v>
      </c>
      <c r="H137" s="36" t="s">
        <v>5</v>
      </c>
      <c r="I137" s="36" t="s">
        <v>6</v>
      </c>
    </row>
    <row r="138" spans="1:9" ht="82.5">
      <c r="A138" s="36">
        <f>COUNTA($D$4:D138)</f>
        <v>116</v>
      </c>
      <c r="B138" s="38" t="str">
        <f t="shared" si="28"/>
        <v>Thu thập dữ liệu Thông tin hội nghị, hội thảo</v>
      </c>
      <c r="C138" s="50" t="s">
        <v>605</v>
      </c>
      <c r="D138" s="34" t="s">
        <v>608</v>
      </c>
      <c r="E138" s="35"/>
      <c r="F138" s="38"/>
      <c r="G138" s="38" t="str">
        <f t="shared" si="29"/>
        <v>1. Hệ thống nguồn (CSDL CSDL Hợp tác quốc tế) gửi dữ liệu Thông tin hội nghị, hội thảo đến kho dữ liệu dùng chung. Kho dữ liệu dùng chung tiếp nhận dữ liệu Thông tin hội nghị, hội thảo từ hệ thống nguồn thông qua kênh tích hợp. Trường hợp dữ liệu không đạt yêu cầu, hệ thống gửi thông báo lỗi kèm nguyên nhân. Nếu dữ liệu đạt yêu cầu, hệ thống tiếp nhận dữ liệu và thông báo thành công.</v>
      </c>
      <c r="H138" s="36" t="s">
        <v>5</v>
      </c>
      <c r="I138" s="36" t="s">
        <v>6</v>
      </c>
    </row>
    <row r="139" spans="1:9" ht="99">
      <c r="A139" s="36">
        <f>COUNTA($D$4:D139)</f>
        <v>117</v>
      </c>
      <c r="B139" s="38" t="str">
        <f t="shared" si="28"/>
        <v>Thu thập dữ liệu Thông tin sản phẩm nghiên cứu, truyền thông</v>
      </c>
      <c r="C139" s="50" t="s">
        <v>606</v>
      </c>
      <c r="D139" s="34" t="s">
        <v>608</v>
      </c>
      <c r="E139" s="35"/>
      <c r="F139" s="38"/>
      <c r="G139" s="38" t="str">
        <f t="shared" si="29"/>
        <v>1. Hệ thống nguồn (CSDL CSDL Hợp tác quốc tế) gửi dữ liệu Thông tin sản phẩm nghiên cứu, truyền thông đến kho dữ liệu dùng chung. Kho dữ liệu dùng chung tiếp nhận dữ liệu Thông tin sản phẩm nghiên cứu, truyền thông từ hệ thống nguồn thông qua kênh tích hợp. Trường hợp dữ liệu không đạt yêu cầu, hệ thống gửi thông báo lỗi kèm nguyên nhân. Nếu dữ liệu đạt yêu cầu, hệ thống tiếp nhận dữ liệu và thông báo thành công.</v>
      </c>
      <c r="H139" s="36" t="s">
        <v>5</v>
      </c>
      <c r="I139" s="36" t="s">
        <v>6</v>
      </c>
    </row>
    <row r="140" spans="1:9" ht="82.5">
      <c r="A140" s="36">
        <f>COUNTA($D$4:D140)</f>
        <v>118</v>
      </c>
      <c r="B140" s="38" t="str">
        <f t="shared" si="28"/>
        <v>Thu thập dữ liệu Thông tin Đoàn</v>
      </c>
      <c r="C140" s="50" t="s">
        <v>607</v>
      </c>
      <c r="D140" s="34" t="s">
        <v>608</v>
      </c>
      <c r="E140" s="35"/>
      <c r="F140" s="38"/>
      <c r="G140" s="38" t="str">
        <f t="shared" si="29"/>
        <v>1. Hệ thống nguồn (CSDL CSDL Hợp tác quốc tế) gửi dữ liệu Thông tin Đoàn đến kho dữ liệu dùng chung. Kho dữ liệu dùng chung tiếp nhận dữ liệu Thông tin Đoàn từ hệ thống nguồn thông qua kênh tích hợp. Trường hợp dữ liệu không đạt yêu cầu, hệ thống gửi thông báo lỗi kèm nguyên nhân. Nếu dữ liệu đạt yêu cầu, hệ thống tiếp nhận dữ liệu và thông báo thành công.</v>
      </c>
      <c r="H140" s="36" t="s">
        <v>5</v>
      </c>
      <c r="I140" s="36" t="s">
        <v>6</v>
      </c>
    </row>
    <row r="141" spans="1:9" ht="16.5">
      <c r="A141" s="40" t="s">
        <v>330</v>
      </c>
      <c r="B141" s="46" t="s">
        <v>334</v>
      </c>
      <c r="C141" s="50"/>
      <c r="D141" s="34"/>
      <c r="E141" s="35"/>
      <c r="F141" s="38"/>
      <c r="G141" s="35"/>
      <c r="H141" s="36"/>
      <c r="I141" s="36"/>
    </row>
    <row r="142" spans="1:9" ht="115.5">
      <c r="A142" s="40" t="s">
        <v>336</v>
      </c>
      <c r="B142" s="46" t="s">
        <v>452</v>
      </c>
      <c r="C142" s="46"/>
      <c r="D142" s="34"/>
      <c r="E142" s="35"/>
      <c r="F142" s="35"/>
      <c r="G142" s="35"/>
      <c r="H142" s="36"/>
      <c r="I142" s="36"/>
    </row>
    <row r="143" spans="1:9" ht="115.5">
      <c r="A143" s="36">
        <f>COUNTA($D$4:D143)</f>
        <v>119</v>
      </c>
      <c r="B143" s="28" t="str">
        <f t="shared" ref="B143:B163" si="30">"Thu thập số liệu thống kê trong lĩnh vực "&amp;C143&amp;" theo Thông tư của Bộ trưởng Bộ Tư pháp quy định một số nội dung về hoạt động thống kê của ngành Tư pháp"</f>
        <v>Thu thập số liệu thống kê trong lĩnh vực Xây dựng văn bản quy phạm pháp luật theo Thông tư của Bộ trưởng Bộ Tư pháp quy định một số nội dung về hoạt động thống kê của ngành Tư pháp</v>
      </c>
      <c r="C143" s="28" t="s">
        <v>347</v>
      </c>
      <c r="D143" s="34" t="s">
        <v>335</v>
      </c>
      <c r="E143" s="35"/>
      <c r="F143" s="38"/>
      <c r="G143" s="38" t="str">
        <f t="shared" ref="G143:G163" si="31">"1. "&amp;D143&amp; " gửi dữ liệu " &amp;C143&amp; " đến kho dữ liệu dùng chung. Kho dữ liệu dùng chung tiếp nhận dữ liệu "&amp;C143&amp;" từ hệ thống nguồn thông qua kênh tích hợp. Trường hợp dữ liệu không đạt yêu cầu, hệ thống gửi thông báo lỗi kèm nguyên nhân. Nếu dữ liệu đạt yêu cầu, hệ thống tiếp nhận dữ liệu và thông báo thành công."</f>
        <v>1. Phần mềm thống kê ngành Tư pháp gửi dữ liệu Xây dựng văn bản quy phạm pháp luật đến kho dữ liệu dùng chung. Kho dữ liệu dùng chung tiếp nhận dữ liệu Xây dựng văn bản quy phạm pháp luật từ hệ thống nguồn thông qua kênh tích hợp. Trường hợp dữ liệu không đạt yêu cầu, hệ thống gửi thông báo lỗi kèm nguyên nhân. Nếu dữ liệu đạt yêu cầu, hệ thống tiếp nhận dữ liệu và thông báo thành công.</v>
      </c>
      <c r="H143" s="36" t="s">
        <v>5</v>
      </c>
      <c r="I143" s="36" t="s">
        <v>6</v>
      </c>
    </row>
    <row r="144" spans="1:9" ht="115.5">
      <c r="A144" s="36">
        <f>COUNTA($D$4:D144)</f>
        <v>120</v>
      </c>
      <c r="B144" s="28" t="str">
        <f t="shared" si="30"/>
        <v>Thu thập số liệu thống kê trong lĩnh vực Kiểm tra văn bản quy phạm pháp luật theo Thông tư của Bộ trưởng Bộ Tư pháp quy định một số nội dung về hoạt động thống kê của ngành Tư pháp</v>
      </c>
      <c r="C144" s="28" t="s">
        <v>348</v>
      </c>
      <c r="D144" s="34" t="s">
        <v>335</v>
      </c>
      <c r="E144" s="35"/>
      <c r="F144" s="38"/>
      <c r="G144" s="38" t="str">
        <f t="shared" si="31"/>
        <v>1. Phần mềm thống kê ngành Tư pháp gửi dữ liệu Kiểm tra văn bản quy phạm pháp luật đến kho dữ liệu dùng chung. Kho dữ liệu dùng chung tiếp nhận dữ liệu Kiểm tra văn bản quy phạm pháp luật từ hệ thống nguồn thông qua kênh tích hợp. Trường hợp dữ liệu không đạt yêu cầu, hệ thống gửi thông báo lỗi kèm nguyên nhân. Nếu dữ liệu đạt yêu cầu, hệ thống tiếp nhận dữ liệu và thông báo thành công.</v>
      </c>
      <c r="H144" s="36" t="s">
        <v>5</v>
      </c>
      <c r="I144" s="36" t="s">
        <v>6</v>
      </c>
    </row>
    <row r="145" spans="1:9" ht="115.5">
      <c r="A145" s="36">
        <f>COUNTA($D$4:D145)</f>
        <v>121</v>
      </c>
      <c r="B145" s="28" t="str">
        <f t="shared" si="30"/>
        <v>Thu thập số liệu thống kê trong lĩnh vực Rà soát văn bản quy phạm pháp luật theo Thông tư của Bộ trưởng Bộ Tư pháp quy định một số nội dung về hoạt động thống kê của ngành Tư pháp</v>
      </c>
      <c r="C145" s="28" t="s">
        <v>349</v>
      </c>
      <c r="D145" s="34" t="s">
        <v>335</v>
      </c>
      <c r="E145" s="35"/>
      <c r="F145" s="38"/>
      <c r="G145" s="38" t="str">
        <f t="shared" si="31"/>
        <v>1. Phần mềm thống kê ngành Tư pháp gửi dữ liệu Rà soát văn bản quy phạm pháp luật đến kho dữ liệu dùng chung. Kho dữ liệu dùng chung tiếp nhận dữ liệu Rà soát văn bản quy phạm pháp luật từ hệ thống nguồn thông qua kênh tích hợp. Trường hợp dữ liệu không đạt yêu cầu, hệ thống gửi thông báo lỗi kèm nguyên nhân. Nếu dữ liệu đạt yêu cầu, hệ thống tiếp nhận dữ liệu và thông báo thành công.</v>
      </c>
      <c r="H145" s="36" t="s">
        <v>5</v>
      </c>
      <c r="I145" s="36" t="s">
        <v>6</v>
      </c>
    </row>
    <row r="146" spans="1:9" ht="115.5">
      <c r="A146" s="36">
        <f>COUNTA($D$4:D146)</f>
        <v>122</v>
      </c>
      <c r="B146" s="28" t="str">
        <f t="shared" si="30"/>
        <v>Thu thập số liệu thống kê trong lĩnh vực Tổ chức và người làm công tác pháp chế theo Thông tư của Bộ trưởng Bộ Tư pháp quy định một số nội dung về hoạt động thống kê của ngành Tư pháp</v>
      </c>
      <c r="C146" s="28" t="s">
        <v>350</v>
      </c>
      <c r="D146" s="34" t="s">
        <v>335</v>
      </c>
      <c r="E146" s="35"/>
      <c r="F146" s="38"/>
      <c r="G146" s="38" t="str">
        <f t="shared" si="31"/>
        <v>1. Phần mềm thống kê ngành Tư pháp gửi dữ liệu Tổ chức và người làm công tác pháp chế đến kho dữ liệu dùng chung. Kho dữ liệu dùng chung tiếp nhận dữ liệu Tổ chức và người làm công tác pháp chế từ hệ thống nguồn thông qua kênh tích hợp. Trường hợp dữ liệu không đạt yêu cầu, hệ thống gửi thông báo lỗi kèm nguyên nhân. Nếu dữ liệu đạt yêu cầu, hệ thống tiếp nhận dữ liệu và thông báo thành công.</v>
      </c>
      <c r="H146" s="36" t="s">
        <v>5</v>
      </c>
      <c r="I146" s="36" t="s">
        <v>6</v>
      </c>
    </row>
    <row r="147" spans="1:9" ht="99">
      <c r="A147" s="36">
        <f>COUNTA($D$4:D147)</f>
        <v>123</v>
      </c>
      <c r="B147" s="28" t="str">
        <f t="shared" si="30"/>
        <v>Thu thập số liệu thống kê trong lĩnh vực Phổ biến, giáo dục pháp luật theo Thông tư của Bộ trưởng Bộ Tư pháp quy định một số nội dung về hoạt động thống kê của ngành Tư pháp</v>
      </c>
      <c r="C147" s="28" t="s">
        <v>351</v>
      </c>
      <c r="D147" s="34" t="s">
        <v>335</v>
      </c>
      <c r="E147" s="35"/>
      <c r="F147" s="38"/>
      <c r="G147" s="38" t="str">
        <f t="shared" si="31"/>
        <v>1. Phần mềm thống kê ngành Tư pháp gửi dữ liệu Phổ biến, giáo dục pháp luật đến kho dữ liệu dùng chung. Kho dữ liệu dùng chung tiếp nhận dữ liệu Phổ biến, giáo dục pháp luật từ hệ thống nguồn thông qua kênh tích hợp. Trường hợp dữ liệu không đạt yêu cầu, hệ thống gửi thông báo lỗi kèm nguyên nhân. Nếu dữ liệu đạt yêu cầu, hệ thống tiếp nhận dữ liệu và thông báo thành công.</v>
      </c>
      <c r="H147" s="36" t="s">
        <v>5</v>
      </c>
      <c r="I147" s="36" t="s">
        <v>6</v>
      </c>
    </row>
    <row r="148" spans="1:9" ht="99">
      <c r="A148" s="36">
        <f>COUNTA($D$4:D148)</f>
        <v>124</v>
      </c>
      <c r="B148" s="28" t="str">
        <f t="shared" si="30"/>
        <v>Thu thập số liệu thống kê trong lĩnh vực Hòa giải ở cơ sở theo Thông tư của Bộ trưởng Bộ Tư pháp quy định một số nội dung về hoạt động thống kê của ngành Tư pháp</v>
      </c>
      <c r="C148" s="28" t="s">
        <v>352</v>
      </c>
      <c r="D148" s="34" t="s">
        <v>335</v>
      </c>
      <c r="E148" s="35"/>
      <c r="F148" s="38"/>
      <c r="G148" s="38" t="str">
        <f t="shared" si="31"/>
        <v>1. Phần mềm thống kê ngành Tư pháp gửi dữ liệu Hòa giải ở cơ sở đến kho dữ liệu dùng chung. Kho dữ liệu dùng chung tiếp nhận dữ liệu Hòa giải ở cơ sở từ hệ thống nguồn thông qua kênh tích hợp. Trường hợp dữ liệu không đạt yêu cầu, hệ thống gửi thông báo lỗi kèm nguyên nhân. Nếu dữ liệu đạt yêu cầu, hệ thống tiếp nhận dữ liệu và thông báo thành công.</v>
      </c>
      <c r="H148" s="36" t="s">
        <v>5</v>
      </c>
      <c r="I148" s="36" t="s">
        <v>6</v>
      </c>
    </row>
    <row r="149" spans="1:9" ht="99">
      <c r="A149" s="36">
        <f>COUNTA($D$4:D149)</f>
        <v>125</v>
      </c>
      <c r="B149" s="28" t="str">
        <f t="shared" si="30"/>
        <v>Thu thập số liệu thống kê trong lĩnh vực Chuẩn tiếp cận pháp luật theo Thông tư của Bộ trưởng Bộ Tư pháp quy định một số nội dung về hoạt động thống kê của ngành Tư pháp</v>
      </c>
      <c r="C149" s="28" t="s">
        <v>353</v>
      </c>
      <c r="D149" s="34" t="s">
        <v>335</v>
      </c>
      <c r="E149" s="35"/>
      <c r="F149" s="38"/>
      <c r="G149" s="38" t="str">
        <f t="shared" si="31"/>
        <v>1. Phần mềm thống kê ngành Tư pháp gửi dữ liệu Chuẩn tiếp cận pháp luật đến kho dữ liệu dùng chung. Kho dữ liệu dùng chung tiếp nhận dữ liệu Chuẩn tiếp cận pháp luật từ hệ thống nguồn thông qua kênh tích hợp. Trường hợp dữ liệu không đạt yêu cầu, hệ thống gửi thông báo lỗi kèm nguyên nhân. Nếu dữ liệu đạt yêu cầu, hệ thống tiếp nhận dữ liệu và thông báo thành công.</v>
      </c>
      <c r="H149" s="36" t="s">
        <v>5</v>
      </c>
      <c r="I149" s="36" t="s">
        <v>6</v>
      </c>
    </row>
    <row r="150" spans="1:9" ht="99">
      <c r="A150" s="36">
        <f>COUNTA($D$4:D150)</f>
        <v>126</v>
      </c>
      <c r="B150" s="28" t="str">
        <f t="shared" si="30"/>
        <v>Thu thập số liệu thống kê trong lĩnh vực Hộ tịch theo Thông tư của Bộ trưởng Bộ Tư pháp quy định một số nội dung về hoạt động thống kê của ngành Tư pháp</v>
      </c>
      <c r="C150" s="28" t="s">
        <v>354</v>
      </c>
      <c r="D150" s="34" t="s">
        <v>335</v>
      </c>
      <c r="E150" s="35"/>
      <c r="F150" s="38"/>
      <c r="G150" s="38" t="str">
        <f t="shared" si="31"/>
        <v>1. Phần mềm thống kê ngành Tư pháp gửi dữ liệu Hộ tịch đến kho dữ liệu dùng chung. Kho dữ liệu dùng chung tiếp nhận dữ liệu Hộ tịch từ hệ thống nguồn thông qua kênh tích hợp. Trường hợp dữ liệu không đạt yêu cầu, hệ thống gửi thông báo lỗi kèm nguyên nhân. Nếu dữ liệu đạt yêu cầu, hệ thống tiếp nhận dữ liệu và thông báo thành công.</v>
      </c>
      <c r="H150" s="36" t="s">
        <v>5</v>
      </c>
      <c r="I150" s="36" t="s">
        <v>6</v>
      </c>
    </row>
    <row r="151" spans="1:9" ht="99">
      <c r="A151" s="36">
        <f>COUNTA($D$4:D151)</f>
        <v>127</v>
      </c>
      <c r="B151" s="28" t="str">
        <f t="shared" si="30"/>
        <v>Thu thập số liệu thống kê trong lĩnh vực Chứng thực theo Thông tư của Bộ trưởng Bộ Tư pháp quy định một số nội dung về hoạt động thống kê của ngành Tư pháp</v>
      </c>
      <c r="C151" s="28" t="s">
        <v>355</v>
      </c>
      <c r="D151" s="34" t="s">
        <v>335</v>
      </c>
      <c r="E151" s="35"/>
      <c r="F151" s="38"/>
      <c r="G151" s="38" t="str">
        <f t="shared" si="31"/>
        <v>1. Phần mềm thống kê ngành Tư pháp gửi dữ liệu Chứng thực đến kho dữ liệu dùng chung. Kho dữ liệu dùng chung tiếp nhận dữ liệu Chứng thực từ hệ thống nguồn thông qua kênh tích hợp. Trường hợp dữ liệu không đạt yêu cầu, hệ thống gửi thông báo lỗi kèm nguyên nhân. Nếu dữ liệu đạt yêu cầu, hệ thống tiếp nhận dữ liệu và thông báo thành công.</v>
      </c>
      <c r="H151" s="36" t="s">
        <v>5</v>
      </c>
      <c r="I151" s="36" t="s">
        <v>6</v>
      </c>
    </row>
    <row r="152" spans="1:9" ht="99">
      <c r="A152" s="36">
        <f>COUNTA($D$4:D152)</f>
        <v>128</v>
      </c>
      <c r="B152" s="28" t="str">
        <f t="shared" si="30"/>
        <v>Thu thập số liệu thống kê trong lĩnh vực Lý lịch tư pháp theo Thông tư của Bộ trưởng Bộ Tư pháp quy định một số nội dung về hoạt động thống kê của ngành Tư pháp</v>
      </c>
      <c r="C152" s="28" t="s">
        <v>356</v>
      </c>
      <c r="D152" s="34" t="s">
        <v>335</v>
      </c>
      <c r="E152" s="35"/>
      <c r="F152" s="38"/>
      <c r="G152" s="38" t="str">
        <f t="shared" si="31"/>
        <v>1. Phần mềm thống kê ngành Tư pháp gửi dữ liệu Lý lịch tư pháp đến kho dữ liệu dùng chung. Kho dữ liệu dùng chung tiếp nhận dữ liệu Lý lịch tư pháp từ hệ thống nguồn thông qua kênh tích hợp. Trường hợp dữ liệu không đạt yêu cầu, hệ thống gửi thông báo lỗi kèm nguyên nhân. Nếu dữ liệu đạt yêu cầu, hệ thống tiếp nhận dữ liệu và thông báo thành công.</v>
      </c>
      <c r="H152" s="36" t="s">
        <v>5</v>
      </c>
      <c r="I152" s="36" t="s">
        <v>6</v>
      </c>
    </row>
    <row r="153" spans="1:9" ht="99">
      <c r="A153" s="36">
        <f>COUNTA($D$4:D153)</f>
        <v>129</v>
      </c>
      <c r="B153" s="28" t="str">
        <f t="shared" si="30"/>
        <v>Thu thập số liệu thống kê trong lĩnh vực Nuôi con nuôi theo Thông tư của Bộ trưởng Bộ Tư pháp quy định một số nội dung về hoạt động thống kê của ngành Tư pháp</v>
      </c>
      <c r="C153" s="28" t="s">
        <v>357</v>
      </c>
      <c r="D153" s="34" t="s">
        <v>335</v>
      </c>
      <c r="E153" s="35"/>
      <c r="F153" s="38"/>
      <c r="G153" s="38" t="str">
        <f t="shared" si="31"/>
        <v>1. Phần mềm thống kê ngành Tư pháp gửi dữ liệu Nuôi con nuôi đến kho dữ liệu dùng chung. Kho dữ liệu dùng chung tiếp nhận dữ liệu Nuôi con nuôi từ hệ thống nguồn thông qua kênh tích hợp. Trường hợp dữ liệu không đạt yêu cầu, hệ thống gửi thông báo lỗi kèm nguyên nhân. Nếu dữ liệu đạt yêu cầu, hệ thống tiếp nhận dữ liệu và thông báo thành công.</v>
      </c>
      <c r="H153" s="36" t="s">
        <v>5</v>
      </c>
      <c r="I153" s="36" t="s">
        <v>6</v>
      </c>
    </row>
    <row r="154" spans="1:9" ht="99">
      <c r="A154" s="36">
        <f>COUNTA($D$4:D154)</f>
        <v>130</v>
      </c>
      <c r="B154" s="28" t="str">
        <f t="shared" si="30"/>
        <v>Thu thập số liệu thống kê trong lĩnh vực Trợ giúp pháp lý theo Thông tư của Bộ trưởng Bộ Tư pháp quy định một số nội dung về hoạt động thống kê của ngành Tư pháp</v>
      </c>
      <c r="C154" s="28" t="s">
        <v>358</v>
      </c>
      <c r="D154" s="34" t="s">
        <v>335</v>
      </c>
      <c r="E154" s="35"/>
      <c r="F154" s="38"/>
      <c r="G154" s="38" t="str">
        <f t="shared" si="31"/>
        <v>1. Phần mềm thống kê ngành Tư pháp gửi dữ liệu Trợ giúp pháp lý đến kho dữ liệu dùng chung. Kho dữ liệu dùng chung tiếp nhận dữ liệu Trợ giúp pháp lý từ hệ thống nguồn thông qua kênh tích hợp. Trường hợp dữ liệu không đạt yêu cầu, hệ thống gửi thông báo lỗi kèm nguyên nhân. Nếu dữ liệu đạt yêu cầu, hệ thống tiếp nhận dữ liệu và thông báo thành công.</v>
      </c>
      <c r="H154" s="36" t="s">
        <v>5</v>
      </c>
      <c r="I154" s="36" t="s">
        <v>6</v>
      </c>
    </row>
    <row r="155" spans="1:9" ht="99">
      <c r="A155" s="36">
        <f>COUNTA($D$4:D155)</f>
        <v>131</v>
      </c>
      <c r="B155" s="28" t="str">
        <f t="shared" si="30"/>
        <v>Thu thập số liệu thống kê trong lĩnh vực Đăng ký giao dịch bảo đảm theo Thông tư của Bộ trưởng Bộ Tư pháp quy định một số nội dung về hoạt động thống kê của ngành Tư pháp</v>
      </c>
      <c r="C155" s="28" t="s">
        <v>359</v>
      </c>
      <c r="D155" s="34" t="s">
        <v>335</v>
      </c>
      <c r="E155" s="35"/>
      <c r="F155" s="38"/>
      <c r="G155" s="38" t="str">
        <f t="shared" si="31"/>
        <v>1. Phần mềm thống kê ngành Tư pháp gửi dữ liệu Đăng ký giao dịch bảo đảm đến kho dữ liệu dùng chung. Kho dữ liệu dùng chung tiếp nhận dữ liệu Đăng ký giao dịch bảo đảm từ hệ thống nguồn thông qua kênh tích hợp. Trường hợp dữ liệu không đạt yêu cầu, hệ thống gửi thông báo lỗi kèm nguyên nhân. Nếu dữ liệu đạt yêu cầu, hệ thống tiếp nhận dữ liệu và thông báo thành công.</v>
      </c>
      <c r="H155" s="36" t="s">
        <v>5</v>
      </c>
      <c r="I155" s="36" t="s">
        <v>6</v>
      </c>
    </row>
    <row r="156" spans="1:9" ht="99">
      <c r="A156" s="36">
        <f>COUNTA($D$4:D156)</f>
        <v>132</v>
      </c>
      <c r="B156" s="28" t="str">
        <f t="shared" si="30"/>
        <v>Thu thập số liệu thống kê trong lĩnh vực Luật sư theo Thông tư của Bộ trưởng Bộ Tư pháp quy định một số nội dung về hoạt động thống kê của ngành Tư pháp</v>
      </c>
      <c r="C156" s="28" t="s">
        <v>360</v>
      </c>
      <c r="D156" s="34" t="s">
        <v>335</v>
      </c>
      <c r="E156" s="35"/>
      <c r="F156" s="38"/>
      <c r="G156" s="38" t="str">
        <f t="shared" si="31"/>
        <v>1. Phần mềm thống kê ngành Tư pháp gửi dữ liệu Luật sư đến kho dữ liệu dùng chung. Kho dữ liệu dùng chung tiếp nhận dữ liệu Luật sư từ hệ thống nguồn thông qua kênh tích hợp. Trường hợp dữ liệu không đạt yêu cầu, hệ thống gửi thông báo lỗi kèm nguyên nhân. Nếu dữ liệu đạt yêu cầu, hệ thống tiếp nhận dữ liệu và thông báo thành công.</v>
      </c>
      <c r="H156" s="36" t="s">
        <v>5</v>
      </c>
      <c r="I156" s="36" t="s">
        <v>6</v>
      </c>
    </row>
    <row r="157" spans="1:9" ht="99">
      <c r="A157" s="36">
        <f>COUNTA($D$4:D157)</f>
        <v>133</v>
      </c>
      <c r="B157" s="28" t="str">
        <f t="shared" si="30"/>
        <v>Thu thập số liệu thống kê trong lĩnh vực Công chứng theo Thông tư của Bộ trưởng Bộ Tư pháp quy định một số nội dung về hoạt động thống kê của ngành Tư pháp</v>
      </c>
      <c r="C157" s="28" t="s">
        <v>361</v>
      </c>
      <c r="D157" s="34" t="s">
        <v>335</v>
      </c>
      <c r="E157" s="35"/>
      <c r="F157" s="38"/>
      <c r="G157" s="38" t="str">
        <f t="shared" si="31"/>
        <v>1. Phần mềm thống kê ngành Tư pháp gửi dữ liệu Công chứng đến kho dữ liệu dùng chung. Kho dữ liệu dùng chung tiếp nhận dữ liệu Công chứng từ hệ thống nguồn thông qua kênh tích hợp. Trường hợp dữ liệu không đạt yêu cầu, hệ thống gửi thông báo lỗi kèm nguyên nhân. Nếu dữ liệu đạt yêu cầu, hệ thống tiếp nhận dữ liệu và thông báo thành công.</v>
      </c>
      <c r="H157" s="36" t="s">
        <v>5</v>
      </c>
      <c r="I157" s="36" t="s">
        <v>6</v>
      </c>
    </row>
    <row r="158" spans="1:9" ht="99">
      <c r="A158" s="36">
        <f>COUNTA($D$4:D158)</f>
        <v>134</v>
      </c>
      <c r="B158" s="28" t="str">
        <f t="shared" si="30"/>
        <v>Thu thập số liệu thống kê trong lĩnh vực Giám định tư pháp theo Thông tư của Bộ trưởng Bộ Tư pháp quy định một số nội dung về hoạt động thống kê của ngành Tư pháp</v>
      </c>
      <c r="C158" s="28" t="s">
        <v>362</v>
      </c>
      <c r="D158" s="34" t="s">
        <v>335</v>
      </c>
      <c r="E158" s="35"/>
      <c r="F158" s="38"/>
      <c r="G158" s="38" t="str">
        <f t="shared" si="31"/>
        <v>1. Phần mềm thống kê ngành Tư pháp gửi dữ liệu Giám định tư pháp đến kho dữ liệu dùng chung. Kho dữ liệu dùng chung tiếp nhận dữ liệu Giám định tư pháp từ hệ thống nguồn thông qua kênh tích hợp. Trường hợp dữ liệu không đạt yêu cầu, hệ thống gửi thông báo lỗi kèm nguyên nhân. Nếu dữ liệu đạt yêu cầu, hệ thống tiếp nhận dữ liệu và thông báo thành công.</v>
      </c>
      <c r="H158" s="36" t="s">
        <v>5</v>
      </c>
      <c r="I158" s="36" t="s">
        <v>6</v>
      </c>
    </row>
    <row r="159" spans="1:9" ht="99">
      <c r="A159" s="36">
        <f>COUNTA($D$4:D159)</f>
        <v>135</v>
      </c>
      <c r="B159" s="28" t="str">
        <f t="shared" si="30"/>
        <v>Thu thập số liệu thống kê trong lĩnh vực Đấu giá tài sản theo Thông tư của Bộ trưởng Bộ Tư pháp quy định một số nội dung về hoạt động thống kê của ngành Tư pháp</v>
      </c>
      <c r="C159" s="28" t="s">
        <v>363</v>
      </c>
      <c r="D159" s="34" t="s">
        <v>335</v>
      </c>
      <c r="E159" s="35"/>
      <c r="F159" s="38"/>
      <c r="G159" s="38" t="str">
        <f t="shared" si="31"/>
        <v>1. Phần mềm thống kê ngành Tư pháp gửi dữ liệu Đấu giá tài sản đến kho dữ liệu dùng chung. Kho dữ liệu dùng chung tiếp nhận dữ liệu Đấu giá tài sản từ hệ thống nguồn thông qua kênh tích hợp. Trường hợp dữ liệu không đạt yêu cầu, hệ thống gửi thông báo lỗi kèm nguyên nhân. Nếu dữ liệu đạt yêu cầu, hệ thống tiếp nhận dữ liệu và thông báo thành công.</v>
      </c>
      <c r="H159" s="36" t="s">
        <v>5</v>
      </c>
      <c r="I159" s="36" t="s">
        <v>6</v>
      </c>
    </row>
    <row r="160" spans="1:9" ht="99">
      <c r="A160" s="36">
        <f>COUNTA($D$4:D160)</f>
        <v>136</v>
      </c>
      <c r="B160" s="28" t="str">
        <f t="shared" si="30"/>
        <v>Thu thập số liệu thống kê trong lĩnh vực Trọng tài thương mại theo Thông tư của Bộ trưởng Bộ Tư pháp quy định một số nội dung về hoạt động thống kê của ngành Tư pháp</v>
      </c>
      <c r="C160" s="28" t="s">
        <v>364</v>
      </c>
      <c r="D160" s="34" t="s">
        <v>335</v>
      </c>
      <c r="E160" s="35"/>
      <c r="F160" s="38"/>
      <c r="G160" s="38" t="str">
        <f t="shared" si="31"/>
        <v>1. Phần mềm thống kê ngành Tư pháp gửi dữ liệu Trọng tài thương mại đến kho dữ liệu dùng chung. Kho dữ liệu dùng chung tiếp nhận dữ liệu Trọng tài thương mại từ hệ thống nguồn thông qua kênh tích hợp. Trường hợp dữ liệu không đạt yêu cầu, hệ thống gửi thông báo lỗi kèm nguyên nhân. Nếu dữ liệu đạt yêu cầu, hệ thống tiếp nhận dữ liệu và thông báo thành công.</v>
      </c>
      <c r="H160" s="36" t="s">
        <v>5</v>
      </c>
      <c r="I160" s="36" t="s">
        <v>6</v>
      </c>
    </row>
    <row r="161" spans="1:9" ht="99">
      <c r="A161" s="36">
        <f>COUNTA($D$4:D161)</f>
        <v>137</v>
      </c>
      <c r="B161" s="28" t="str">
        <f t="shared" si="30"/>
        <v>Thu thập số liệu thống kê trong lĩnh vực Hòa giải thương mại theo Thông tư của Bộ trưởng Bộ Tư pháp quy định một số nội dung về hoạt động thống kê của ngành Tư pháp</v>
      </c>
      <c r="C161" s="28" t="s">
        <v>365</v>
      </c>
      <c r="D161" s="34" t="s">
        <v>335</v>
      </c>
      <c r="E161" s="35"/>
      <c r="F161" s="38"/>
      <c r="G161" s="38" t="str">
        <f t="shared" si="31"/>
        <v>1. Phần mềm thống kê ngành Tư pháp gửi dữ liệu Hòa giải thương mại đến kho dữ liệu dùng chung. Kho dữ liệu dùng chung tiếp nhận dữ liệu Hòa giải thương mại từ hệ thống nguồn thông qua kênh tích hợp. Trường hợp dữ liệu không đạt yêu cầu, hệ thống gửi thông báo lỗi kèm nguyên nhân. Nếu dữ liệu đạt yêu cầu, hệ thống tiếp nhận dữ liệu và thông báo thành công.</v>
      </c>
      <c r="H161" s="36" t="s">
        <v>5</v>
      </c>
      <c r="I161" s="36" t="s">
        <v>6</v>
      </c>
    </row>
    <row r="162" spans="1:9" ht="99">
      <c r="A162" s="36">
        <f>COUNTA($D$4:D162)</f>
        <v>138</v>
      </c>
      <c r="B162" s="28" t="str">
        <f t="shared" si="30"/>
        <v>Thu thập số liệu thống kê trong lĩnh vực Quản lý thanh lý tài sản theo Thông tư của Bộ trưởng Bộ Tư pháp quy định một số nội dung về hoạt động thống kê của ngành Tư pháp</v>
      </c>
      <c r="C162" s="28" t="s">
        <v>366</v>
      </c>
      <c r="D162" s="34" t="s">
        <v>335</v>
      </c>
      <c r="E162" s="35"/>
      <c r="F162" s="38"/>
      <c r="G162" s="38" t="str">
        <f t="shared" si="31"/>
        <v>1. Phần mềm thống kê ngành Tư pháp gửi dữ liệu Quản lý thanh lý tài sản đến kho dữ liệu dùng chung. Kho dữ liệu dùng chung tiếp nhận dữ liệu Quản lý thanh lý tài sản từ hệ thống nguồn thông qua kênh tích hợp. Trường hợp dữ liệu không đạt yêu cầu, hệ thống gửi thông báo lỗi kèm nguyên nhân. Nếu dữ liệu đạt yêu cầu, hệ thống tiếp nhận dữ liệu và thông báo thành công.</v>
      </c>
      <c r="H162" s="36" t="s">
        <v>5</v>
      </c>
      <c r="I162" s="36" t="s">
        <v>6</v>
      </c>
    </row>
    <row r="163" spans="1:9" ht="99">
      <c r="A163" s="36">
        <f>COUNTA($D$4:D163)</f>
        <v>139</v>
      </c>
      <c r="B163" s="28" t="str">
        <f t="shared" si="30"/>
        <v>Thu thập số liệu thống kê trong lĩnh vực Tương trợ tư pháp theo Thông tư của Bộ trưởng Bộ Tư pháp quy định một số nội dung về hoạt động thống kê của ngành Tư pháp</v>
      </c>
      <c r="C163" s="28" t="s">
        <v>367</v>
      </c>
      <c r="D163" s="34" t="s">
        <v>335</v>
      </c>
      <c r="E163" s="35"/>
      <c r="F163" s="38"/>
      <c r="G163" s="38" t="str">
        <f t="shared" si="31"/>
        <v>1. Phần mềm thống kê ngành Tư pháp gửi dữ liệu Tương trợ tư pháp đến kho dữ liệu dùng chung. Kho dữ liệu dùng chung tiếp nhận dữ liệu Tương trợ tư pháp từ hệ thống nguồn thông qua kênh tích hợp. Trường hợp dữ liệu không đạt yêu cầu, hệ thống gửi thông báo lỗi kèm nguyên nhân. Nếu dữ liệu đạt yêu cầu, hệ thống tiếp nhận dữ liệu và thông báo thành công.</v>
      </c>
      <c r="H163" s="36" t="s">
        <v>5</v>
      </c>
      <c r="I163" s="36" t="s">
        <v>6</v>
      </c>
    </row>
    <row r="164" spans="1:9" ht="33">
      <c r="A164" s="32" t="s">
        <v>9</v>
      </c>
      <c r="B164" s="33" t="s">
        <v>465</v>
      </c>
      <c r="C164" s="33"/>
      <c r="D164" s="34"/>
      <c r="E164" s="35"/>
      <c r="F164" s="35"/>
      <c r="G164" s="35"/>
      <c r="H164" s="36"/>
      <c r="I164" s="36"/>
    </row>
    <row r="165" spans="1:9" ht="33">
      <c r="A165" s="40" t="s">
        <v>152</v>
      </c>
      <c r="B165" s="39" t="s">
        <v>654</v>
      </c>
      <c r="C165" s="39"/>
      <c r="D165" s="34"/>
      <c r="E165" s="35"/>
      <c r="F165" s="35"/>
      <c r="G165" s="35"/>
      <c r="H165" s="36"/>
      <c r="I165" s="36"/>
    </row>
    <row r="166" spans="1:9" ht="66">
      <c r="A166" s="36">
        <f>COUNTA($D$4:D166)</f>
        <v>140</v>
      </c>
      <c r="B166" s="38" t="s">
        <v>451</v>
      </c>
      <c r="C166" s="38" t="s">
        <v>153</v>
      </c>
      <c r="D166" s="34" t="s">
        <v>39</v>
      </c>
      <c r="E166" s="35"/>
      <c r="F166" s="38"/>
      <c r="G166" s="38" t="str">
        <f>"1. "&amp;D166&amp;_xlfn._LONGTEXT(" định kỳ hoặc theo yêu cầu gửi gói tin chứa thông tin đối soát tổng hợp tới hệ thống kho dữ liệu dùng chung. Kho dữ liệu dùng chung tiếp nhận gói tin đối soát và tự động đối chiếu dữ liệu. Sau khi kiểm tra, hệ thống kho dữ liệu dùng chung tổng hợp kết quả"," đối soát và gửi phản hồi về cho hệ thống nguồn.")</f>
        <v>1. Hệ thống nguồn (TTDLQG) định kỳ hoặc theo yêu cầu gửi gói tin chứa thông tin đối soát tổng hợp tới hệ thống kho dữ liệu dùng chung. Kho dữ liệu dùng chung tiếp nhận gói tin đối soát và tự động đối chiếu dữ liệu. Sau khi kiểm tra, hệ thống kho dữ liệu dùng chung tổng hợp kết quả đối soát và gửi phản hồi về cho hệ thống nguồn.</v>
      </c>
      <c r="H166" s="36" t="s">
        <v>5</v>
      </c>
      <c r="I166" s="36" t="s">
        <v>6</v>
      </c>
    </row>
    <row r="167" spans="1:9" ht="66">
      <c r="A167" s="36">
        <f>COUNTA($D$4:D167)</f>
        <v>141</v>
      </c>
      <c r="B167" s="38" t="s">
        <v>657</v>
      </c>
      <c r="C167" s="38" t="s">
        <v>656</v>
      </c>
      <c r="D167" s="34" t="s">
        <v>655</v>
      </c>
      <c r="E167" s="35"/>
      <c r="F167" s="38"/>
      <c r="G167" s="38" t="str">
        <f>"1. "&amp;D167&amp;_xlfn._LONGTEXT(" định kỳ hoặc theo yêu cầu gửi gói tin chứa thông tin đối soát tổng hợp tới hệ thống kho dữ liệu dùng chung. Kho dữ liệu dùng chung tiếp nhận gói tin đối soát và tự động đối chiếu dữ liệu. Sau khi kiểm tra, hệ thống kho dữ liệu dùng chung tổng hợp kết quả"," đối soát và gửi phản hồi về cho hệ thống nguồn.")</f>
        <v>1. Hệ thống nguồn (TANDTC) định kỳ hoặc theo yêu cầu gửi gói tin chứa thông tin đối soát tổng hợp tới hệ thống kho dữ liệu dùng chung. Kho dữ liệu dùng chung tiếp nhận gói tin đối soát và tự động đối chiếu dữ liệu. Sau khi kiểm tra, hệ thống kho dữ liệu dùng chung tổng hợp kết quả đối soát và gửi phản hồi về cho hệ thống nguồn.</v>
      </c>
      <c r="H167" s="36" t="s">
        <v>5</v>
      </c>
      <c r="I167" s="36" t="s">
        <v>6</v>
      </c>
    </row>
    <row r="168" spans="1:9" ht="33">
      <c r="A168" s="40" t="s">
        <v>154</v>
      </c>
      <c r="B168" s="39" t="s">
        <v>155</v>
      </c>
      <c r="C168" s="39"/>
      <c r="D168" s="34"/>
      <c r="E168" s="35"/>
      <c r="F168" s="35"/>
      <c r="G168" s="35"/>
      <c r="H168" s="36"/>
      <c r="I168" s="36"/>
    </row>
    <row r="169" spans="1:9" ht="16.5">
      <c r="A169" s="41" t="s">
        <v>436</v>
      </c>
      <c r="B169" s="42" t="s">
        <v>50</v>
      </c>
      <c r="C169" s="42"/>
      <c r="D169" s="34"/>
      <c r="E169" s="35"/>
      <c r="F169" s="35"/>
      <c r="G169" s="35"/>
      <c r="H169" s="36"/>
      <c r="I169" s="36"/>
    </row>
    <row r="170" spans="1:9" ht="16.5">
      <c r="A170" s="41" t="s">
        <v>437</v>
      </c>
      <c r="B170" s="42" t="s">
        <v>52</v>
      </c>
      <c r="C170" s="42"/>
      <c r="D170" s="34"/>
      <c r="E170" s="35"/>
      <c r="F170" s="35"/>
      <c r="G170" s="35"/>
      <c r="H170" s="36"/>
      <c r="I170" s="36"/>
    </row>
    <row r="171" spans="1:9" ht="82.5">
      <c r="A171" s="36">
        <f>COUNTA($D$4:D171)</f>
        <v>142</v>
      </c>
      <c r="B171" s="38" t="s">
        <v>454</v>
      </c>
      <c r="C171" s="38" t="s">
        <v>156</v>
      </c>
      <c r="D171" s="34" t="s">
        <v>54</v>
      </c>
      <c r="E171" s="35"/>
      <c r="F171" s="38"/>
      <c r="G171" s="38" t="str">
        <f>"1. "&amp;D171&amp;_xlfn._LONGTEXT(" định kỳ hoặc theo yêu cầu gửi gói tin chứa thông tin đối soát tổng hợp tới hệ thống kho dữ liệu dùng chung. Kho dữ liệu dùng chung tiếp nhận gói tin đối soát và tự động đối chiếu dữ liệu. Sau khi kiểm tra, hệ thống kho dữ liệu dùng chung tổng hợp kết quả"," đối soát và gửi phản hồi về cho hệ thống nguồn.")</f>
        <v>1. Hệ thống nguồn (CSDL Hộ tịch điện tử) định kỳ hoặc theo yêu cầu gửi gói tin chứa thông tin đối soát tổng hợp tới hệ thống kho dữ liệu dùng chung. Kho dữ liệu dùng chung tiếp nhận gói tin đối soát và tự động đối chiếu dữ liệu. Sau khi kiểm tra, hệ thống kho dữ liệu dùng chung tổng hợp kết quả đối soát và gửi phản hồi về cho hệ thống nguồn.</v>
      </c>
      <c r="H171" s="36" t="s">
        <v>5</v>
      </c>
      <c r="I171" s="36" t="s">
        <v>6</v>
      </c>
    </row>
    <row r="172" spans="1:9" ht="33">
      <c r="A172" s="41" t="s">
        <v>438</v>
      </c>
      <c r="B172" s="44" t="s">
        <v>67</v>
      </c>
      <c r="C172" s="44"/>
      <c r="D172" s="34"/>
      <c r="E172" s="35"/>
      <c r="F172" s="35"/>
      <c r="G172" s="35"/>
      <c r="H172" s="36"/>
      <c r="I172" s="36"/>
    </row>
    <row r="173" spans="1:9" ht="82.5">
      <c r="A173" s="36">
        <f>COUNTA($D$4:D173)</f>
        <v>143</v>
      </c>
      <c r="B173" s="54" t="s">
        <v>455</v>
      </c>
      <c r="C173" s="54" t="s">
        <v>157</v>
      </c>
      <c r="D173" s="55" t="s">
        <v>69</v>
      </c>
      <c r="E173" s="56"/>
      <c r="F173" s="57"/>
      <c r="G173" s="38" t="str">
        <f>"1. "&amp;D173&amp;_xlfn._LONGTEXT(" định kỳ hoặc theo yêu cầu gửi gói tin chứa thông tin đối soát tổng hợp tới hệ thống kho dữ liệu dùng chung. Kho dữ liệu dùng chung tiếp nhận gói tin đối soát và tự động đối chiếu dữ liệu. Sau khi kiểm tra, hệ thống kho dữ liệu dùng chung tổng hợp kết quả"," đối soát và gửi phản hồi về cho hệ thống nguồn.")</f>
        <v>1. Hệ thống nguồn (Hệ thống quản lý hồ sơ quốc tịch) định kỳ hoặc theo yêu cầu gửi gói tin chứa thông tin đối soát tổng hợp tới hệ thống kho dữ liệu dùng chung. Kho dữ liệu dùng chung tiếp nhận gói tin đối soát và tự động đối chiếu dữ liệu. Sau khi kiểm tra, hệ thống kho dữ liệu dùng chung tổng hợp kết quả đối soát và gửi phản hồi về cho hệ thống nguồn.</v>
      </c>
      <c r="H173" s="36" t="s">
        <v>5</v>
      </c>
      <c r="I173" s="58" t="s">
        <v>6</v>
      </c>
    </row>
    <row r="174" spans="1:9" ht="33">
      <c r="A174" s="41" t="s">
        <v>439</v>
      </c>
      <c r="B174" s="46" t="s">
        <v>73</v>
      </c>
      <c r="C174" s="46"/>
      <c r="D174" s="34"/>
      <c r="E174" s="35"/>
      <c r="F174" s="38"/>
      <c r="G174" s="38"/>
      <c r="H174" s="36"/>
      <c r="I174" s="36"/>
    </row>
    <row r="175" spans="1:9" ht="33">
      <c r="A175" s="41" t="s">
        <v>440</v>
      </c>
      <c r="B175" s="42" t="s">
        <v>75</v>
      </c>
      <c r="C175" s="42"/>
      <c r="D175" s="34"/>
      <c r="E175" s="35"/>
      <c r="F175" s="38"/>
      <c r="G175" s="38"/>
      <c r="H175" s="36"/>
      <c r="I175" s="36"/>
    </row>
    <row r="176" spans="1:9" ht="82.5">
      <c r="A176" s="36">
        <f>COUNTA($D$4:D176)</f>
        <v>144</v>
      </c>
      <c r="B176" s="57" t="s">
        <v>456</v>
      </c>
      <c r="C176" s="57" t="s">
        <v>158</v>
      </c>
      <c r="D176" s="55" t="s">
        <v>77</v>
      </c>
      <c r="E176" s="56"/>
      <c r="F176" s="57"/>
      <c r="G176" s="38" t="str">
        <f>"1. "&amp;D176&amp;_xlfn._LONGTEXT(" định kỳ hoặc theo yêu cầu gửi gói tin chứa thông tin đối soát tổng hợp tới hệ thống kho dữ liệu dùng chung. Kho dữ liệu dùng chung tiếp nhận gói tin đối soát và tự động đối chiếu dữ liệu. Sau khi kiểm tra, hệ thống kho dữ liệu dùng chung tổng hợp kết quả"," đối soát và gửi phản hồi về cho hệ thống nguồn.")</f>
        <v>1. Hệ thống nguồn (CSDL thi hành án dân sự) định kỳ hoặc theo yêu cầu gửi gói tin chứa thông tin đối soát tổng hợp tới hệ thống kho dữ liệu dùng chung. Kho dữ liệu dùng chung tiếp nhận gói tin đối soát và tự động đối chiếu dữ liệu. Sau khi kiểm tra, hệ thống kho dữ liệu dùng chung tổng hợp kết quả đối soát và gửi phản hồi về cho hệ thống nguồn.</v>
      </c>
      <c r="H176" s="36" t="s">
        <v>5</v>
      </c>
      <c r="I176" s="58" t="s">
        <v>6</v>
      </c>
    </row>
    <row r="177" spans="1:9" ht="33">
      <c r="A177" s="41" t="s">
        <v>441</v>
      </c>
      <c r="B177" s="46" t="s">
        <v>427</v>
      </c>
      <c r="C177" s="46"/>
      <c r="D177" s="34"/>
      <c r="E177" s="35"/>
      <c r="F177" s="35"/>
      <c r="G177" s="35"/>
      <c r="H177" s="36"/>
      <c r="I177" s="36"/>
    </row>
    <row r="178" spans="1:9" ht="33">
      <c r="A178" s="41" t="s">
        <v>442</v>
      </c>
      <c r="B178" s="42" t="s">
        <v>97</v>
      </c>
      <c r="C178" s="42"/>
      <c r="D178" s="34"/>
      <c r="E178" s="35"/>
      <c r="F178" s="35"/>
      <c r="G178" s="35"/>
      <c r="H178" s="36"/>
      <c r="I178" s="36"/>
    </row>
    <row r="179" spans="1:9" ht="82.5">
      <c r="A179" s="36">
        <f>COUNTA($D$4:D179)</f>
        <v>145</v>
      </c>
      <c r="B179" s="57" t="s">
        <v>457</v>
      </c>
      <c r="C179" s="57" t="s">
        <v>159</v>
      </c>
      <c r="D179" s="55" t="s">
        <v>99</v>
      </c>
      <c r="E179" s="56"/>
      <c r="F179" s="57"/>
      <c r="G179" s="38" t="str">
        <f>"1. "&amp;D179&amp;_xlfn._LONGTEXT(" định kỳ hoặc theo yêu cầu gửi gói tin chứa thông tin đối soát tổng hợp tới hệ thống kho dữ liệu dùng chung. Kho dữ liệu dùng chung tiếp nhận gói tin đối soát và tự động đối chiếu dữ liệu. Sau khi kiểm tra, hệ thống kho dữ liệu dùng chung tổng hợp kết quả"," đối soát và gửi phản hồi về cho hệ thống nguồn.")</f>
        <v>1. Hệ thống nguồn (CSDL về biện pháp bảo đảm) định kỳ hoặc theo yêu cầu gửi gói tin chứa thông tin đối soát tổng hợp tới hệ thống kho dữ liệu dùng chung. Kho dữ liệu dùng chung tiếp nhận gói tin đối soát và tự động đối chiếu dữ liệu. Sau khi kiểm tra, hệ thống kho dữ liệu dùng chung tổng hợp kết quả đối soát và gửi phản hồi về cho hệ thống nguồn.</v>
      </c>
      <c r="H179" s="36" t="s">
        <v>5</v>
      </c>
      <c r="I179" s="58" t="s">
        <v>6</v>
      </c>
    </row>
    <row r="180" spans="1:9" ht="49.5">
      <c r="A180" s="41" t="s">
        <v>443</v>
      </c>
      <c r="B180" s="46" t="s">
        <v>104</v>
      </c>
      <c r="C180" s="46"/>
      <c r="D180" s="34"/>
      <c r="E180" s="35"/>
      <c r="F180" s="35"/>
      <c r="G180" s="35"/>
      <c r="H180" s="36"/>
      <c r="I180" s="36"/>
    </row>
    <row r="181" spans="1:9" ht="16.5">
      <c r="A181" s="41" t="s">
        <v>444</v>
      </c>
      <c r="B181" s="42" t="s">
        <v>106</v>
      </c>
      <c r="C181" s="42"/>
      <c r="D181" s="34"/>
      <c r="E181" s="35"/>
      <c r="F181" s="35"/>
      <c r="G181" s="35"/>
      <c r="H181" s="36"/>
      <c r="I181" s="36"/>
    </row>
    <row r="182" spans="1:9" ht="82.5">
      <c r="A182" s="36">
        <f>COUNTA($D$4:D182)</f>
        <v>146</v>
      </c>
      <c r="B182" s="57" t="s">
        <v>458</v>
      </c>
      <c r="C182" s="57" t="s">
        <v>160</v>
      </c>
      <c r="D182" s="55" t="s">
        <v>108</v>
      </c>
      <c r="E182" s="56"/>
      <c r="F182" s="57"/>
      <c r="G182" s="38" t="str">
        <f>"1. "&amp;D182&amp;_xlfn._LONGTEXT(" định kỳ hoặc theo yêu cầu gửi gói tin chứa thông tin đối soát tổng hợp tới hệ thống kho dữ liệu dùng chung. Kho dữ liệu dùng chung tiếp nhận gói tin đối soát và tự động đối chiếu dữ liệu. Sau khi kiểm tra, hệ thống kho dữ liệu dùng chung tổng hợp kết quả"," đối soát và gửi phản hồi về cho hệ thống nguồn.")</f>
        <v>1. Hệ thống nguồn (CSDL quốc gia về pháp luật) định kỳ hoặc theo yêu cầu gửi gói tin chứa thông tin đối soát tổng hợp tới hệ thống kho dữ liệu dùng chung. Kho dữ liệu dùng chung tiếp nhận gói tin đối soát và tự động đối chiếu dữ liệu. Sau khi kiểm tra, hệ thống kho dữ liệu dùng chung tổng hợp kết quả đối soát và gửi phản hồi về cho hệ thống nguồn.</v>
      </c>
      <c r="H182" s="36" t="s">
        <v>5</v>
      </c>
      <c r="I182" s="58" t="s">
        <v>6</v>
      </c>
    </row>
    <row r="183" spans="1:9" ht="33">
      <c r="A183" s="41" t="s">
        <v>445</v>
      </c>
      <c r="B183" s="42" t="s">
        <v>114</v>
      </c>
      <c r="C183" s="42"/>
      <c r="D183" s="34"/>
      <c r="E183" s="35"/>
      <c r="F183" s="35"/>
      <c r="G183" s="35"/>
      <c r="H183" s="36"/>
      <c r="I183" s="36"/>
    </row>
    <row r="184" spans="1:9" ht="82.5">
      <c r="A184" s="36">
        <f>COUNTA($D$4:D184)</f>
        <v>147</v>
      </c>
      <c r="B184" s="57" t="s">
        <v>459</v>
      </c>
      <c r="C184" s="57" t="s">
        <v>161</v>
      </c>
      <c r="D184" s="55" t="s">
        <v>116</v>
      </c>
      <c r="E184" s="56"/>
      <c r="F184" s="57"/>
      <c r="G184" s="38" t="str">
        <f>"1. "&amp;D184&amp;_xlfn._LONGTEXT(" định kỳ hoặc theo yêu cầu gửi gói tin chứa thông tin đối soát tổng hợp tới hệ thống kho dữ liệu dùng chung. Kho dữ liệu dùng chung tiếp nhận gói tin đối soát và tự động đối chiếu dữ liệu. Sau khi kiểm tra, hệ thống kho dữ liệu dùng chung tổng hợp kết quả"," đối soát và gửi phản hồi về cho hệ thống nguồn.")</f>
        <v>1. Hệ thống nguồn (CSDL tương trợ tư pháp về dân sự) định kỳ hoặc theo yêu cầu gửi gói tin chứa thông tin đối soát tổng hợp tới hệ thống kho dữ liệu dùng chung. Kho dữ liệu dùng chung tiếp nhận gói tin đối soát và tự động đối chiếu dữ liệu. Sau khi kiểm tra, hệ thống kho dữ liệu dùng chung tổng hợp kết quả đối soát và gửi phản hồi về cho hệ thống nguồn.</v>
      </c>
      <c r="H184" s="36" t="s">
        <v>5</v>
      </c>
      <c r="I184" s="58" t="s">
        <v>6</v>
      </c>
    </row>
    <row r="185" spans="1:9" ht="33">
      <c r="A185" s="41" t="s">
        <v>446</v>
      </c>
      <c r="B185" s="42" t="s">
        <v>119</v>
      </c>
      <c r="C185" s="42"/>
      <c r="D185" s="34"/>
      <c r="E185" s="35"/>
      <c r="F185" s="35"/>
      <c r="G185" s="38"/>
      <c r="H185" s="36"/>
      <c r="I185" s="36"/>
    </row>
    <row r="186" spans="1:9" ht="82.5">
      <c r="A186" s="36">
        <f>COUNTA($D$4:D186)</f>
        <v>148</v>
      </c>
      <c r="B186" s="57" t="s">
        <v>460</v>
      </c>
      <c r="C186" s="57" t="s">
        <v>162</v>
      </c>
      <c r="D186" s="55" t="s">
        <v>121</v>
      </c>
      <c r="E186" s="56"/>
      <c r="F186" s="57"/>
      <c r="G186" s="38" t="str">
        <f>"1. "&amp;D186&amp;_xlfn._LONGTEXT(" định kỳ hoặc theo yêu cầu gửi gói tin chứa thông tin đối soát tổng hợp tới hệ thống kho dữ liệu dùng chung. Kho dữ liệu dùng chung tiếp nhận gói tin đối soát và tự động đối chiếu dữ liệu. Sau khi kiểm tra, hệ thống kho dữ liệu dùng chung tổng hợp kết quả"," đối soát và gửi phản hồi về cho hệ thống nguồn.")</f>
        <v>1. Hệ thống nguồn (Hệ thống thông tin trợ giúp pháp lý) định kỳ hoặc theo yêu cầu gửi gói tin chứa thông tin đối soát tổng hợp tới hệ thống kho dữ liệu dùng chung. Kho dữ liệu dùng chung tiếp nhận gói tin đối soát và tự động đối chiếu dữ liệu. Sau khi kiểm tra, hệ thống kho dữ liệu dùng chung tổng hợp kết quả đối soát và gửi phản hồi về cho hệ thống nguồn.</v>
      </c>
      <c r="H186" s="36" t="s">
        <v>5</v>
      </c>
      <c r="I186" s="58" t="s">
        <v>6</v>
      </c>
    </row>
    <row r="187" spans="1:9" ht="33">
      <c r="A187" s="41" t="s">
        <v>463</v>
      </c>
      <c r="B187" s="42" t="s">
        <v>464</v>
      </c>
      <c r="C187" s="42"/>
      <c r="D187" s="34"/>
      <c r="E187" s="35"/>
      <c r="F187" s="35"/>
      <c r="G187" s="38"/>
      <c r="H187" s="36"/>
      <c r="I187" s="36"/>
    </row>
    <row r="188" spans="1:9" ht="82.5">
      <c r="A188" s="36">
        <f>COUNTA($D$4:D188)</f>
        <v>149</v>
      </c>
      <c r="B188" s="57" t="s">
        <v>460</v>
      </c>
      <c r="C188" s="57" t="s">
        <v>162</v>
      </c>
      <c r="D188" s="55" t="s">
        <v>429</v>
      </c>
      <c r="E188" s="56"/>
      <c r="F188" s="57"/>
      <c r="G188" s="38" t="str">
        <f>"1. "&amp;D188&amp;_xlfn._LONGTEXT(" định kỳ hoặc theo yêu cầu gửi gói tin chứa thông tin đối soát tổng hợp tới hệ thống kho dữ liệu dùng chung. Kho dữ liệu dùng chung tiếp nhận gói tin đối soát và tự động đối chiếu dữ liệu. Sau khi kiểm tra, hệ thống kho dữ liệu dùng chung tổng hợp kết quả"," đối soát và gửi phản hồi về cho hệ thống nguồn.")</f>
        <v>1. Hệ thống nguồn (CSDL phổ biến, giáo dục pháp luật và hoà giải cơ sở) định kỳ hoặc theo yêu cầu gửi gói tin chứa thông tin đối soát tổng hợp tới hệ thống kho dữ liệu dùng chung. Kho dữ liệu dùng chung tiếp nhận gói tin đối soát và tự động đối chiếu dữ liệu. Sau khi kiểm tra, hệ thống kho dữ liệu dùng chung tổng hợp kết quả đối soát và gửi phản hồi về cho hệ thống nguồn.</v>
      </c>
      <c r="H188" s="36" t="s">
        <v>5</v>
      </c>
      <c r="I188" s="58" t="s">
        <v>6</v>
      </c>
    </row>
    <row r="189" spans="1:9" ht="16.5">
      <c r="A189" s="41" t="s">
        <v>447</v>
      </c>
      <c r="B189" s="46" t="s">
        <v>126</v>
      </c>
      <c r="C189" s="46"/>
      <c r="D189" s="34"/>
      <c r="E189" s="35"/>
      <c r="F189" s="35"/>
      <c r="G189" s="35"/>
      <c r="H189" s="36"/>
      <c r="I189" s="36"/>
    </row>
    <row r="190" spans="1:9" ht="16.5">
      <c r="A190" s="41" t="s">
        <v>448</v>
      </c>
      <c r="B190" s="42" t="s">
        <v>128</v>
      </c>
      <c r="C190" s="42"/>
      <c r="D190" s="34"/>
      <c r="E190" s="35"/>
      <c r="F190" s="35"/>
      <c r="G190" s="35"/>
      <c r="H190" s="36"/>
      <c r="I190" s="36"/>
    </row>
    <row r="191" spans="1:9" ht="82.5">
      <c r="A191" s="36">
        <f>COUNTA($D$4:D191)</f>
        <v>150</v>
      </c>
      <c r="B191" s="57" t="s">
        <v>461</v>
      </c>
      <c r="C191" s="57" t="s">
        <v>163</v>
      </c>
      <c r="D191" s="55" t="s">
        <v>130</v>
      </c>
      <c r="E191" s="56"/>
      <c r="F191" s="57"/>
      <c r="G191" s="38" t="str">
        <f>"1. "&amp;D191&amp;_xlfn._LONGTEXT(" định kỳ hoặc theo yêu cầu gửi gói tin chứa thông tin đối soát tổng hợp tới hệ thống kho dữ liệu dùng chung. Kho dữ liệu dùng chung tiếp nhận gói tin đối soát và tự động đối chiếu dữ liệu. Sau khi kiểm tra, hệ thống kho dữ liệu dùng chung tổng hợp kết quả"," đối soát và gửi phản hồi về cho hệ thống nguồn.")</f>
        <v>1. Hệ thống nguồn (CSDL quản lý đấu giá tài sản) định kỳ hoặc theo yêu cầu gửi gói tin chứa thông tin đối soát tổng hợp tới hệ thống kho dữ liệu dùng chung. Kho dữ liệu dùng chung tiếp nhận gói tin đối soát và tự động đối chiếu dữ liệu. Sau khi kiểm tra, hệ thống kho dữ liệu dùng chung tổng hợp kết quả đối soát và gửi phản hồi về cho hệ thống nguồn.</v>
      </c>
      <c r="H191" s="36" t="s">
        <v>5</v>
      </c>
      <c r="I191" s="58" t="s">
        <v>6</v>
      </c>
    </row>
    <row r="192" spans="1:9" ht="16.5">
      <c r="A192" s="40" t="s">
        <v>449</v>
      </c>
      <c r="B192" s="46" t="s">
        <v>334</v>
      </c>
      <c r="C192" s="50"/>
      <c r="D192" s="34"/>
      <c r="E192" s="35"/>
      <c r="F192" s="38"/>
      <c r="G192" s="35"/>
      <c r="H192" s="36"/>
      <c r="I192" s="36"/>
    </row>
    <row r="193" spans="1:9" ht="115.5">
      <c r="A193" s="40" t="s">
        <v>450</v>
      </c>
      <c r="B193" s="46" t="s">
        <v>453</v>
      </c>
      <c r="C193" s="46"/>
      <c r="D193" s="34"/>
      <c r="E193" s="35"/>
      <c r="F193" s="35"/>
      <c r="G193" s="35"/>
      <c r="H193" s="36"/>
      <c r="I193" s="36"/>
    </row>
    <row r="194" spans="1:9" ht="82.5">
      <c r="A194" s="58">
        <f>COUNTA($D$4:D194)</f>
        <v>151</v>
      </c>
      <c r="B194" s="57" t="s">
        <v>462</v>
      </c>
      <c r="C194" s="57" t="s">
        <v>331</v>
      </c>
      <c r="D194" s="55" t="s">
        <v>368</v>
      </c>
      <c r="E194" s="56"/>
      <c r="F194" s="57"/>
      <c r="G194" s="38" t="str">
        <f>"1. "&amp;D194&amp;_xlfn._LONGTEXT(" định kỳ hoặc theo yêu cầu gửi gói tin chứa thông tin đối soát tổng hợp tới hệ thống kho dữ liệu dùng chung. Kho dữ liệu dùng chung tiếp nhận gói tin đối soát và tự động đối chiếu dữ liệu. Sau khi kiểm tra, hệ thống kho dữ liệu dùng chung tổng hợp kết quả"," đối soát và gửi phản hồi về cho hệ thống nguồn.")</f>
        <v>1. Hệ thống nguồn (Phần mềm thống kê ngành Tư pháp) định kỳ hoặc theo yêu cầu gửi gói tin chứa thông tin đối soát tổng hợp tới hệ thống kho dữ liệu dùng chung. Kho dữ liệu dùng chung tiếp nhận gói tin đối soát và tự động đối chiếu dữ liệu. Sau khi kiểm tra, hệ thống kho dữ liệu dùng chung tổng hợp kết quả đối soát và gửi phản hồi về cho hệ thống nguồn.</v>
      </c>
      <c r="H194" s="36" t="s">
        <v>5</v>
      </c>
      <c r="I194" s="58" t="s">
        <v>6</v>
      </c>
    </row>
    <row r="195" spans="1:9" ht="33">
      <c r="A195" s="32" t="s">
        <v>11</v>
      </c>
      <c r="B195" s="33" t="s">
        <v>164</v>
      </c>
      <c r="C195" s="33"/>
      <c r="D195" s="34"/>
      <c r="E195" s="35"/>
      <c r="F195" s="35"/>
      <c r="G195" s="35"/>
      <c r="H195" s="36"/>
      <c r="I195" s="36"/>
    </row>
    <row r="196" spans="1:9" ht="49.5">
      <c r="A196" s="40" t="s">
        <v>165</v>
      </c>
      <c r="B196" s="39" t="s">
        <v>569</v>
      </c>
      <c r="C196" s="39"/>
      <c r="D196" s="34"/>
      <c r="E196" s="35"/>
      <c r="F196" s="35"/>
      <c r="G196" s="35"/>
      <c r="H196" s="36"/>
      <c r="I196" s="36"/>
    </row>
    <row r="197" spans="1:9" ht="115.5">
      <c r="A197" s="36">
        <f>COUNTA($D$4:D197)</f>
        <v>152</v>
      </c>
      <c r="B197" s="38" t="str">
        <f>"Thiết lập quy tắc biến đổi dữ liệu " &amp;C197</f>
        <v>Thiết lập quy tắc biến đổi dữ liệu Dữ liệu danh mục dùng chung thu thập qua TTDLQG</v>
      </c>
      <c r="C197" s="38" t="s">
        <v>166</v>
      </c>
      <c r="D197" s="34" t="s">
        <v>28</v>
      </c>
      <c r="E197" s="35"/>
      <c r="F197" s="38"/>
      <c r="G197" s="38" t="str">
        <f>"1. "&amp;D197&amp; " thực hiện cấu hình kiểm tra quy tắc biến đổi định dạng về " &amp;C197&amp; ". Hệ thống ghi nhận quy tắc được thiết lập.
2. " &amp;D197&amp;" có thể cấu hình biến đổi gộp hoặc tách cột về "&amp;C197&amp;". Hệ thống ghi nhận quy tắc được thiết lập.
3. " &amp;D197&amp;" có thể cấu hình phân loại, gán nhãn về "&amp;C197&amp;". Hệ thống ghi nhận quy tắc được thiết lập."</f>
        <v>1. Quản trị hệ thống thực hiện cấu hình kiểm tra quy tắc biến đổi định dạng về Dữ liệu danh mục dùng chung thu thập qua TTDLQG. Hệ thống ghi nhận quy tắc được thiết lập.
2. Quản trị hệ thống có thể cấu hình biến đổi gộp hoặc tách cột về Dữ liệu danh mục dùng chung thu thập qua TTDLQG. Hệ thống ghi nhận quy tắc được thiết lập.
3. Quản trị hệ thống có thể cấu hình phân loại, gán nhãn về Dữ liệu danh mục dùng chung thu thập qua TTDLQG. Hệ thống ghi nhận quy tắc được thiết lập.</v>
      </c>
      <c r="H197" s="36" t="s">
        <v>5</v>
      </c>
      <c r="I197" s="36" t="s">
        <v>6</v>
      </c>
    </row>
    <row r="198" spans="1:9" ht="115.5">
      <c r="A198" s="49">
        <f>COUNTA($D$4:D198)</f>
        <v>153</v>
      </c>
      <c r="B198" s="38" t="str">
        <f t="shared" ref="B198:B209" si="32">"Thiết lập quy tắc biến đổi dữ liệu " &amp;C198</f>
        <v>Thiết lập quy tắc biến đổi dữ liệu Bảo trợ xã hội và giảm nghèo - Hưởng trợ giúp xã hội</v>
      </c>
      <c r="C198" s="50" t="s">
        <v>639</v>
      </c>
      <c r="D198" s="34" t="s">
        <v>28</v>
      </c>
      <c r="E198" s="35"/>
      <c r="F198" s="38"/>
      <c r="G198" s="38" t="str">
        <f t="shared" ref="G198:G209" si="33">"1. "&amp;D198&amp; " thực hiện cấu hình kiểm tra quy tắc biến đổi định dạng về " &amp;C198&amp; ". Hệ thống ghi nhận quy tắc được thiết lập.
2. " &amp;D198&amp;" có thể cấu hình biến đổi gộp hoặc tách cột về "&amp;C198&amp;". Hệ thống ghi nhận quy tắc được thiết lập.
3. " &amp;D198&amp;" có thể cấu hình phân loại, gán nhãn về "&amp;C198&amp;". Hệ thống ghi nhận quy tắc được thiết lập."</f>
        <v>1. Quản trị hệ thống thực hiện cấu hình kiểm tra quy tắc biến đổi định dạng về Bảo trợ xã hội và giảm nghèo - Hưởng trợ giúp xã hội. Hệ thống ghi nhận quy tắc được thiết lập.
2. Quản trị hệ thống có thể cấu hình biến đổi gộp hoặc tách cột về Bảo trợ xã hội và giảm nghèo - Hưởng trợ giúp xã hội. Hệ thống ghi nhận quy tắc được thiết lập.
3. Quản trị hệ thống có thể cấu hình phân loại, gán nhãn về Bảo trợ xã hội và giảm nghèo - Hưởng trợ giúp xã hội. Hệ thống ghi nhận quy tắc được thiết lập.</v>
      </c>
      <c r="H198" s="36" t="s">
        <v>5</v>
      </c>
      <c r="I198" s="36" t="s">
        <v>6</v>
      </c>
    </row>
    <row r="199" spans="1:9" ht="115.5">
      <c r="A199" s="49">
        <f>COUNTA($D$4:D199)</f>
        <v>154</v>
      </c>
      <c r="B199" s="38" t="str">
        <f t="shared" si="32"/>
        <v>Thiết lập quy tắc biến đổi dữ liệu Bảo trợ xã hội và giảm nghèo - Hưởng trợ giúp xã hội</v>
      </c>
      <c r="C199" s="50" t="s">
        <v>639</v>
      </c>
      <c r="D199" s="34" t="s">
        <v>28</v>
      </c>
      <c r="E199" s="35"/>
      <c r="F199" s="38"/>
      <c r="G199" s="38" t="str">
        <f t="shared" si="33"/>
        <v>1. Quản trị hệ thống thực hiện cấu hình kiểm tra quy tắc biến đổi định dạng về Bảo trợ xã hội và giảm nghèo - Hưởng trợ giúp xã hội. Hệ thống ghi nhận quy tắc được thiết lập.
2. Quản trị hệ thống có thể cấu hình biến đổi gộp hoặc tách cột về Bảo trợ xã hội và giảm nghèo - Hưởng trợ giúp xã hội. Hệ thống ghi nhận quy tắc được thiết lập.
3. Quản trị hệ thống có thể cấu hình phân loại, gán nhãn về Bảo trợ xã hội và giảm nghèo - Hưởng trợ giúp xã hội. Hệ thống ghi nhận quy tắc được thiết lập.</v>
      </c>
      <c r="H199" s="36" t="s">
        <v>5</v>
      </c>
      <c r="I199" s="36" t="s">
        <v>6</v>
      </c>
    </row>
    <row r="200" spans="1:9" ht="132">
      <c r="A200" s="49">
        <f>COUNTA($D$4:D200)</f>
        <v>155</v>
      </c>
      <c r="B200" s="38" t="str">
        <f t="shared" si="32"/>
        <v>Thiết lập quy tắc biến đổi dữ liệu Bảo trợ xã hội và giảm nghèo - Thông tin người nghèo, cận nghèo</v>
      </c>
      <c r="C200" s="63" t="s">
        <v>640</v>
      </c>
      <c r="D200" s="34" t="s">
        <v>28</v>
      </c>
      <c r="E200" s="35"/>
      <c r="F200" s="38"/>
      <c r="G200" s="38" t="str">
        <f t="shared" si="33"/>
        <v>1. Quản trị hệ thống thực hiện cấu hình kiểm tra quy tắc biến đổi định dạng về Bảo trợ xã hội và giảm nghèo - Thông tin người nghèo, cận nghèo. Hệ thống ghi nhận quy tắc được thiết lập.
2. Quản trị hệ thống có thể cấu hình biến đổi gộp hoặc tách cột về Bảo trợ xã hội và giảm nghèo - Thông tin người nghèo, cận nghèo. Hệ thống ghi nhận quy tắc được thiết lập.
3. Quản trị hệ thống có thể cấu hình phân loại, gán nhãn về Bảo trợ xã hội và giảm nghèo - Thông tin người nghèo, cận nghèo. Hệ thống ghi nhận quy tắc được thiết lập.</v>
      </c>
      <c r="H200" s="36" t="s">
        <v>5</v>
      </c>
      <c r="I200" s="36" t="s">
        <v>6</v>
      </c>
    </row>
    <row r="201" spans="1:9" ht="99">
      <c r="A201" s="49">
        <f>COUNTA($D$4:D201)</f>
        <v>156</v>
      </c>
      <c r="B201" s="38" t="str">
        <f t="shared" si="32"/>
        <v>Thiết lập quy tắc biến đổi dữ liệu Bảo trợ xã hội và giảm nghèo - Người đơn thân</v>
      </c>
      <c r="C201" s="63" t="s">
        <v>641</v>
      </c>
      <c r="D201" s="34" t="s">
        <v>28</v>
      </c>
      <c r="E201" s="35"/>
      <c r="F201" s="38"/>
      <c r="G201" s="38" t="str">
        <f t="shared" si="33"/>
        <v>1. Quản trị hệ thống thực hiện cấu hình kiểm tra quy tắc biến đổi định dạng về Bảo trợ xã hội và giảm nghèo - Người đơn thân. Hệ thống ghi nhận quy tắc được thiết lập.
2. Quản trị hệ thống có thể cấu hình biến đổi gộp hoặc tách cột về Bảo trợ xã hội và giảm nghèo - Người đơn thân. Hệ thống ghi nhận quy tắc được thiết lập.
3. Quản trị hệ thống có thể cấu hình phân loại, gán nhãn về Bảo trợ xã hội và giảm nghèo - Người đơn thân. Hệ thống ghi nhận quy tắc được thiết lập.</v>
      </c>
      <c r="H201" s="36" t="s">
        <v>5</v>
      </c>
      <c r="I201" s="36" t="s">
        <v>6</v>
      </c>
    </row>
    <row r="202" spans="1:9" ht="132">
      <c r="A202" s="49">
        <f>COUNTA($D$4:D202)</f>
        <v>157</v>
      </c>
      <c r="B202" s="38" t="str">
        <f t="shared" si="32"/>
        <v>Thiết lập quy tắc biến đổi dữ liệu Bảo trợ xã hội và giảm nghèo - Trẻ em là đối tượng bảo trợ xã hội</v>
      </c>
      <c r="C202" s="63" t="s">
        <v>642</v>
      </c>
      <c r="D202" s="34" t="s">
        <v>28</v>
      </c>
      <c r="E202" s="35"/>
      <c r="F202" s="38"/>
      <c r="G202" s="38" t="str">
        <f t="shared" si="33"/>
        <v>1. Quản trị hệ thống thực hiện cấu hình kiểm tra quy tắc biến đổi định dạng về Bảo trợ xã hội và giảm nghèo - Trẻ em là đối tượng bảo trợ xã hội. Hệ thống ghi nhận quy tắc được thiết lập.
2. Quản trị hệ thống có thể cấu hình biến đổi gộp hoặc tách cột về Bảo trợ xã hội và giảm nghèo - Trẻ em là đối tượng bảo trợ xã hội. Hệ thống ghi nhận quy tắc được thiết lập.
3. Quản trị hệ thống có thể cấu hình phân loại, gán nhãn về Bảo trợ xã hội và giảm nghèo - Trẻ em là đối tượng bảo trợ xã hội. Hệ thống ghi nhận quy tắc được thiết lập.</v>
      </c>
      <c r="H202" s="36" t="s">
        <v>5</v>
      </c>
      <c r="I202" s="36" t="s">
        <v>6</v>
      </c>
    </row>
    <row r="203" spans="1:9" ht="99">
      <c r="A203" s="49">
        <f>COUNTA($D$4:D203)</f>
        <v>158</v>
      </c>
      <c r="B203" s="38" t="str">
        <f t="shared" si="32"/>
        <v>Thiết lập quy tắc biến đổi dữ liệu Bảo trợ xã hội và giảm nghèo -Người có HIV</v>
      </c>
      <c r="C203" s="63" t="s">
        <v>643</v>
      </c>
      <c r="D203" s="34" t="s">
        <v>28</v>
      </c>
      <c r="E203" s="35"/>
      <c r="F203" s="38"/>
      <c r="G203" s="38" t="str">
        <f t="shared" si="33"/>
        <v>1. Quản trị hệ thống thực hiện cấu hình kiểm tra quy tắc biến đổi định dạng về Bảo trợ xã hội và giảm nghèo -Người có HIV. Hệ thống ghi nhận quy tắc được thiết lập.
2. Quản trị hệ thống có thể cấu hình biến đổi gộp hoặc tách cột về Bảo trợ xã hội và giảm nghèo -Người có HIV. Hệ thống ghi nhận quy tắc được thiết lập.
3. Quản trị hệ thống có thể cấu hình phân loại, gán nhãn về Bảo trợ xã hội và giảm nghèo -Người có HIV. Hệ thống ghi nhận quy tắc được thiết lập.</v>
      </c>
      <c r="H203" s="36" t="s">
        <v>5</v>
      </c>
      <c r="I203" s="36" t="s">
        <v>6</v>
      </c>
    </row>
    <row r="204" spans="1:9" ht="99">
      <c r="A204" s="49">
        <f>COUNTA($D$4:D204)</f>
        <v>159</v>
      </c>
      <c r="B204" s="38" t="str">
        <f t="shared" si="32"/>
        <v>Thiết lập quy tắc biến đổi dữ liệu Bảo trợ xã hội và giảm nghèo -Người cao tuổi</v>
      </c>
      <c r="C204" s="63" t="s">
        <v>644</v>
      </c>
      <c r="D204" s="34" t="s">
        <v>28</v>
      </c>
      <c r="E204" s="35"/>
      <c r="F204" s="38"/>
      <c r="G204" s="38" t="str">
        <f t="shared" si="33"/>
        <v>1. Quản trị hệ thống thực hiện cấu hình kiểm tra quy tắc biến đổi định dạng về Bảo trợ xã hội và giảm nghèo -Người cao tuổi. Hệ thống ghi nhận quy tắc được thiết lập.
2. Quản trị hệ thống có thể cấu hình biến đổi gộp hoặc tách cột về Bảo trợ xã hội và giảm nghèo -Người cao tuổi. Hệ thống ghi nhận quy tắc được thiết lập.
3. Quản trị hệ thống có thể cấu hình phân loại, gán nhãn về Bảo trợ xã hội và giảm nghèo -Người cao tuổi. Hệ thống ghi nhận quy tắc được thiết lập.</v>
      </c>
      <c r="H204" s="36" t="s">
        <v>5</v>
      </c>
      <c r="I204" s="36" t="s">
        <v>6</v>
      </c>
    </row>
    <row r="205" spans="1:9" ht="132">
      <c r="A205" s="49">
        <f>COUNTA($D$4:D205)</f>
        <v>160</v>
      </c>
      <c r="B205" s="38" t="str">
        <f t="shared" si="32"/>
        <v>Thiết lập quy tắc biến đổi dữ liệu Bảo trợ xã hội và giảm nghèo - Thông tin về người khuyết tật</v>
      </c>
      <c r="C205" s="63" t="s">
        <v>645</v>
      </c>
      <c r="D205" s="34" t="s">
        <v>28</v>
      </c>
      <c r="E205" s="35"/>
      <c r="F205" s="38"/>
      <c r="G205" s="38" t="str">
        <f t="shared" si="33"/>
        <v>1. Quản trị hệ thống thực hiện cấu hình kiểm tra quy tắc biến đổi định dạng về Bảo trợ xã hội và giảm nghèo - Thông tin về người khuyết tật. Hệ thống ghi nhận quy tắc được thiết lập.
2. Quản trị hệ thống có thể cấu hình biến đổi gộp hoặc tách cột về Bảo trợ xã hội và giảm nghèo - Thông tin về người khuyết tật. Hệ thống ghi nhận quy tắc được thiết lập.
3. Quản trị hệ thống có thể cấu hình phân loại, gán nhãn về Bảo trợ xã hội và giảm nghèo - Thông tin về người khuyết tật. Hệ thống ghi nhận quy tắc được thiết lập.</v>
      </c>
      <c r="H205" s="36" t="s">
        <v>5</v>
      </c>
      <c r="I205" s="36" t="s">
        <v>6</v>
      </c>
    </row>
    <row r="206" spans="1:9" ht="115.5">
      <c r="A206" s="49">
        <f>COUNTA($D$4:D206)</f>
        <v>161</v>
      </c>
      <c r="B206" s="38" t="str">
        <f t="shared" si="32"/>
        <v>Thiết lập quy tắc biến đổi dữ liệu Người có công - Hồ sơ công nhận người có công</v>
      </c>
      <c r="C206" s="63" t="s">
        <v>646</v>
      </c>
      <c r="D206" s="34" t="s">
        <v>28</v>
      </c>
      <c r="E206" s="35"/>
      <c r="F206" s="38"/>
      <c r="G206" s="38" t="str">
        <f t="shared" si="33"/>
        <v>1. Quản trị hệ thống thực hiện cấu hình kiểm tra quy tắc biến đổi định dạng về Người có công - Hồ sơ công nhận người có công. Hệ thống ghi nhận quy tắc được thiết lập.
2. Quản trị hệ thống có thể cấu hình biến đổi gộp hoặc tách cột về Người có công - Hồ sơ công nhận người có công. Hệ thống ghi nhận quy tắc được thiết lập.
3. Quản trị hệ thống có thể cấu hình phân loại, gán nhãn về Người có công - Hồ sơ công nhận người có công. Hệ thống ghi nhận quy tắc được thiết lập.</v>
      </c>
      <c r="H206" s="36" t="s">
        <v>5</v>
      </c>
      <c r="I206" s="36" t="s">
        <v>6</v>
      </c>
    </row>
    <row r="207" spans="1:9" ht="99">
      <c r="A207" s="49">
        <f>COUNTA($D$4:D207)</f>
        <v>162</v>
      </c>
      <c r="B207" s="38" t="str">
        <f t="shared" si="32"/>
        <v>Thiết lập quy tắc biến đổi dữ liệu Người có công - Hồ sơ liệt sĩ:</v>
      </c>
      <c r="C207" s="63" t="s">
        <v>647</v>
      </c>
      <c r="D207" s="34" t="s">
        <v>28</v>
      </c>
      <c r="E207" s="35"/>
      <c r="F207" s="38"/>
      <c r="G207" s="38" t="str">
        <f t="shared" si="33"/>
        <v>1. Quản trị hệ thống thực hiện cấu hình kiểm tra quy tắc biến đổi định dạng về Người có công - Hồ sơ liệt sĩ:. Hệ thống ghi nhận quy tắc được thiết lập.
2. Quản trị hệ thống có thể cấu hình biến đổi gộp hoặc tách cột về Người có công - Hồ sơ liệt sĩ:. Hệ thống ghi nhận quy tắc được thiết lập.
3. Quản trị hệ thống có thể cấu hình phân loại, gán nhãn về Người có công - Hồ sơ liệt sĩ:. Hệ thống ghi nhận quy tắc được thiết lập.</v>
      </c>
      <c r="H207" s="36" t="s">
        <v>5</v>
      </c>
      <c r="I207" s="36" t="s">
        <v>6</v>
      </c>
    </row>
    <row r="208" spans="1:9" ht="115.5">
      <c r="A208" s="49">
        <f>COUNTA($D$4:D208)</f>
        <v>163</v>
      </c>
      <c r="B208" s="38" t="str">
        <f t="shared" si="32"/>
        <v>Thiết lập quy tắc biến đổi dữ liệu Người có công - Hồ sơ công nhận thân nhân người có công</v>
      </c>
      <c r="C208" s="63" t="s">
        <v>648</v>
      </c>
      <c r="D208" s="34" t="s">
        <v>28</v>
      </c>
      <c r="E208" s="35"/>
      <c r="F208" s="38"/>
      <c r="G208" s="38" t="str">
        <f t="shared" si="33"/>
        <v>1. Quản trị hệ thống thực hiện cấu hình kiểm tra quy tắc biến đổi định dạng về Người có công - Hồ sơ công nhận thân nhân người có công. Hệ thống ghi nhận quy tắc được thiết lập.
2. Quản trị hệ thống có thể cấu hình biến đổi gộp hoặc tách cột về Người có công - Hồ sơ công nhận thân nhân người có công. Hệ thống ghi nhận quy tắc được thiết lập.
3. Quản trị hệ thống có thể cấu hình phân loại, gán nhãn về Người có công - Hồ sơ công nhận thân nhân người có công. Hệ thống ghi nhận quy tắc được thiết lập.</v>
      </c>
      <c r="H208" s="36" t="s">
        <v>5</v>
      </c>
      <c r="I208" s="36" t="s">
        <v>6</v>
      </c>
    </row>
    <row r="209" spans="1:9" ht="99">
      <c r="A209" s="49">
        <f>COUNTA($D$4:D209)</f>
        <v>164</v>
      </c>
      <c r="B209" s="38" t="str">
        <f t="shared" si="32"/>
        <v xml:space="preserve">Thiết lập quy tắc biến đổi dữ liệu Trẻ em -Trẻ em </v>
      </c>
      <c r="C209" s="63" t="s">
        <v>649</v>
      </c>
      <c r="D209" s="34" t="s">
        <v>28</v>
      </c>
      <c r="E209" s="35"/>
      <c r="F209" s="38"/>
      <c r="G209" s="38" t="str">
        <f t="shared" si="33"/>
        <v>1. Quản trị hệ thống thực hiện cấu hình kiểm tra quy tắc biến đổi định dạng về Trẻ em -Trẻ em . Hệ thống ghi nhận quy tắc được thiết lập.
2. Quản trị hệ thống có thể cấu hình biến đổi gộp hoặc tách cột về Trẻ em -Trẻ em . Hệ thống ghi nhận quy tắc được thiết lập.
3. Quản trị hệ thống có thể cấu hình phân loại, gán nhãn về Trẻ em -Trẻ em . Hệ thống ghi nhận quy tắc được thiết lập.</v>
      </c>
      <c r="H209" s="36" t="s">
        <v>5</v>
      </c>
      <c r="I209" s="36" t="s">
        <v>6</v>
      </c>
    </row>
    <row r="210" spans="1:9" ht="132">
      <c r="A210" s="49">
        <f>COUNTA($D$4:D210)</f>
        <v>165</v>
      </c>
      <c r="B210" s="38" t="str">
        <f>"Thiết lập quy tắc làm sạch " &amp;C210</f>
        <v>Thiết lập quy tắc làm sạch Thông tin Bản án, quyết định</v>
      </c>
      <c r="C210" s="50" t="s">
        <v>637</v>
      </c>
      <c r="D210" s="34" t="s">
        <v>28</v>
      </c>
      <c r="E210" s="35"/>
      <c r="F210" s="38"/>
      <c r="G210" s="38" t="str">
        <f>"1. "&amp;D210&amp; " thực hiện cấu hình kiểm tra quy tắc về chuẩn định dạng " &amp;C210&amp; ". Hệ thống ghi nhận quy tắc được thiết lập.
2. " &amp;D210&amp;" có thể cấu hình kiểm tra tính hợp lệ về "&amp;C210&amp;". Hệ thống ghi nhận quy tắc được thiết lập.
3. " &amp;D210&amp;" có thể cấu hình xử lý giá trị thiếu về "&amp;C210&amp;". Hệ thống ghi nhận quy tắc được thiết lập.
4. " &amp;D210&amp;" có thể cấu hình xử lý loại bỏ hoặc thay thế giá trị ngoại lệ về "&amp;C210&amp;". Hệ thống ghi nhận quy tắc được thiết lập"</f>
        <v>1. Quản trị hệ thống thực hiện cấu hình kiểm tra quy tắc về chuẩn định dạng Thông tin Bản án, quyết định. Hệ thống ghi nhận quy tắc được thiết lập.
2. Quản trị hệ thống có thể cấu hình kiểm tra tính hợp lệ về Thông tin Bản án, quyết định. Hệ thống ghi nhận quy tắc được thiết lập.
3. Quản trị hệ thống có thể cấu hình xử lý giá trị thiếu về Thông tin Bản án, quyết định. Hệ thống ghi nhận quy tắc được thiết lập.
4. Quản trị hệ thống có thể cấu hình xử lý loại bỏ hoặc thay thế giá trị ngoại lệ về Thông tin Bản án, quyết định. Hệ thống ghi nhận quy tắc được thiết lập</v>
      </c>
      <c r="H210" s="36" t="s">
        <v>5</v>
      </c>
      <c r="I210" s="36" t="s">
        <v>6</v>
      </c>
    </row>
    <row r="211" spans="1:9" ht="99">
      <c r="A211" s="49">
        <f>COUNTA($D$4:D211)</f>
        <v>166</v>
      </c>
      <c r="B211" s="38" t="str">
        <f>"Thiết lập quy tắc chuẩn hóa " &amp;C211</f>
        <v>Thiết lập quy tắc chuẩn hóa Thông tin Bản án, quyết định</v>
      </c>
      <c r="C211" s="50" t="s">
        <v>637</v>
      </c>
      <c r="D211" s="34" t="s">
        <v>28</v>
      </c>
      <c r="E211" s="35"/>
      <c r="F211" s="38"/>
      <c r="G211" s="38" t="str">
        <f>"1. "&amp;D211&amp; " thực hiện cấu hình kiểm tra đối sánh tồn tại dựa trên trường khóa của " &amp;C211&amp; ". Hệ thống ghi nhận quy tắc được thiết lập.
2. " &amp;D211&amp;" có thể cấu hình xử lý trùng lặp về "&amp;C211&amp;". Hệ thống ghi nhận quy tắc được thiết lập.
3. " &amp;D211&amp;" có thể cấu hình xử lý vi phạm về ràng buộc thuộc tính tham chiếu "&amp;C211&amp;". Hệ thống ghi nhận quy tắc được thiết lập."</f>
        <v>1. Quản trị hệ thống thực hiện cấu hình kiểm tra đối sánh tồn tại dựa trên trường khóa của Thông tin Bản án, quyết định. Hệ thống ghi nhận quy tắc được thiết lập.
2. Quản trị hệ thống có thể cấu hình xử lý trùng lặp về Thông tin Bản án, quyết định. Hệ thống ghi nhận quy tắc được thiết lập.
3. Quản trị hệ thống có thể cấu hình xử lý vi phạm về ràng buộc thuộc tính tham chiếu Thông tin Bản án, quyết định. Hệ thống ghi nhận quy tắc được thiết lập.</v>
      </c>
      <c r="H211" s="36" t="s">
        <v>5</v>
      </c>
      <c r="I211" s="36" t="s">
        <v>6</v>
      </c>
    </row>
    <row r="212" spans="1:9" ht="99">
      <c r="A212" s="49">
        <f>COUNTA($D$4:D212)</f>
        <v>167</v>
      </c>
      <c r="B212" s="38" t="str">
        <f>"Thiết lập quy tắc biến đổi " &amp;C212</f>
        <v>Thiết lập quy tắc biến đổi Thông tin Bản án, quyết định</v>
      </c>
      <c r="C212" s="50" t="s">
        <v>637</v>
      </c>
      <c r="D212" s="34" t="s">
        <v>28</v>
      </c>
      <c r="E212" s="35"/>
      <c r="F212" s="38"/>
      <c r="G212" s="38" t="str">
        <f>"1. "&amp;D212&amp; " thực hiện cấu hình kiểm tra quy tắc biến đổi định dạng về " &amp;C212&amp; ". Hệ thống ghi nhận quy tắc được thiết lập.
2. " &amp;D212&amp;" có thể cấu hình biến đổi gộp hoặc tách cột về "&amp;C212&amp;". Hệ thống ghi nhận quy tắc được thiết lập.
3. " &amp;D212&amp;" có thể cấu hình phân loại, gán nhãn về "&amp;C212&amp;". Hệ thống ghi nhận quy tắc được thiết lập."</f>
        <v>1. Quản trị hệ thống thực hiện cấu hình kiểm tra quy tắc biến đổi định dạng về Thông tin Bản án, quyết định. Hệ thống ghi nhận quy tắc được thiết lập.
2. Quản trị hệ thống có thể cấu hình biến đổi gộp hoặc tách cột về Thông tin Bản án, quyết định. Hệ thống ghi nhận quy tắc được thiết lập.
3. Quản trị hệ thống có thể cấu hình phân loại, gán nhãn về Thông tin Bản án, quyết định. Hệ thống ghi nhận quy tắc được thiết lập.</v>
      </c>
      <c r="H212" s="36" t="s">
        <v>5</v>
      </c>
      <c r="I212" s="36" t="s">
        <v>6</v>
      </c>
    </row>
    <row r="213" spans="1:9" ht="49.5">
      <c r="A213" s="40" t="s">
        <v>167</v>
      </c>
      <c r="B213" s="39" t="s">
        <v>168</v>
      </c>
      <c r="C213" s="39"/>
      <c r="D213" s="34"/>
      <c r="E213" s="35"/>
      <c r="F213" s="38"/>
      <c r="G213" s="35"/>
      <c r="H213" s="36"/>
      <c r="I213" s="36"/>
    </row>
    <row r="214" spans="1:9" ht="16.5">
      <c r="A214" s="41" t="s">
        <v>169</v>
      </c>
      <c r="B214" s="42" t="s">
        <v>50</v>
      </c>
      <c r="C214" s="42"/>
      <c r="D214" s="34"/>
      <c r="E214" s="35"/>
      <c r="F214" s="38"/>
      <c r="G214" s="35"/>
      <c r="H214" s="36"/>
      <c r="I214" s="36"/>
    </row>
    <row r="215" spans="1:9" ht="16.5">
      <c r="A215" s="41" t="s">
        <v>170</v>
      </c>
      <c r="B215" s="42" t="s">
        <v>52</v>
      </c>
      <c r="C215" s="42"/>
      <c r="D215" s="34"/>
      <c r="E215" s="35"/>
      <c r="F215" s="38"/>
      <c r="G215" s="35"/>
      <c r="H215" s="36"/>
      <c r="I215" s="36"/>
    </row>
    <row r="216" spans="1:9" ht="132">
      <c r="A216" s="36">
        <f>COUNTA($D$4:D216)</f>
        <v>168</v>
      </c>
      <c r="B216" s="38" t="str">
        <f>"Thiết lập quy tắc làm sạch " &amp;C216</f>
        <v>Thiết lập quy tắc làm sạch Bộ dữ liệu hồ sơ đăng ký khai sinh</v>
      </c>
      <c r="C216" s="43" t="s">
        <v>53</v>
      </c>
      <c r="D216" s="34" t="s">
        <v>28</v>
      </c>
      <c r="E216" s="35"/>
      <c r="F216" s="38"/>
      <c r="G216" s="38" t="str">
        <f>"1. "&amp;D216&amp; " thực hiện cấu hình kiểm tra quy tắc về chuẩn định dạng " &amp;C216&amp; ". Hệ thống ghi nhận quy tắc được thiết lập.
2. " &amp;D216&amp;" có thể cấu hình kiểm tra tính hợp lệ về "&amp;C216&amp;". Hệ thống ghi nhận quy tắc được thiết lập.
3. " &amp;D216&amp;" có thể cấu hình xử lý giá trị thiếu về "&amp;C216&amp;". Hệ thống ghi nhận quy tắc được thiết lập.
4. " &amp;D216&amp;" có thể cấu hình xử lý loại bỏ hoặc thay thế giá trị ngoại lệ về "&amp;C216&amp;". Hệ thống ghi nhận quy tắc được thiết lập"</f>
        <v>1. Quản trị hệ thống thực hiện cấu hình kiểm tra quy tắc về chuẩn định dạng Bộ dữ liệu hồ sơ đăng ký khai sinh. Hệ thống ghi nhận quy tắc được thiết lập.
2. Quản trị hệ thống có thể cấu hình kiểm tra tính hợp lệ về Bộ dữ liệu hồ sơ đăng ký khai sinh. Hệ thống ghi nhận quy tắc được thiết lập.
3. Quản trị hệ thống có thể cấu hình xử lý giá trị thiếu về Bộ dữ liệu hồ sơ đăng ký khai sinh. Hệ thống ghi nhận quy tắc được thiết lập.
4. Quản trị hệ thống có thể cấu hình xử lý loại bỏ hoặc thay thế giá trị ngoại lệ về Bộ dữ liệu hồ sơ đăng ký khai sinh. Hệ thống ghi nhận quy tắc được thiết lập</v>
      </c>
      <c r="H216" s="36" t="s">
        <v>5</v>
      </c>
      <c r="I216" s="36" t="s">
        <v>7</v>
      </c>
    </row>
    <row r="217" spans="1:9" ht="115.5">
      <c r="A217" s="36">
        <f>COUNTA($D$4:D217)</f>
        <v>169</v>
      </c>
      <c r="B217" s="38" t="str">
        <f>"Thiết lập quy tắc chuẩn hóa " &amp;C217</f>
        <v>Thiết lập quy tắc chuẩn hóa Bộ dữ liệu hồ sơ đăng ký khai sinh</v>
      </c>
      <c r="C217" s="43" t="s">
        <v>53</v>
      </c>
      <c r="D217" s="34" t="s">
        <v>28</v>
      </c>
      <c r="E217" s="35"/>
      <c r="F217" s="38"/>
      <c r="G217" s="38" t="str">
        <f>"1. "&amp;D217&amp; " thực hiện cấu hình kiểm tra đối sánh tồn tại dựa trên trường khóa của " &amp;C217&amp; ". Hệ thống ghi nhận quy tắc được thiết lập.
2. " &amp;D217&amp;" có thể cấu hình xử lý trùng lặp về "&amp;C217&amp;". Hệ thống ghi nhận quy tắc được thiết lập.
3. " &amp;D217&amp;" có thể cấu hình xử lý vi phạm về ràng buộc thuộc tính tham chiếu "&amp;C217&amp;". Hệ thống ghi nhận quy tắc được thiết lập."</f>
        <v>1. Quản trị hệ thống thực hiện cấu hình kiểm tra đối sánh tồn tại dựa trên trường khóa của Bộ dữ liệu hồ sơ đăng ký khai sinh. Hệ thống ghi nhận quy tắc được thiết lập.
2. Quản trị hệ thống có thể cấu hình xử lý trùng lặp về Bộ dữ liệu hồ sơ đăng ký khai sinh. Hệ thống ghi nhận quy tắc được thiết lập.
3. Quản trị hệ thống có thể cấu hình xử lý vi phạm về ràng buộc thuộc tính tham chiếu Bộ dữ liệu hồ sơ đăng ký khai sinh. Hệ thống ghi nhận quy tắc được thiết lập.</v>
      </c>
      <c r="H217" s="36" t="s">
        <v>5</v>
      </c>
      <c r="I217" s="36" t="s">
        <v>6</v>
      </c>
    </row>
    <row r="218" spans="1:9" ht="99">
      <c r="A218" s="36">
        <f>COUNTA($D$4:D218)</f>
        <v>170</v>
      </c>
      <c r="B218" s="38" t="str">
        <f>"Thiết lập quy tắc biến đổi " &amp;C218</f>
        <v>Thiết lập quy tắc biến đổi Bộ dữ liệu hồ sơ đăng ký khai sinh</v>
      </c>
      <c r="C218" s="43" t="s">
        <v>53</v>
      </c>
      <c r="D218" s="34" t="s">
        <v>28</v>
      </c>
      <c r="E218" s="35"/>
      <c r="F218" s="38"/>
      <c r="G218" s="38" t="str">
        <f>"1. "&amp;D218&amp; " thực hiện cấu hình kiểm tra quy tắc biến đổi định dạng về " &amp;C218&amp; ". Hệ thống ghi nhận quy tắc được thiết lập.
2. " &amp;D218&amp;" có thể cấu hình biến đổi gộp hoặc tách cột về "&amp;C218&amp;". Hệ thống ghi nhận quy tắc được thiết lập.
3. " &amp;D218&amp;" có thể cấu hình phân loại, gán nhãn về "&amp;C218&amp;". Hệ thống ghi nhận quy tắc được thiết lập."</f>
        <v>1. Quản trị hệ thống thực hiện cấu hình kiểm tra quy tắc biến đổi định dạng về Bộ dữ liệu hồ sơ đăng ký khai sinh. Hệ thống ghi nhận quy tắc được thiết lập.
2. Quản trị hệ thống có thể cấu hình biến đổi gộp hoặc tách cột về Bộ dữ liệu hồ sơ đăng ký khai sinh. Hệ thống ghi nhận quy tắc được thiết lập.
3. Quản trị hệ thống có thể cấu hình phân loại, gán nhãn về Bộ dữ liệu hồ sơ đăng ký khai sinh. Hệ thống ghi nhận quy tắc được thiết lập.</v>
      </c>
      <c r="H218" s="36" t="s">
        <v>5</v>
      </c>
      <c r="I218" s="36" t="s">
        <v>6</v>
      </c>
    </row>
    <row r="219" spans="1:9" ht="132">
      <c r="A219" s="36">
        <f>COUNTA($D$4:D219)</f>
        <v>171</v>
      </c>
      <c r="B219" s="38" t="str">
        <f>"Thiết lập quy tắc làm sạch " &amp;C219</f>
        <v>Thiết lập quy tắc làm sạch Bộ dữ liệu hồ sơ đăng ký kết hôn</v>
      </c>
      <c r="C219" s="43" t="s">
        <v>55</v>
      </c>
      <c r="D219" s="34" t="s">
        <v>28</v>
      </c>
      <c r="E219" s="35"/>
      <c r="F219" s="43"/>
      <c r="G219" s="38" t="str">
        <f>"1. "&amp;D219&amp; " thực hiện cấu hình kiểm tra quy tắc về chuẩn định dạng " &amp;C219&amp; ". Hệ thống ghi nhận quy tắc được thiết lập.
2. " &amp;D219&amp;" có thể cấu hình kiểm tra tính hợp lệ về "&amp;C219&amp;". Hệ thống ghi nhận quy tắc được thiết lập.
3. " &amp;D219&amp;" có thể cấu hình xử lý giá trị thiếu về "&amp;C219&amp;". Hệ thống ghi nhận quy tắc được thiết lập.
4. " &amp;D219&amp;" có thể cấu hình xử lý loại bỏ hoặc thay thế giá trị ngoại lệ về "&amp;C219&amp;". Hệ thống ghi nhận quy tắc được thiết lập"</f>
        <v>1. Quản trị hệ thống thực hiện cấu hình kiểm tra quy tắc về chuẩn định dạng Bộ dữ liệu hồ sơ đăng ký kết hôn. Hệ thống ghi nhận quy tắc được thiết lập.
2. Quản trị hệ thống có thể cấu hình kiểm tra tính hợp lệ về Bộ dữ liệu hồ sơ đăng ký kết hôn. Hệ thống ghi nhận quy tắc được thiết lập.
3. Quản trị hệ thống có thể cấu hình xử lý giá trị thiếu về Bộ dữ liệu hồ sơ đăng ký kết hôn. Hệ thống ghi nhận quy tắc được thiết lập.
4. Quản trị hệ thống có thể cấu hình xử lý loại bỏ hoặc thay thế giá trị ngoại lệ về Bộ dữ liệu hồ sơ đăng ký kết hôn. Hệ thống ghi nhận quy tắc được thiết lập</v>
      </c>
      <c r="H219" s="36" t="s">
        <v>5</v>
      </c>
      <c r="I219" s="36" t="s">
        <v>7</v>
      </c>
    </row>
    <row r="220" spans="1:9" ht="99">
      <c r="A220" s="36">
        <f>COUNTA($D$4:D220)</f>
        <v>172</v>
      </c>
      <c r="B220" s="38" t="str">
        <f>"Thiết lập quy tắc chuẩn hóa " &amp;C220</f>
        <v>Thiết lập quy tắc chuẩn hóa Bộ dữ liệu hồ sơ đăng ký kết hôn</v>
      </c>
      <c r="C220" s="43" t="s">
        <v>55</v>
      </c>
      <c r="D220" s="34" t="s">
        <v>28</v>
      </c>
      <c r="E220" s="35"/>
      <c r="F220" s="43"/>
      <c r="G220" s="38" t="str">
        <f>"1. "&amp;D220&amp; " thực hiện cấu hình kiểm tra đối sánh tồn tại dựa trên trường khóa của " &amp;C220&amp; ". Hệ thống ghi nhận quy tắc được thiết lập.
2. " &amp;D220&amp;" có thể cấu hình xử lý trùng lặp về "&amp;C220&amp;". Hệ thống ghi nhận quy tắc được thiết lập.
3. " &amp;D220&amp;" có thể cấu hình xử lý vi phạm về ràng buộc thuộc tính tham chiếu "&amp;C220&amp;". Hệ thống ghi nhận quy tắc được thiết lập."</f>
        <v>1. Quản trị hệ thống thực hiện cấu hình kiểm tra đối sánh tồn tại dựa trên trường khóa của Bộ dữ liệu hồ sơ đăng ký kết hôn. Hệ thống ghi nhận quy tắc được thiết lập.
2. Quản trị hệ thống có thể cấu hình xử lý trùng lặp về Bộ dữ liệu hồ sơ đăng ký kết hôn. Hệ thống ghi nhận quy tắc được thiết lập.
3. Quản trị hệ thống có thể cấu hình xử lý vi phạm về ràng buộc thuộc tính tham chiếu Bộ dữ liệu hồ sơ đăng ký kết hôn. Hệ thống ghi nhận quy tắc được thiết lập.</v>
      </c>
      <c r="H220" s="36" t="s">
        <v>5</v>
      </c>
      <c r="I220" s="36" t="s">
        <v>6</v>
      </c>
    </row>
    <row r="221" spans="1:9" ht="99">
      <c r="A221" s="36">
        <f>COUNTA($D$4:D221)</f>
        <v>173</v>
      </c>
      <c r="B221" s="38" t="str">
        <f>"Thiết lập quy tắc biến đổi " &amp;C221</f>
        <v>Thiết lập quy tắc biến đổi Bộ dữ liệu hồ sơ đăng ký kết hôn</v>
      </c>
      <c r="C221" s="43" t="s">
        <v>55</v>
      </c>
      <c r="D221" s="34" t="s">
        <v>28</v>
      </c>
      <c r="E221" s="35"/>
      <c r="F221" s="38"/>
      <c r="G221" s="38" t="str">
        <f>"1. "&amp;D221&amp; " thực hiện cấu hình kiểm tra quy tắc biến đổi định dạng về " &amp;C221&amp; ". Hệ thống ghi nhận quy tắc được thiết lập.
2. " &amp;D221&amp;" có thể cấu hình biến đổi gộp hoặc tách cột về "&amp;C221&amp;". Hệ thống ghi nhận quy tắc được thiết lập.
3. " &amp;D221&amp;" có thể cấu hình phân loại, gán nhãn về "&amp;C221&amp;". Hệ thống ghi nhận quy tắc được thiết lập."</f>
        <v>1. Quản trị hệ thống thực hiện cấu hình kiểm tra quy tắc biến đổi định dạng về Bộ dữ liệu hồ sơ đăng ký kết hôn. Hệ thống ghi nhận quy tắc được thiết lập.
2. Quản trị hệ thống có thể cấu hình biến đổi gộp hoặc tách cột về Bộ dữ liệu hồ sơ đăng ký kết hôn. Hệ thống ghi nhận quy tắc được thiết lập.
3. Quản trị hệ thống có thể cấu hình phân loại, gán nhãn về Bộ dữ liệu hồ sơ đăng ký kết hôn. Hệ thống ghi nhận quy tắc được thiết lập.</v>
      </c>
      <c r="H221" s="36" t="s">
        <v>5</v>
      </c>
      <c r="I221" s="36" t="s">
        <v>6</v>
      </c>
    </row>
    <row r="222" spans="1:9" ht="165">
      <c r="A222" s="36">
        <f>COUNTA($D$4:D222)</f>
        <v>174</v>
      </c>
      <c r="B222" s="38" t="str">
        <f>"Thiết lập quy tắc làm sạch " &amp;C222</f>
        <v>Thiết lập quy tắc làm sạch Bộ dữ liệu hồ sơ cấp Giấy xác nhận tình trạng hôn nhân</v>
      </c>
      <c r="C222" s="43" t="s">
        <v>56</v>
      </c>
      <c r="D222" s="34" t="s">
        <v>28</v>
      </c>
      <c r="E222" s="35"/>
      <c r="F222" s="38"/>
      <c r="G222" s="38" t="str">
        <f>"1. "&amp;D222&amp; " thực hiện cấu hình kiểm tra quy tắc về chuẩn định dạng " &amp;C222&amp; ". Hệ thống ghi nhận quy tắc được thiết lập.
2. " &amp;D222&amp;" có thể cấu hình kiểm tra tính hợp lệ về "&amp;C222&amp;". Hệ thống ghi nhận quy tắc được thiết lập.
3. " &amp;D222&amp;" có thể cấu hình xử lý giá trị thiếu về "&amp;C222&amp;". Hệ thống ghi nhận quy tắc được thiết lập.
4. " &amp;D222&amp;" có thể cấu hình xử lý loại bỏ hoặc thay thế giá trị ngoại lệ về "&amp;C222&amp;". Hệ thống ghi nhận quy tắc được thiết lập"</f>
        <v>1. Quản trị hệ thống thực hiện cấu hình kiểm tra quy tắc về chuẩn định dạng Bộ dữ liệu hồ sơ cấp Giấy xác nhận tình trạng hôn nhân. Hệ thống ghi nhận quy tắc được thiết lập.
2. Quản trị hệ thống có thể cấu hình kiểm tra tính hợp lệ về Bộ dữ liệu hồ sơ cấp Giấy xác nhận tình trạng hôn nhân. Hệ thống ghi nhận quy tắc được thiết lập.
3. Quản trị hệ thống có thể cấu hình xử lý giá trị thiếu về Bộ dữ liệu hồ sơ cấp Giấy xác nhận tình trạng hôn nhân. Hệ thống ghi nhận quy tắc được thiết lập.
4. Quản trị hệ thống có thể cấu hình xử lý loại bỏ hoặc thay thế giá trị ngoại lệ về Bộ dữ liệu hồ sơ cấp Giấy xác nhận tình trạng hôn nhân. Hệ thống ghi nhận quy tắc được thiết lập</v>
      </c>
      <c r="H222" s="36" t="s">
        <v>5</v>
      </c>
      <c r="I222" s="36" t="s">
        <v>7</v>
      </c>
    </row>
    <row r="223" spans="1:9" ht="132">
      <c r="A223" s="36">
        <f>COUNTA($D$4:D223)</f>
        <v>175</v>
      </c>
      <c r="B223" s="38" t="str">
        <f>"Thiết lập quy tắc chuẩn hóa " &amp;C223</f>
        <v>Thiết lập quy tắc chuẩn hóa Bộ dữ liệu hồ sơ cấp Giấy xác nhận tình trạng hôn nhân</v>
      </c>
      <c r="C223" s="43" t="s">
        <v>56</v>
      </c>
      <c r="D223" s="34" t="s">
        <v>28</v>
      </c>
      <c r="E223" s="35"/>
      <c r="F223" s="38"/>
      <c r="G223" s="38" t="str">
        <f>"1. "&amp;D223&amp; " thực hiện cấu hình kiểm tra đối sánh tồn tại dựa trên trường khóa của " &amp;C223&amp; ". Hệ thống ghi nhận quy tắc được thiết lập.
2. " &amp;D223&amp;" có thể cấu hình xử lý trùng lặp về "&amp;C223&amp;". Hệ thống ghi nhận quy tắc được thiết lập.
3. " &amp;D223&amp;" có thể cấu hình xử lý vi phạm về ràng buộc thuộc tính tham chiếu "&amp;C223&amp;". Hệ thống ghi nhận quy tắc được thiết lập."</f>
        <v>1. Quản trị hệ thống thực hiện cấu hình kiểm tra đối sánh tồn tại dựa trên trường khóa của Bộ dữ liệu hồ sơ cấp Giấy xác nhận tình trạng hôn nhân. Hệ thống ghi nhận quy tắc được thiết lập.
2. Quản trị hệ thống có thể cấu hình xử lý trùng lặp về Bộ dữ liệu hồ sơ cấp Giấy xác nhận tình trạng hôn nhân. Hệ thống ghi nhận quy tắc được thiết lập.
3. Quản trị hệ thống có thể cấu hình xử lý vi phạm về ràng buộc thuộc tính tham chiếu Bộ dữ liệu hồ sơ cấp Giấy xác nhận tình trạng hôn nhân. Hệ thống ghi nhận quy tắc được thiết lập.</v>
      </c>
      <c r="H223" s="36" t="s">
        <v>5</v>
      </c>
      <c r="I223" s="36" t="s">
        <v>6</v>
      </c>
    </row>
    <row r="224" spans="1:9" ht="115.5">
      <c r="A224" s="36">
        <f>COUNTA($D$4:D224)</f>
        <v>176</v>
      </c>
      <c r="B224" s="38" t="str">
        <f>"Thiết lập quy tắc biến đổi " &amp;C224</f>
        <v>Thiết lập quy tắc biến đổi Bộ dữ liệu hồ sơ cấp Giấy xác nhận tình trạng hôn nhân</v>
      </c>
      <c r="C224" s="43" t="s">
        <v>56</v>
      </c>
      <c r="D224" s="34" t="s">
        <v>28</v>
      </c>
      <c r="E224" s="35"/>
      <c r="F224" s="38"/>
      <c r="G224" s="38" t="str">
        <f>"1. "&amp;D224&amp; " thực hiện cấu hình kiểm tra quy tắc biến đổi định dạng về " &amp;C224&amp; ". Hệ thống ghi nhận quy tắc được thiết lập.
2. " &amp;D224&amp;" có thể cấu hình biến đổi gộp hoặc tách cột về "&amp;C224&amp;". Hệ thống ghi nhận quy tắc được thiết lập.
3. " &amp;D224&amp;" có thể cấu hình phân loại, gán nhãn về "&amp;C224&amp;". Hệ thống ghi nhận quy tắc được thiết lập."</f>
        <v>1. Quản trị hệ thống thực hiện cấu hình kiểm tra quy tắc biến đổi định dạng về Bộ dữ liệu hồ sơ cấp Giấy xác nhận tình trạng hôn nhân. Hệ thống ghi nhận quy tắc được thiết lập.
2. Quản trị hệ thống có thể cấu hình biến đổi gộp hoặc tách cột về Bộ dữ liệu hồ sơ cấp Giấy xác nhận tình trạng hôn nhân. Hệ thống ghi nhận quy tắc được thiết lập.
3. Quản trị hệ thống có thể cấu hình phân loại, gán nhãn về Bộ dữ liệu hồ sơ cấp Giấy xác nhận tình trạng hôn nhân. Hệ thống ghi nhận quy tắc được thiết lập.</v>
      </c>
      <c r="H224" s="36" t="s">
        <v>5</v>
      </c>
      <c r="I224" s="36" t="s">
        <v>6</v>
      </c>
    </row>
    <row r="225" spans="1:9" ht="132">
      <c r="A225" s="36">
        <f>COUNTA($D$4:D225)</f>
        <v>177</v>
      </c>
      <c r="B225" s="38" t="str">
        <f>"Thiết lập quy tắc làm sạch " &amp;C225</f>
        <v>Thiết lập quy tắc làm sạch Bộ dữ liệu hồ sơ đăng ký khai tử</v>
      </c>
      <c r="C225" s="43" t="s">
        <v>57</v>
      </c>
      <c r="D225" s="34" t="s">
        <v>28</v>
      </c>
      <c r="E225" s="35"/>
      <c r="F225" s="38"/>
      <c r="G225" s="38" t="str">
        <f>"1. "&amp;D225&amp; " thực hiện cấu hình kiểm tra quy tắc về chuẩn định dạng " &amp;C225&amp; ". Hệ thống ghi nhận quy tắc được thiết lập.
2. " &amp;D225&amp;" có thể cấu hình kiểm tra tính hợp lệ về "&amp;C225&amp;". Hệ thống ghi nhận quy tắc được thiết lập.
3. " &amp;D225&amp;" có thể cấu hình xử lý giá trị thiếu về "&amp;C225&amp;". Hệ thống ghi nhận quy tắc được thiết lập.
4. " &amp;D225&amp;" có thể cấu hình xử lý loại bỏ hoặc thay thế giá trị ngoại lệ về "&amp;C225&amp;". Hệ thống ghi nhận quy tắc được thiết lập"</f>
        <v>1. Quản trị hệ thống thực hiện cấu hình kiểm tra quy tắc về chuẩn định dạng Bộ dữ liệu hồ sơ đăng ký khai tử. Hệ thống ghi nhận quy tắc được thiết lập.
2. Quản trị hệ thống có thể cấu hình kiểm tra tính hợp lệ về Bộ dữ liệu hồ sơ đăng ký khai tử. Hệ thống ghi nhận quy tắc được thiết lập.
3. Quản trị hệ thống có thể cấu hình xử lý giá trị thiếu về Bộ dữ liệu hồ sơ đăng ký khai tử. Hệ thống ghi nhận quy tắc được thiết lập.
4. Quản trị hệ thống có thể cấu hình xử lý loại bỏ hoặc thay thế giá trị ngoại lệ về Bộ dữ liệu hồ sơ đăng ký khai tử. Hệ thống ghi nhận quy tắc được thiết lập</v>
      </c>
      <c r="H225" s="36" t="s">
        <v>5</v>
      </c>
      <c r="I225" s="36" t="s">
        <v>7</v>
      </c>
    </row>
    <row r="226" spans="1:9" ht="99">
      <c r="A226" s="36">
        <f>COUNTA($D$4:D226)</f>
        <v>178</v>
      </c>
      <c r="B226" s="38" t="str">
        <f>"Thiết lập quy tắc chuẩn hóa " &amp;C226</f>
        <v>Thiết lập quy tắc chuẩn hóa Bộ dữ liệu hồ sơ đăng ký khai tử</v>
      </c>
      <c r="C226" s="43" t="s">
        <v>57</v>
      </c>
      <c r="D226" s="34" t="s">
        <v>28</v>
      </c>
      <c r="E226" s="35"/>
      <c r="F226" s="38"/>
      <c r="G226" s="38" t="str">
        <f>"1. "&amp;D226&amp; " thực hiện cấu hình kiểm tra đối sánh tồn tại dựa trên trường khóa của " &amp;C226&amp; ". Hệ thống ghi nhận quy tắc được thiết lập.
2. " &amp;D226&amp;" có thể cấu hình xử lý trùng lặp về "&amp;C226&amp;". Hệ thống ghi nhận quy tắc được thiết lập.
3. " &amp;D226&amp;" có thể cấu hình xử lý vi phạm về ràng buộc thuộc tính tham chiếu "&amp;C226&amp;". Hệ thống ghi nhận quy tắc được thiết lập."</f>
        <v>1. Quản trị hệ thống thực hiện cấu hình kiểm tra đối sánh tồn tại dựa trên trường khóa của Bộ dữ liệu hồ sơ đăng ký khai tử. Hệ thống ghi nhận quy tắc được thiết lập.
2. Quản trị hệ thống có thể cấu hình xử lý trùng lặp về Bộ dữ liệu hồ sơ đăng ký khai tử. Hệ thống ghi nhận quy tắc được thiết lập.
3. Quản trị hệ thống có thể cấu hình xử lý vi phạm về ràng buộc thuộc tính tham chiếu Bộ dữ liệu hồ sơ đăng ký khai tử. Hệ thống ghi nhận quy tắc được thiết lập.</v>
      </c>
      <c r="H226" s="36" t="s">
        <v>5</v>
      </c>
      <c r="I226" s="36" t="s">
        <v>6</v>
      </c>
    </row>
    <row r="227" spans="1:9" ht="99">
      <c r="A227" s="36">
        <f>COUNTA($D$4:D227)</f>
        <v>179</v>
      </c>
      <c r="B227" s="38" t="str">
        <f>"Thiết lập quy tắc biến đổi " &amp;C227</f>
        <v>Thiết lập quy tắc biến đổi Bộ dữ liệu hồ sơ đăng ký khai tử</v>
      </c>
      <c r="C227" s="43" t="s">
        <v>57</v>
      </c>
      <c r="D227" s="34" t="s">
        <v>28</v>
      </c>
      <c r="E227" s="35"/>
      <c r="F227" s="38"/>
      <c r="G227" s="38" t="str">
        <f>"1. "&amp;D227&amp; " thực hiện cấu hình kiểm tra quy tắc biến đổi định dạng về " &amp;C227&amp; ". Hệ thống ghi nhận quy tắc được thiết lập.
2. " &amp;D227&amp;" có thể cấu hình biến đổi gộp hoặc tách cột về "&amp;C227&amp;". Hệ thống ghi nhận quy tắc được thiết lập.
3. " &amp;D227&amp;" có thể cấu hình phân loại, gán nhãn về "&amp;C227&amp;". Hệ thống ghi nhận quy tắc được thiết lập."</f>
        <v>1. Quản trị hệ thống thực hiện cấu hình kiểm tra quy tắc biến đổi định dạng về Bộ dữ liệu hồ sơ đăng ký khai tử. Hệ thống ghi nhận quy tắc được thiết lập.
2. Quản trị hệ thống có thể cấu hình biến đổi gộp hoặc tách cột về Bộ dữ liệu hồ sơ đăng ký khai tử. Hệ thống ghi nhận quy tắc được thiết lập.
3. Quản trị hệ thống có thể cấu hình phân loại, gán nhãn về Bộ dữ liệu hồ sơ đăng ký khai tử. Hệ thống ghi nhận quy tắc được thiết lập.</v>
      </c>
      <c r="H227" s="36" t="s">
        <v>5</v>
      </c>
      <c r="I227" s="36" t="s">
        <v>6</v>
      </c>
    </row>
    <row r="228" spans="1:9" ht="132">
      <c r="A228" s="36">
        <f>COUNTA($D$4:D228)</f>
        <v>180</v>
      </c>
      <c r="B228" s="38" t="str">
        <f>"Thiết lập quy tắc làm sạch " &amp;C228</f>
        <v>Thiết lập quy tắc làm sạch Bộ dữ liệu hồ sơ đăng ký nhận cha, mẹ, con</v>
      </c>
      <c r="C228" s="43" t="s">
        <v>58</v>
      </c>
      <c r="D228" s="34" t="s">
        <v>28</v>
      </c>
      <c r="E228" s="35"/>
      <c r="F228" s="38"/>
      <c r="G228" s="38" t="str">
        <f>"1. "&amp;D228&amp; " thực hiện cấu hình kiểm tra quy tắc về chuẩn định dạng " &amp;C228&amp; ". Hệ thống ghi nhận quy tắc được thiết lập.
2. " &amp;D228&amp;" có thể cấu hình kiểm tra tính hợp lệ về "&amp;C228&amp;". Hệ thống ghi nhận quy tắc được thiết lập.
3. " &amp;D228&amp;" có thể cấu hình xử lý giá trị thiếu về "&amp;C228&amp;". Hệ thống ghi nhận quy tắc được thiết lập.
4. " &amp;D228&amp;" có thể cấu hình xử lý loại bỏ hoặc thay thế giá trị ngoại lệ về "&amp;C228&amp;". Hệ thống ghi nhận quy tắc được thiết lập"</f>
        <v>1. Quản trị hệ thống thực hiện cấu hình kiểm tra quy tắc về chuẩn định dạng Bộ dữ liệu hồ sơ đăng ký nhận cha, mẹ, con. Hệ thống ghi nhận quy tắc được thiết lập.
2. Quản trị hệ thống có thể cấu hình kiểm tra tính hợp lệ về Bộ dữ liệu hồ sơ đăng ký nhận cha, mẹ, con. Hệ thống ghi nhận quy tắc được thiết lập.
3. Quản trị hệ thống có thể cấu hình xử lý giá trị thiếu về Bộ dữ liệu hồ sơ đăng ký nhận cha, mẹ, con. Hệ thống ghi nhận quy tắc được thiết lập.
4. Quản trị hệ thống có thể cấu hình xử lý loại bỏ hoặc thay thế giá trị ngoại lệ về Bộ dữ liệu hồ sơ đăng ký nhận cha, mẹ, con. Hệ thống ghi nhận quy tắc được thiết lập</v>
      </c>
      <c r="H228" s="36" t="s">
        <v>5</v>
      </c>
      <c r="I228" s="36" t="s">
        <v>7</v>
      </c>
    </row>
    <row r="229" spans="1:9" ht="132">
      <c r="A229" s="36">
        <f>COUNTA($D$4:D229)</f>
        <v>181</v>
      </c>
      <c r="B229" s="38" t="str">
        <f>"Thiết lập quy tắc chuẩn hóa " &amp;C229</f>
        <v>Thiết lập quy tắc chuẩn hóa Bộ dữ liệu hồ sơ đăng ký nhận cha, mẹ, con</v>
      </c>
      <c r="C229" s="43" t="s">
        <v>58</v>
      </c>
      <c r="D229" s="34" t="s">
        <v>28</v>
      </c>
      <c r="E229" s="35"/>
      <c r="F229" s="38"/>
      <c r="G229" s="38" t="str">
        <f>"1. "&amp;D229&amp; " thực hiện cấu hình kiểm tra đối sánh tồn tại dựa trên trường khóa của " &amp;C229&amp; ". Hệ thống ghi nhận quy tắc được thiết lập.
2. " &amp;D229&amp;" có thể cấu hình xử lý trùng lặp về "&amp;C229&amp;". Hệ thống ghi nhận quy tắc được thiết lập.
3. " &amp;D229&amp;" có thể cấu hình xử lý vi phạm về ràng buộc thuộc tính tham chiếu "&amp;C229&amp;". Hệ thống ghi nhận quy tắc được thiết lập."</f>
        <v>1. Quản trị hệ thống thực hiện cấu hình kiểm tra đối sánh tồn tại dựa trên trường khóa của Bộ dữ liệu hồ sơ đăng ký nhận cha, mẹ, con. Hệ thống ghi nhận quy tắc được thiết lập.
2. Quản trị hệ thống có thể cấu hình xử lý trùng lặp về Bộ dữ liệu hồ sơ đăng ký nhận cha, mẹ, con. Hệ thống ghi nhận quy tắc được thiết lập.
3. Quản trị hệ thống có thể cấu hình xử lý vi phạm về ràng buộc thuộc tính tham chiếu Bộ dữ liệu hồ sơ đăng ký nhận cha, mẹ, con. Hệ thống ghi nhận quy tắc được thiết lập.</v>
      </c>
      <c r="H229" s="36" t="s">
        <v>5</v>
      </c>
      <c r="I229" s="36" t="s">
        <v>6</v>
      </c>
    </row>
    <row r="230" spans="1:9" ht="99">
      <c r="A230" s="36">
        <f>COUNTA($D$4:D230)</f>
        <v>182</v>
      </c>
      <c r="B230" s="38" t="str">
        <f>"Thiết lập quy tắc biến đổi " &amp;C230</f>
        <v>Thiết lập quy tắc biến đổi Bộ dữ liệu hồ sơ đăng ký nhận cha, mẹ, con</v>
      </c>
      <c r="C230" s="43" t="s">
        <v>58</v>
      </c>
      <c r="D230" s="34" t="s">
        <v>28</v>
      </c>
      <c r="E230" s="35"/>
      <c r="F230" s="38"/>
      <c r="G230" s="38" t="str">
        <f>"1. "&amp;D230&amp; " thực hiện cấu hình kiểm tra quy tắc biến đổi định dạng về " &amp;C230&amp; ". Hệ thống ghi nhận quy tắc được thiết lập.
2. " &amp;D230&amp;" có thể cấu hình biến đổi gộp hoặc tách cột về "&amp;C230&amp;". Hệ thống ghi nhận quy tắc được thiết lập.
3. " &amp;D230&amp;" có thể cấu hình phân loại, gán nhãn về "&amp;C230&amp;". Hệ thống ghi nhận quy tắc được thiết lập."</f>
        <v>1. Quản trị hệ thống thực hiện cấu hình kiểm tra quy tắc biến đổi định dạng về Bộ dữ liệu hồ sơ đăng ký nhận cha, mẹ, con. Hệ thống ghi nhận quy tắc được thiết lập.
2. Quản trị hệ thống có thể cấu hình biến đổi gộp hoặc tách cột về Bộ dữ liệu hồ sơ đăng ký nhận cha, mẹ, con. Hệ thống ghi nhận quy tắc được thiết lập.
3. Quản trị hệ thống có thể cấu hình phân loại, gán nhãn về Bộ dữ liệu hồ sơ đăng ký nhận cha, mẹ, con. Hệ thống ghi nhận quy tắc được thiết lập.</v>
      </c>
      <c r="H230" s="36" t="s">
        <v>5</v>
      </c>
      <c r="I230" s="36" t="s">
        <v>6</v>
      </c>
    </row>
    <row r="231" spans="1:9" ht="132">
      <c r="A231" s="36">
        <f>COUNTA($D$4:D231)</f>
        <v>183</v>
      </c>
      <c r="B231" s="38" t="str">
        <f t="shared" ref="B231:B249" si="34">"Thiết lập quy tắc làm sạch " &amp;C231</f>
        <v>Thiết lập quy tắc làm sạch Bộ dữ liệu hồ sơ đăng ký nuôi con nuôi</v>
      </c>
      <c r="C231" s="43" t="s">
        <v>59</v>
      </c>
      <c r="D231" s="34" t="s">
        <v>28</v>
      </c>
      <c r="E231" s="35"/>
      <c r="F231" s="38"/>
      <c r="G231" s="38" t="str">
        <f>"1. "&amp;D231&amp; " thực hiện cấu hình kiểm tra quy tắc về chuẩn định dạng " &amp;C231&amp; ". Hệ thống ghi nhận quy tắc được thiết lập.
2. " &amp;D231&amp;" có thể cấu hình kiểm tra tính hợp lệ về "&amp;C231&amp;". Hệ thống ghi nhận quy tắc được thiết lập.
3. " &amp;D231&amp;" có thể cấu hình xử lý giá trị thiếu về "&amp;C231&amp;". Hệ thống ghi nhận quy tắc được thiết lập.
4. " &amp;D231&amp;" có thể cấu hình xử lý loại bỏ hoặc thay thế giá trị ngoại lệ về "&amp;C231&amp;". Hệ thống ghi nhận quy tắc được thiết lập"</f>
        <v>1. Quản trị hệ thống thực hiện cấu hình kiểm tra quy tắc về chuẩn định dạng Bộ dữ liệu hồ sơ đăng ký nuôi con nuôi. Hệ thống ghi nhận quy tắc được thiết lập.
2. Quản trị hệ thống có thể cấu hình kiểm tra tính hợp lệ về Bộ dữ liệu hồ sơ đăng ký nuôi con nuôi. Hệ thống ghi nhận quy tắc được thiết lập.
3. Quản trị hệ thống có thể cấu hình xử lý giá trị thiếu về Bộ dữ liệu hồ sơ đăng ký nuôi con nuôi. Hệ thống ghi nhận quy tắc được thiết lập.
4. Quản trị hệ thống có thể cấu hình xử lý loại bỏ hoặc thay thế giá trị ngoại lệ về Bộ dữ liệu hồ sơ đăng ký nuôi con nuôi. Hệ thống ghi nhận quy tắc được thiết lập</v>
      </c>
      <c r="H231" s="36" t="s">
        <v>5</v>
      </c>
      <c r="I231" s="36" t="s">
        <v>7</v>
      </c>
    </row>
    <row r="232" spans="1:9" ht="132">
      <c r="A232" s="36">
        <f>COUNTA($D$4:D232)</f>
        <v>184</v>
      </c>
      <c r="B232" s="38" t="str">
        <f>"Thiết lập quy tắc chuẩn hóa " &amp;C232</f>
        <v>Thiết lập quy tắc chuẩn hóa Bộ dữ liệu hồ sơ đăng ký nuôi con nuôi</v>
      </c>
      <c r="C232" s="43" t="s">
        <v>59</v>
      </c>
      <c r="D232" s="34" t="s">
        <v>28</v>
      </c>
      <c r="E232" s="35"/>
      <c r="F232" s="38"/>
      <c r="G232" s="38" t="str">
        <f>"1. "&amp;D232&amp; " thực hiện cấu hình kiểm tra đối sánh tồn tại dựa trên trường khóa của " &amp;C232&amp; ". Hệ thống ghi nhận quy tắc được thiết lập.
2. " &amp;D232&amp;" có thể cấu hình xử lý trùng lặp về "&amp;C232&amp;". Hệ thống ghi nhận quy tắc được thiết lập.
3. " &amp;D232&amp;" có thể cấu hình xử lý vi phạm về ràng buộc thuộc tính tham chiếu "&amp;C232&amp;". Hệ thống ghi nhận quy tắc được thiết lập."</f>
        <v>1. Quản trị hệ thống thực hiện cấu hình kiểm tra đối sánh tồn tại dựa trên trường khóa của Bộ dữ liệu hồ sơ đăng ký nuôi con nuôi. Hệ thống ghi nhận quy tắc được thiết lập.
2. Quản trị hệ thống có thể cấu hình xử lý trùng lặp về Bộ dữ liệu hồ sơ đăng ký nuôi con nuôi. Hệ thống ghi nhận quy tắc được thiết lập.
3. Quản trị hệ thống có thể cấu hình xử lý vi phạm về ràng buộc thuộc tính tham chiếu Bộ dữ liệu hồ sơ đăng ký nuôi con nuôi. Hệ thống ghi nhận quy tắc được thiết lập.</v>
      </c>
      <c r="H232" s="36" t="s">
        <v>5</v>
      </c>
      <c r="I232" s="36" t="s">
        <v>6</v>
      </c>
    </row>
    <row r="233" spans="1:9" ht="99">
      <c r="A233" s="36">
        <f>COUNTA($D$4:D233)</f>
        <v>185</v>
      </c>
      <c r="B233" s="38" t="str">
        <f>"Thiết lập quy tắc biến đổi " &amp;C233</f>
        <v>Thiết lập quy tắc biến đổi Bộ dữ liệu hồ sơ đăng ký nuôi con nuôi</v>
      </c>
      <c r="C233" s="43" t="s">
        <v>59</v>
      </c>
      <c r="D233" s="34" t="s">
        <v>28</v>
      </c>
      <c r="E233" s="35"/>
      <c r="F233" s="38"/>
      <c r="G233" s="38" t="str">
        <f>"1. "&amp;D233&amp; " thực hiện cấu hình kiểm tra quy tắc biến đổi định dạng về " &amp;C233&amp; ". Hệ thống ghi nhận quy tắc được thiết lập.
2. " &amp;D233&amp;" có thể cấu hình biến đổi gộp hoặc tách cột về "&amp;C233&amp;". Hệ thống ghi nhận quy tắc được thiết lập.
3. " &amp;D233&amp;" có thể cấu hình phân loại, gán nhãn về "&amp;C233&amp;". Hệ thống ghi nhận quy tắc được thiết lập."</f>
        <v>1. Quản trị hệ thống thực hiện cấu hình kiểm tra quy tắc biến đổi định dạng về Bộ dữ liệu hồ sơ đăng ký nuôi con nuôi. Hệ thống ghi nhận quy tắc được thiết lập.
2. Quản trị hệ thống có thể cấu hình biến đổi gộp hoặc tách cột về Bộ dữ liệu hồ sơ đăng ký nuôi con nuôi. Hệ thống ghi nhận quy tắc được thiết lập.
3. Quản trị hệ thống có thể cấu hình phân loại, gán nhãn về Bộ dữ liệu hồ sơ đăng ký nuôi con nuôi. Hệ thống ghi nhận quy tắc được thiết lập.</v>
      </c>
      <c r="H233" s="36" t="s">
        <v>5</v>
      </c>
      <c r="I233" s="36" t="s">
        <v>6</v>
      </c>
    </row>
    <row r="234" spans="1:9" ht="132">
      <c r="A234" s="36">
        <f>COUNTA($D$4:D234)</f>
        <v>186</v>
      </c>
      <c r="B234" s="38" t="str">
        <f t="shared" si="34"/>
        <v>Thiết lập quy tắc làm sạch Bộ dữ liệu hồ sơ đăng ký giám hộ</v>
      </c>
      <c r="C234" s="43" t="s">
        <v>60</v>
      </c>
      <c r="D234" s="34" t="s">
        <v>28</v>
      </c>
      <c r="E234" s="35"/>
      <c r="F234" s="38"/>
      <c r="G234" s="38" t="str">
        <f>"1. "&amp;D234&amp; " thực hiện cấu hình kiểm tra quy tắc về chuẩn định dạng " &amp;C234&amp; ". Hệ thống ghi nhận quy tắc được thiết lập.
2. " &amp;D234&amp;" có thể cấu hình kiểm tra tính hợp lệ về "&amp;C234&amp;". Hệ thống ghi nhận quy tắc được thiết lập.
3. " &amp;D234&amp;" có thể cấu hình xử lý giá trị thiếu về "&amp;C234&amp;". Hệ thống ghi nhận quy tắc được thiết lập.
4. " &amp;D234&amp;" có thể cấu hình xử lý loại bỏ hoặc thay thế giá trị ngoại lệ về "&amp;C234&amp;". Hệ thống ghi nhận quy tắc được thiết lập"</f>
        <v>1. Quản trị hệ thống thực hiện cấu hình kiểm tra quy tắc về chuẩn định dạng Bộ dữ liệu hồ sơ đăng ký giám hộ. Hệ thống ghi nhận quy tắc được thiết lập.
2. Quản trị hệ thống có thể cấu hình kiểm tra tính hợp lệ về Bộ dữ liệu hồ sơ đăng ký giám hộ. Hệ thống ghi nhận quy tắc được thiết lập.
3. Quản trị hệ thống có thể cấu hình xử lý giá trị thiếu về Bộ dữ liệu hồ sơ đăng ký giám hộ. Hệ thống ghi nhận quy tắc được thiết lập.
4. Quản trị hệ thống có thể cấu hình xử lý loại bỏ hoặc thay thế giá trị ngoại lệ về Bộ dữ liệu hồ sơ đăng ký giám hộ. Hệ thống ghi nhận quy tắc được thiết lập</v>
      </c>
      <c r="H234" s="36" t="s">
        <v>5</v>
      </c>
      <c r="I234" s="36" t="s">
        <v>7</v>
      </c>
    </row>
    <row r="235" spans="1:9" ht="115.5">
      <c r="A235" s="36">
        <f>COUNTA($D$4:D235)</f>
        <v>187</v>
      </c>
      <c r="B235" s="38" t="str">
        <f>"Thiết lập quy tắc chuẩn hóa " &amp;C235</f>
        <v>Thiết lập quy tắc chuẩn hóa Bộ dữ liệu hồ sơ đăng ký giám hộ</v>
      </c>
      <c r="C235" s="43" t="s">
        <v>60</v>
      </c>
      <c r="D235" s="34" t="s">
        <v>28</v>
      </c>
      <c r="E235" s="35"/>
      <c r="F235" s="38"/>
      <c r="G235" s="38" t="str">
        <f>"1. "&amp;D235&amp; " thực hiện cấu hình kiểm tra đối sánh tồn tại dựa trên trường khóa của " &amp;C235&amp; ". Hệ thống ghi nhận quy tắc được thiết lập.
2. " &amp;D235&amp;" có thể cấu hình xử lý trùng lặp về "&amp;C235&amp;". Hệ thống ghi nhận quy tắc được thiết lập.
3. " &amp;D235&amp;" có thể cấu hình xử lý vi phạm về ràng buộc thuộc tính tham chiếu "&amp;C235&amp;". Hệ thống ghi nhận quy tắc được thiết lập."</f>
        <v>1. Quản trị hệ thống thực hiện cấu hình kiểm tra đối sánh tồn tại dựa trên trường khóa của Bộ dữ liệu hồ sơ đăng ký giám hộ. Hệ thống ghi nhận quy tắc được thiết lập.
2. Quản trị hệ thống có thể cấu hình xử lý trùng lặp về Bộ dữ liệu hồ sơ đăng ký giám hộ. Hệ thống ghi nhận quy tắc được thiết lập.
3. Quản trị hệ thống có thể cấu hình xử lý vi phạm về ràng buộc thuộc tính tham chiếu Bộ dữ liệu hồ sơ đăng ký giám hộ. Hệ thống ghi nhận quy tắc được thiết lập.</v>
      </c>
      <c r="H235" s="36" t="s">
        <v>5</v>
      </c>
      <c r="I235" s="36" t="s">
        <v>6</v>
      </c>
    </row>
    <row r="236" spans="1:9" ht="99">
      <c r="A236" s="36">
        <f>COUNTA($D$4:D236)</f>
        <v>188</v>
      </c>
      <c r="B236" s="38" t="str">
        <f>"Thiết lập quy tắc biến đổi " &amp;C236</f>
        <v>Thiết lập quy tắc biến đổi Bộ dữ liệu hồ sơ đăng ký giám hộ</v>
      </c>
      <c r="C236" s="43" t="s">
        <v>60</v>
      </c>
      <c r="D236" s="34" t="s">
        <v>28</v>
      </c>
      <c r="E236" s="35"/>
      <c r="F236" s="38"/>
      <c r="G236" s="38" t="str">
        <f>"1. "&amp;D236&amp; " thực hiện cấu hình kiểm tra quy tắc biến đổi định dạng về " &amp;C236&amp; ". Hệ thống ghi nhận quy tắc được thiết lập.
2. " &amp;D236&amp;" có thể cấu hình biến đổi gộp hoặc tách cột về "&amp;C236&amp;". Hệ thống ghi nhận quy tắc được thiết lập.
3. " &amp;D236&amp;" có thể cấu hình phân loại, gán nhãn về "&amp;C236&amp;". Hệ thống ghi nhận quy tắc được thiết lập."</f>
        <v>1. Quản trị hệ thống thực hiện cấu hình kiểm tra quy tắc biến đổi định dạng về Bộ dữ liệu hồ sơ đăng ký giám hộ. Hệ thống ghi nhận quy tắc được thiết lập.
2. Quản trị hệ thống có thể cấu hình biến đổi gộp hoặc tách cột về Bộ dữ liệu hồ sơ đăng ký giám hộ. Hệ thống ghi nhận quy tắc được thiết lập.
3. Quản trị hệ thống có thể cấu hình phân loại, gán nhãn về Bộ dữ liệu hồ sơ đăng ký giám hộ. Hệ thống ghi nhận quy tắc được thiết lập.</v>
      </c>
      <c r="H236" s="36" t="s">
        <v>5</v>
      </c>
      <c r="I236" s="36" t="s">
        <v>6</v>
      </c>
    </row>
    <row r="237" spans="1:9" ht="132">
      <c r="A237" s="36">
        <f>COUNTA($D$4:D237)</f>
        <v>189</v>
      </c>
      <c r="B237" s="38" t="str">
        <f t="shared" si="34"/>
        <v>Thiết lập quy tắc làm sạch Bộ dữ liệu hồ sơ đăng ký chấm dứt giám hộ</v>
      </c>
      <c r="C237" s="43" t="s">
        <v>61</v>
      </c>
      <c r="D237" s="34" t="s">
        <v>28</v>
      </c>
      <c r="E237" s="35"/>
      <c r="F237" s="38"/>
      <c r="G237" s="38" t="str">
        <f>"1. "&amp;D237&amp; " thực hiện cấu hình kiểm tra quy tắc về chuẩn định dạng " &amp;C237&amp; ". Hệ thống ghi nhận quy tắc được thiết lập.
2. " &amp;D237&amp;" có thể cấu hình kiểm tra tính hợp lệ về "&amp;C237&amp;". Hệ thống ghi nhận quy tắc được thiết lập.
3. " &amp;D237&amp;" có thể cấu hình xử lý giá trị thiếu về "&amp;C237&amp;". Hệ thống ghi nhận quy tắc được thiết lập.
4. " &amp;D237&amp;" có thể cấu hình xử lý loại bỏ hoặc thay thế giá trị ngoại lệ về "&amp;C237&amp;". Hệ thống ghi nhận quy tắc được thiết lập"</f>
        <v>1. Quản trị hệ thống thực hiện cấu hình kiểm tra quy tắc về chuẩn định dạng Bộ dữ liệu hồ sơ đăng ký chấm dứt giám hộ. Hệ thống ghi nhận quy tắc được thiết lập.
2. Quản trị hệ thống có thể cấu hình kiểm tra tính hợp lệ về Bộ dữ liệu hồ sơ đăng ký chấm dứt giám hộ. Hệ thống ghi nhận quy tắc được thiết lập.
3. Quản trị hệ thống có thể cấu hình xử lý giá trị thiếu về Bộ dữ liệu hồ sơ đăng ký chấm dứt giám hộ. Hệ thống ghi nhận quy tắc được thiết lập.
4. Quản trị hệ thống có thể cấu hình xử lý loại bỏ hoặc thay thế giá trị ngoại lệ về Bộ dữ liệu hồ sơ đăng ký chấm dứt giám hộ. Hệ thống ghi nhận quy tắc được thiết lập</v>
      </c>
      <c r="H237" s="36" t="s">
        <v>5</v>
      </c>
      <c r="I237" s="36" t="s">
        <v>7</v>
      </c>
    </row>
    <row r="238" spans="1:9" ht="132">
      <c r="A238" s="36">
        <f>COUNTA($D$4:D238)</f>
        <v>190</v>
      </c>
      <c r="B238" s="38" t="str">
        <f>"Thiết lập quy tắc chuẩn hóa " &amp;C238</f>
        <v>Thiết lập quy tắc chuẩn hóa Bộ dữ liệu hồ sơ đăng ký chấm dứt giám hộ</v>
      </c>
      <c r="C238" s="43" t="s">
        <v>61</v>
      </c>
      <c r="D238" s="34" t="s">
        <v>28</v>
      </c>
      <c r="E238" s="35"/>
      <c r="F238" s="38"/>
      <c r="G238" s="38" t="str">
        <f>"1. "&amp;D238&amp; " thực hiện cấu hình kiểm tra đối sánh tồn tại dựa trên trường khóa của " &amp;C238&amp; ". Hệ thống ghi nhận quy tắc được thiết lập.
2. " &amp;D238&amp;" có thể cấu hình xử lý trùng lặp về "&amp;C238&amp;". Hệ thống ghi nhận quy tắc được thiết lập.
3. " &amp;D238&amp;" có thể cấu hình xử lý vi phạm về ràng buộc thuộc tính tham chiếu "&amp;C238&amp;". Hệ thống ghi nhận quy tắc được thiết lập."</f>
        <v>1. Quản trị hệ thống thực hiện cấu hình kiểm tra đối sánh tồn tại dựa trên trường khóa của Bộ dữ liệu hồ sơ đăng ký chấm dứt giám hộ. Hệ thống ghi nhận quy tắc được thiết lập.
2. Quản trị hệ thống có thể cấu hình xử lý trùng lặp về Bộ dữ liệu hồ sơ đăng ký chấm dứt giám hộ. Hệ thống ghi nhận quy tắc được thiết lập.
3. Quản trị hệ thống có thể cấu hình xử lý vi phạm về ràng buộc thuộc tính tham chiếu Bộ dữ liệu hồ sơ đăng ký chấm dứt giám hộ. Hệ thống ghi nhận quy tắc được thiết lập.</v>
      </c>
      <c r="H238" s="36" t="s">
        <v>5</v>
      </c>
      <c r="I238" s="36" t="s">
        <v>6</v>
      </c>
    </row>
    <row r="239" spans="1:9" ht="99">
      <c r="A239" s="36">
        <f>COUNTA($D$4:D239)</f>
        <v>191</v>
      </c>
      <c r="B239" s="38" t="str">
        <f>"Thiết lập quy tắc biến đổi " &amp;C239</f>
        <v>Thiết lập quy tắc biến đổi Bộ dữ liệu hồ sơ đăng ký chấm dứt giám hộ</v>
      </c>
      <c r="C239" s="43" t="s">
        <v>61</v>
      </c>
      <c r="D239" s="34" t="s">
        <v>28</v>
      </c>
      <c r="E239" s="35"/>
      <c r="F239" s="38"/>
      <c r="G239" s="38" t="str">
        <f>"1. "&amp;D239&amp; " thực hiện cấu hình kiểm tra quy tắc biến đổi định dạng về " &amp;C239&amp; ". Hệ thống ghi nhận quy tắc được thiết lập.
2. " &amp;D239&amp;" có thể cấu hình biến đổi gộp hoặc tách cột về "&amp;C239&amp;". Hệ thống ghi nhận quy tắc được thiết lập.
3. " &amp;D239&amp;" có thể cấu hình phân loại, gán nhãn về "&amp;C239&amp;". Hệ thống ghi nhận quy tắc được thiết lập."</f>
        <v>1. Quản trị hệ thống thực hiện cấu hình kiểm tra quy tắc biến đổi định dạng về Bộ dữ liệu hồ sơ đăng ký chấm dứt giám hộ. Hệ thống ghi nhận quy tắc được thiết lập.
2. Quản trị hệ thống có thể cấu hình biến đổi gộp hoặc tách cột về Bộ dữ liệu hồ sơ đăng ký chấm dứt giám hộ. Hệ thống ghi nhận quy tắc được thiết lập.
3. Quản trị hệ thống có thể cấu hình phân loại, gán nhãn về Bộ dữ liệu hồ sơ đăng ký chấm dứt giám hộ. Hệ thống ghi nhận quy tắc được thiết lập.</v>
      </c>
      <c r="H239" s="36" t="s">
        <v>5</v>
      </c>
      <c r="I239" s="36" t="s">
        <v>6</v>
      </c>
    </row>
    <row r="240" spans="1:9" ht="198">
      <c r="A240" s="36">
        <f>COUNTA($D$4:D240)</f>
        <v>192</v>
      </c>
      <c r="B240" s="38" t="str">
        <f t="shared" si="34"/>
        <v>Thiết lập quy tắc làm sạch Bộ dữ liệu hồ sơ đăng ký thay đổi, cải chính, bổ sung thông tin hộ tịch, xác định lại dân tộc</v>
      </c>
      <c r="C240" s="43" t="s">
        <v>62</v>
      </c>
      <c r="D240" s="34" t="s">
        <v>28</v>
      </c>
      <c r="E240" s="35"/>
      <c r="F240" s="38"/>
      <c r="G240" s="38" t="str">
        <f>"1. "&amp;D240&amp; " thực hiện cấu hình kiểm tra quy tắc về chuẩn định dạng " &amp;C240&amp; ". Hệ thống ghi nhận quy tắc được thiết lập.
2. " &amp;D240&amp;" có thể cấu hình kiểm tra tính hợp lệ về "&amp;C240&amp;". Hệ thống ghi nhận quy tắc được thiết lập.
3. " &amp;D240&amp;" có thể cấu hình xử lý giá trị thiếu về "&amp;C240&amp;". Hệ thống ghi nhận quy tắc được thiết lập.
4. " &amp;D240&amp;" có thể cấu hình xử lý loại bỏ hoặc thay thế giá trị ngoại lệ về "&amp;C240&amp;". Hệ thống ghi nhận quy tắc được thiết lập"</f>
        <v>1. Quản trị hệ thống thực hiện cấu hình kiểm tra quy tắc về chuẩn định dạng Bộ dữ liệu hồ sơ đăng ký thay đổi, cải chính, bổ sung thông tin hộ tịch, xác định lại dân tộc. Hệ thống ghi nhận quy tắc được thiết lập.
2. Quản trị hệ thống có thể cấu hình kiểm tra tính hợp lệ về Bộ dữ liệu hồ sơ đăng ký thay đổi, cải chính, bổ sung thông tin hộ tịch, xác định lại dân tộc. Hệ thống ghi nhận quy tắc được thiết lập.
3. Quản trị hệ thống có thể cấu hình xử lý giá trị thiếu về Bộ dữ liệu hồ sơ đăng ký thay đổi, cải chính, bổ sung thông tin hộ tịch, xác định lại dân tộc. Hệ thống ghi nhận quy tắc được thiết lập.
4. Quản trị hệ thống có thể cấu hình xử lý loại bỏ hoặc thay thế giá trị ngoại lệ về Bộ dữ liệu hồ sơ đăng ký thay đổi, cải chính, bổ sung thông tin hộ tịch, xác định lại dân tộc. Hệ thống ghi nhận quy tắc được thiết lập</v>
      </c>
      <c r="H240" s="36" t="s">
        <v>5</v>
      </c>
      <c r="I240" s="36" t="s">
        <v>7</v>
      </c>
    </row>
    <row r="241" spans="1:9" ht="148.5">
      <c r="A241" s="36">
        <f>COUNTA($D$4:D241)</f>
        <v>193</v>
      </c>
      <c r="B241" s="38" t="str">
        <f>"Thiết lập quy tắc chuẩn hóa " &amp;C241</f>
        <v>Thiết lập quy tắc chuẩn hóa Bộ dữ liệu hồ sơ đăng ký thay đổi, cải chính, bổ sung thông tin hộ tịch, xác định lại dân tộc</v>
      </c>
      <c r="C241" s="43" t="s">
        <v>62</v>
      </c>
      <c r="D241" s="34" t="s">
        <v>28</v>
      </c>
      <c r="E241" s="35"/>
      <c r="F241" s="38"/>
      <c r="G241" s="38" t="str">
        <f>"1. "&amp;D241&amp; " thực hiện cấu hình kiểm tra đối sánh tồn tại dựa trên trường khóa của " &amp;C241&amp; ". Hệ thống ghi nhận quy tắc được thiết lập.
2. " &amp;D241&amp;" có thể cấu hình xử lý trùng lặp về "&amp;C241&amp;". Hệ thống ghi nhận quy tắc được thiết lập.
3. " &amp;D241&amp;" có thể cấu hình xử lý vi phạm về ràng buộc thuộc tính tham chiếu "&amp;C241&amp;". Hệ thống ghi nhận quy tắc được thiết lập."</f>
        <v>1. Quản trị hệ thống thực hiện cấu hình kiểm tra đối sánh tồn tại dựa trên trường khóa của Bộ dữ liệu hồ sơ đăng ký thay đổi, cải chính, bổ sung thông tin hộ tịch, xác định lại dân tộc. Hệ thống ghi nhận quy tắc được thiết lập.
2. Quản trị hệ thống có thể cấu hình xử lý trùng lặp về Bộ dữ liệu hồ sơ đăng ký thay đổi, cải chính, bổ sung thông tin hộ tịch, xác định lại dân tộc. Hệ thống ghi nhận quy tắc được thiết lập.
3. Quản trị hệ thống có thể cấu hình xử lý vi phạm về ràng buộc thuộc tính tham chiếu Bộ dữ liệu hồ sơ đăng ký thay đổi, cải chính, bổ sung thông tin hộ tịch, xác định lại dân tộc. Hệ thống ghi nhận quy tắc được thiết lập.</v>
      </c>
      <c r="H241" s="36" t="s">
        <v>5</v>
      </c>
      <c r="I241" s="36" t="s">
        <v>6</v>
      </c>
    </row>
    <row r="242" spans="1:9" ht="148.5">
      <c r="A242" s="36">
        <f>COUNTA($D$4:D242)</f>
        <v>194</v>
      </c>
      <c r="B242" s="38" t="str">
        <f>"Thiết lập quy tắc biến đổi " &amp;C242</f>
        <v>Thiết lập quy tắc biến đổi Bộ dữ liệu hồ sơ đăng ký thay đổi, cải chính, bổ sung thông tin hộ tịch, xác định lại dân tộc</v>
      </c>
      <c r="C242" s="43" t="s">
        <v>62</v>
      </c>
      <c r="D242" s="34" t="s">
        <v>28</v>
      </c>
      <c r="E242" s="35"/>
      <c r="F242" s="38"/>
      <c r="G242" s="38" t="str">
        <f>"1. "&amp;D242&amp; " thực hiện cấu hình kiểm tra quy tắc biến đổi định dạng về " &amp;C242&amp; ". Hệ thống ghi nhận quy tắc được thiết lập.
2. " &amp;D242&amp;" có thể cấu hình biến đổi gộp hoặc tách cột về "&amp;C242&amp;". Hệ thống ghi nhận quy tắc được thiết lập.
3. " &amp;D242&amp;" có thể cấu hình phân loại, gán nhãn về "&amp;C242&amp;". Hệ thống ghi nhận quy tắc được thiết lập."</f>
        <v>1. Quản trị hệ thống thực hiện cấu hình kiểm tra quy tắc biến đổi định dạng về Bộ dữ liệu hồ sơ đăng ký thay đổi, cải chính, bổ sung thông tin hộ tịch, xác định lại dân tộc. Hệ thống ghi nhận quy tắc được thiết lập.
2. Quản trị hệ thống có thể cấu hình biến đổi gộp hoặc tách cột về Bộ dữ liệu hồ sơ đăng ký thay đổi, cải chính, bổ sung thông tin hộ tịch, xác định lại dân tộc. Hệ thống ghi nhận quy tắc được thiết lập.
3. Quản trị hệ thống có thể cấu hình phân loại, gán nhãn về Bộ dữ liệu hồ sơ đăng ký thay đổi, cải chính, bổ sung thông tin hộ tịch, xác định lại dân tộc. Hệ thống ghi nhận quy tắc được thiết lập.</v>
      </c>
      <c r="H242" s="36" t="s">
        <v>5</v>
      </c>
      <c r="I242" s="36" t="s">
        <v>6</v>
      </c>
    </row>
    <row r="243" spans="1:9" ht="148.5">
      <c r="A243" s="36">
        <f>COUNTA($D$4:D243)</f>
        <v>195</v>
      </c>
      <c r="B243" s="38" t="str">
        <f t="shared" si="34"/>
        <v>Thiết lập quy tắc làm sạch Bộ dữ liệu hồ sơ đăng ký giám sát việc giám hộ</v>
      </c>
      <c r="C243" s="43" t="s">
        <v>63</v>
      </c>
      <c r="D243" s="34" t="s">
        <v>28</v>
      </c>
      <c r="E243" s="35"/>
      <c r="F243" s="38"/>
      <c r="G243" s="38" t="str">
        <f>"1. "&amp;D243&amp; " thực hiện cấu hình kiểm tra quy tắc về chuẩn định dạng " &amp;C243&amp; ". Hệ thống ghi nhận quy tắc được thiết lập.
2. " &amp;D243&amp;" có thể cấu hình kiểm tra tính hợp lệ về "&amp;C243&amp;". Hệ thống ghi nhận quy tắc được thiết lập.
3. " &amp;D243&amp;" có thể cấu hình xử lý giá trị thiếu về "&amp;C243&amp;". Hệ thống ghi nhận quy tắc được thiết lập.
4. " &amp;D243&amp;" có thể cấu hình xử lý loại bỏ hoặc thay thế giá trị ngoại lệ về "&amp;C243&amp;". Hệ thống ghi nhận quy tắc được thiết lập"</f>
        <v>1. Quản trị hệ thống thực hiện cấu hình kiểm tra quy tắc về chuẩn định dạng Bộ dữ liệu hồ sơ đăng ký giám sát việc giám hộ. Hệ thống ghi nhận quy tắc được thiết lập.
2. Quản trị hệ thống có thể cấu hình kiểm tra tính hợp lệ về Bộ dữ liệu hồ sơ đăng ký giám sát việc giám hộ. Hệ thống ghi nhận quy tắc được thiết lập.
3. Quản trị hệ thống có thể cấu hình xử lý giá trị thiếu về Bộ dữ liệu hồ sơ đăng ký giám sát việc giám hộ. Hệ thống ghi nhận quy tắc được thiết lập.
4. Quản trị hệ thống có thể cấu hình xử lý loại bỏ hoặc thay thế giá trị ngoại lệ về Bộ dữ liệu hồ sơ đăng ký giám sát việc giám hộ. Hệ thống ghi nhận quy tắc được thiết lập</v>
      </c>
      <c r="H243" s="36" t="s">
        <v>5</v>
      </c>
      <c r="I243" s="36" t="s">
        <v>7</v>
      </c>
    </row>
    <row r="244" spans="1:9" ht="132">
      <c r="A244" s="36">
        <f>COUNTA($D$4:D244)</f>
        <v>196</v>
      </c>
      <c r="B244" s="38" t="str">
        <f>"Thiết lập quy tắc chuẩn hóa " &amp;C244</f>
        <v>Thiết lập quy tắc chuẩn hóa Bộ dữ liệu hồ sơ đăng ký giám sát việc giám hộ</v>
      </c>
      <c r="C244" s="43" t="s">
        <v>63</v>
      </c>
      <c r="D244" s="34" t="s">
        <v>28</v>
      </c>
      <c r="E244" s="35"/>
      <c r="F244" s="38"/>
      <c r="G244" s="38" t="str">
        <f>"1. "&amp;D244&amp; " thực hiện cấu hình kiểm tra đối sánh tồn tại dựa trên trường khóa của " &amp;C244&amp; ". Hệ thống ghi nhận quy tắc được thiết lập.
2. " &amp;D244&amp;" có thể cấu hình xử lý trùng lặp về "&amp;C244&amp;". Hệ thống ghi nhận quy tắc được thiết lập.
3. " &amp;D244&amp;" có thể cấu hình xử lý vi phạm về ràng buộc thuộc tính tham chiếu "&amp;C244&amp;". Hệ thống ghi nhận quy tắc được thiết lập."</f>
        <v>1. Quản trị hệ thống thực hiện cấu hình kiểm tra đối sánh tồn tại dựa trên trường khóa của Bộ dữ liệu hồ sơ đăng ký giám sát việc giám hộ. Hệ thống ghi nhận quy tắc được thiết lập.
2. Quản trị hệ thống có thể cấu hình xử lý trùng lặp về Bộ dữ liệu hồ sơ đăng ký giám sát việc giám hộ. Hệ thống ghi nhận quy tắc được thiết lập.
3. Quản trị hệ thống có thể cấu hình xử lý vi phạm về ràng buộc thuộc tính tham chiếu Bộ dữ liệu hồ sơ đăng ký giám sát việc giám hộ. Hệ thống ghi nhận quy tắc được thiết lập.</v>
      </c>
      <c r="H244" s="36" t="s">
        <v>5</v>
      </c>
      <c r="I244" s="36" t="s">
        <v>6</v>
      </c>
    </row>
    <row r="245" spans="1:9" ht="99">
      <c r="A245" s="36">
        <f>COUNTA($D$4:D245)</f>
        <v>197</v>
      </c>
      <c r="B245" s="38" t="str">
        <f>"Thiết lập quy tắc biến đổi " &amp;C245</f>
        <v>Thiết lập quy tắc biến đổi Bộ dữ liệu hồ sơ đăng ký giám sát việc giám hộ</v>
      </c>
      <c r="C245" s="43" t="s">
        <v>63</v>
      </c>
      <c r="D245" s="34" t="s">
        <v>28</v>
      </c>
      <c r="E245" s="35"/>
      <c r="F245" s="38"/>
      <c r="G245" s="38" t="str">
        <f>"1. "&amp;D245&amp; " thực hiện cấu hình kiểm tra quy tắc biến đổi định dạng về " &amp;C245&amp; ". Hệ thống ghi nhận quy tắc được thiết lập.
2. " &amp;D245&amp;" có thể cấu hình biến đổi gộp hoặc tách cột về "&amp;C245&amp;". Hệ thống ghi nhận quy tắc được thiết lập.
3. " &amp;D245&amp;" có thể cấu hình phân loại, gán nhãn về "&amp;C245&amp;". Hệ thống ghi nhận quy tắc được thiết lập."</f>
        <v>1. Quản trị hệ thống thực hiện cấu hình kiểm tra quy tắc biến đổi định dạng về Bộ dữ liệu hồ sơ đăng ký giám sát việc giám hộ. Hệ thống ghi nhận quy tắc được thiết lập.
2. Quản trị hệ thống có thể cấu hình biến đổi gộp hoặc tách cột về Bộ dữ liệu hồ sơ đăng ký giám sát việc giám hộ. Hệ thống ghi nhận quy tắc được thiết lập.
3. Quản trị hệ thống có thể cấu hình phân loại, gán nhãn về Bộ dữ liệu hồ sơ đăng ký giám sát việc giám hộ. Hệ thống ghi nhận quy tắc được thiết lập.</v>
      </c>
      <c r="H245" s="36" t="s">
        <v>5</v>
      </c>
      <c r="I245" s="36" t="s">
        <v>6</v>
      </c>
    </row>
    <row r="246" spans="1:9" ht="165">
      <c r="A246" s="36">
        <f>COUNTA($D$4:D246)</f>
        <v>198</v>
      </c>
      <c r="B246" s="38" t="str">
        <f t="shared" si="34"/>
        <v>Thiết lập quy tắc làm sạch Bộ dữ liệu hồ sơ đăng ký chấm dứt giám sát việc giám hộ</v>
      </c>
      <c r="C246" s="43" t="s">
        <v>64</v>
      </c>
      <c r="D246" s="34" t="s">
        <v>28</v>
      </c>
      <c r="E246" s="35"/>
      <c r="F246" s="38"/>
      <c r="G246" s="38" t="str">
        <f>"1. "&amp;D246&amp; " thực hiện cấu hình kiểm tra quy tắc về chuẩn định dạng " &amp;C246&amp; ". Hệ thống ghi nhận quy tắc được thiết lập.
2. " &amp;D246&amp;" có thể cấu hình kiểm tra tính hợp lệ về "&amp;C246&amp;". Hệ thống ghi nhận quy tắc được thiết lập.
3. " &amp;D246&amp;" có thể cấu hình xử lý giá trị thiếu về "&amp;C246&amp;". Hệ thống ghi nhận quy tắc được thiết lập.
4. " &amp;D246&amp;" có thể cấu hình xử lý loại bỏ hoặc thay thế giá trị ngoại lệ về "&amp;C246&amp;". Hệ thống ghi nhận quy tắc được thiết lập"</f>
        <v>1. Quản trị hệ thống thực hiện cấu hình kiểm tra quy tắc về chuẩn định dạng Bộ dữ liệu hồ sơ đăng ký chấm dứt giám sát việc giám hộ. Hệ thống ghi nhận quy tắc được thiết lập.
2. Quản trị hệ thống có thể cấu hình kiểm tra tính hợp lệ về Bộ dữ liệu hồ sơ đăng ký chấm dứt giám sát việc giám hộ. Hệ thống ghi nhận quy tắc được thiết lập.
3. Quản trị hệ thống có thể cấu hình xử lý giá trị thiếu về Bộ dữ liệu hồ sơ đăng ký chấm dứt giám sát việc giám hộ. Hệ thống ghi nhận quy tắc được thiết lập.
4. Quản trị hệ thống có thể cấu hình xử lý loại bỏ hoặc thay thế giá trị ngoại lệ về Bộ dữ liệu hồ sơ đăng ký chấm dứt giám sát việc giám hộ. Hệ thống ghi nhận quy tắc được thiết lập</v>
      </c>
      <c r="H246" s="36" t="s">
        <v>5</v>
      </c>
      <c r="I246" s="36" t="s">
        <v>7</v>
      </c>
    </row>
    <row r="247" spans="1:9" ht="132">
      <c r="A247" s="36">
        <f>COUNTA($D$4:D247)</f>
        <v>199</v>
      </c>
      <c r="B247" s="38" t="str">
        <f>"Thiết lập quy tắc chuẩn hóa " &amp;C247</f>
        <v>Thiết lập quy tắc chuẩn hóa Bộ dữ liệu hồ sơ đăng ký chấm dứt giám sát việc giám hộ</v>
      </c>
      <c r="C247" s="43" t="s">
        <v>64</v>
      </c>
      <c r="D247" s="34" t="s">
        <v>28</v>
      </c>
      <c r="E247" s="35"/>
      <c r="F247" s="38"/>
      <c r="G247" s="38" t="str">
        <f>"1. "&amp;D247&amp; " thực hiện cấu hình kiểm tra đối sánh tồn tại dựa trên trường khóa của " &amp;C247&amp; ". Hệ thống ghi nhận quy tắc được thiết lập.
2. " &amp;D247&amp;" có thể cấu hình xử lý trùng lặp về "&amp;C247&amp;". Hệ thống ghi nhận quy tắc được thiết lập.
3. " &amp;D247&amp;" có thể cấu hình xử lý vi phạm về ràng buộc thuộc tính tham chiếu "&amp;C247&amp;". Hệ thống ghi nhận quy tắc được thiết lập."</f>
        <v>1. Quản trị hệ thống thực hiện cấu hình kiểm tra đối sánh tồn tại dựa trên trường khóa của Bộ dữ liệu hồ sơ đăng ký chấm dứt giám sát việc giám hộ. Hệ thống ghi nhận quy tắc được thiết lập.
2. Quản trị hệ thống có thể cấu hình xử lý trùng lặp về Bộ dữ liệu hồ sơ đăng ký chấm dứt giám sát việc giám hộ. Hệ thống ghi nhận quy tắc được thiết lập.
3. Quản trị hệ thống có thể cấu hình xử lý vi phạm về ràng buộc thuộc tính tham chiếu Bộ dữ liệu hồ sơ đăng ký chấm dứt giám sát việc giám hộ. Hệ thống ghi nhận quy tắc được thiết lập.</v>
      </c>
      <c r="H247" s="36" t="s">
        <v>5</v>
      </c>
      <c r="I247" s="36" t="s">
        <v>6</v>
      </c>
    </row>
    <row r="248" spans="1:9" ht="115.5">
      <c r="A248" s="36">
        <f>COUNTA($D$4:D248)</f>
        <v>200</v>
      </c>
      <c r="B248" s="38" t="str">
        <f>"Thiết lập quy tắc biến đổi " &amp;C248</f>
        <v>Thiết lập quy tắc biến đổi Bộ dữ liệu hồ sơ đăng ký chấm dứt giám sát việc giám hộ</v>
      </c>
      <c r="C248" s="43" t="s">
        <v>64</v>
      </c>
      <c r="D248" s="34" t="s">
        <v>28</v>
      </c>
      <c r="E248" s="35"/>
      <c r="F248" s="38"/>
      <c r="G248" s="38" t="str">
        <f>"1. "&amp;D248&amp; " thực hiện cấu hình kiểm tra quy tắc biến đổi định dạng về " &amp;C248&amp; ". Hệ thống ghi nhận quy tắc được thiết lập.
2. " &amp;D248&amp;" có thể cấu hình biến đổi gộp hoặc tách cột về "&amp;C248&amp;". Hệ thống ghi nhận quy tắc được thiết lập.
3. " &amp;D248&amp;" có thể cấu hình phân loại, gán nhãn về "&amp;C248&amp;". Hệ thống ghi nhận quy tắc được thiết lập."</f>
        <v>1. Quản trị hệ thống thực hiện cấu hình kiểm tra quy tắc biến đổi định dạng về Bộ dữ liệu hồ sơ đăng ký chấm dứt giám sát việc giám hộ. Hệ thống ghi nhận quy tắc được thiết lập.
2. Quản trị hệ thống có thể cấu hình biến đổi gộp hoặc tách cột về Bộ dữ liệu hồ sơ đăng ký chấm dứt giám sát việc giám hộ. Hệ thống ghi nhận quy tắc được thiết lập.
3. Quản trị hệ thống có thể cấu hình phân loại, gán nhãn về Bộ dữ liệu hồ sơ đăng ký chấm dứt giám sát việc giám hộ. Hệ thống ghi nhận quy tắc được thiết lập.</v>
      </c>
      <c r="H248" s="36" t="s">
        <v>5</v>
      </c>
      <c r="I248" s="36" t="s">
        <v>6</v>
      </c>
    </row>
    <row r="249" spans="1:9" ht="214.5">
      <c r="A249" s="36">
        <f>COUNTA($D$4:D249)</f>
        <v>201</v>
      </c>
      <c r="B249" s="38" t="str">
        <f t="shared" si="34"/>
        <v>Thiết lập quy tắc làm sạch Bộ dữ liệu hồ sơ ghi vào sổ việc ly hôn/hủy việc kết hôn đã thực hiện tại cơ quan có thẩm quyền của nước ngoài (ghi chú ly hôn)</v>
      </c>
      <c r="C249" s="43" t="s">
        <v>65</v>
      </c>
      <c r="D249" s="34" t="s">
        <v>28</v>
      </c>
      <c r="E249" s="35"/>
      <c r="F249" s="38"/>
      <c r="G249" s="38" t="str">
        <f>"1. "&amp;D249&amp; " thực hiện cấu hình kiểm tra quy tắc về chuẩn định dạng " &amp;C249&amp; ". Hệ thống ghi nhận quy tắc được thiết lập.
2. " &amp;D249&amp;" có thể cấu hình kiểm tra tính hợp lệ về "&amp;C249&amp;". Hệ thống ghi nhận quy tắc được thiết lập.
3. " &amp;D249&amp;" có thể cấu hình xử lý giá trị thiếu về "&amp;C249&amp;". Hệ thống ghi nhận quy tắc được thiết lập.
4. " &amp;D249&amp;" có thể cấu hình xử lý loại bỏ hoặc thay thế giá trị ngoại lệ về "&amp;C249&amp;". Hệ thống ghi nhận quy tắc được thiết lập"</f>
        <v>1. Quản trị hệ thống thực hiện cấu hình kiểm tra quy tắc về chuẩn định dạng Bộ dữ liệu hồ sơ ghi vào sổ việc ly hôn/hủy việc kết hôn đã thực hiện tại cơ quan có thẩm quyền của nước ngoài (ghi chú ly hôn). Hệ thống ghi nhận quy tắc được thiết lập.
2. Quản trị hệ thống có thể cấu hình kiểm tra tính hợp lệ về Bộ dữ liệu hồ sơ ghi vào sổ việc ly hôn/hủy việc kết hôn đã thực hiện tại cơ quan có thẩm quyền của nước ngoài (ghi chú ly hôn). Hệ thống ghi nhận quy tắc được thiết lập.
3. Quản trị hệ thống có thể cấu hình xử lý giá trị thiếu về Bộ dữ liệu hồ sơ ghi vào sổ việc ly hôn/hủy việc kết hôn đã thực hiện tại cơ quan có thẩm quyền của nước ngoài (ghi chú ly hôn). Hệ thống ghi nhận quy tắc được thiết lập.
4. Quản trị hệ thống có thể cấu hình xử lý loại bỏ hoặc thay thế giá trị ngoại lệ về Bộ dữ liệu hồ sơ ghi vào sổ việc ly hôn/hủy việc kết hôn đã thực hiện tại cơ quan có thẩm quyền của nước ngoài (ghi chú ly hôn). Hệ thống ghi nhận quy tắc được thiết lập</v>
      </c>
      <c r="H249" s="36" t="s">
        <v>5</v>
      </c>
      <c r="I249" s="36" t="s">
        <v>7</v>
      </c>
    </row>
    <row r="250" spans="1:9" ht="181.5">
      <c r="A250" s="36">
        <f>COUNTA($D$4:D250)</f>
        <v>202</v>
      </c>
      <c r="B250" s="38" t="str">
        <f>"Thiết lập quy tắc chuẩn hóa " &amp;C250</f>
        <v>Thiết lập quy tắc chuẩn hóa Bộ dữ liệu hồ sơ ghi vào sổ việc ly hôn/hủy việc kết hôn đã thực hiện tại cơ quan có thẩm quyền của nước ngoài (ghi chú ly hôn)</v>
      </c>
      <c r="C250" s="43" t="s">
        <v>65</v>
      </c>
      <c r="D250" s="34" t="s">
        <v>28</v>
      </c>
      <c r="E250" s="35"/>
      <c r="F250" s="38"/>
      <c r="G250" s="38" t="str">
        <f>"1. "&amp;D250&amp; " thực hiện cấu hình kiểm tra đối sánh tồn tại dựa trên trường khóa của " &amp;C250&amp; ". Hệ thống ghi nhận quy tắc được thiết lập.
2. " &amp;D250&amp;" có thể cấu hình xử lý trùng lặp về "&amp;C250&amp;". Hệ thống ghi nhận quy tắc được thiết lập.
3. " &amp;D250&amp;" có thể cấu hình xử lý vi phạm về ràng buộc thuộc tính tham chiếu "&amp;C250&amp;". Hệ thống ghi nhận quy tắc được thiết lập."</f>
        <v>1. Quản trị hệ thống thực hiện cấu hình kiểm tra đối sánh tồn tại dựa trên trường khóa của Bộ dữ liệu hồ sơ ghi vào sổ việc ly hôn/hủy việc kết hôn đã thực hiện tại cơ quan có thẩm quyền của nước ngoài (ghi chú ly hôn). Hệ thống ghi nhận quy tắc được thiết lập.
2. Quản trị hệ thống có thể cấu hình xử lý trùng lặp về Bộ dữ liệu hồ sơ ghi vào sổ việc ly hôn/hủy việc kết hôn đã thực hiện tại cơ quan có thẩm quyền của nước ngoài (ghi chú ly hôn). Hệ thống ghi nhận quy tắc được thiết lập.
3. Quản trị hệ thống có thể cấu hình xử lý vi phạm về ràng buộc thuộc tính tham chiếu Bộ dữ liệu hồ sơ ghi vào sổ việc ly hôn/hủy việc kết hôn đã thực hiện tại cơ quan có thẩm quyền của nước ngoài (ghi chú ly hôn). Hệ thống ghi nhận quy tắc được thiết lập.</v>
      </c>
      <c r="H250" s="36" t="s">
        <v>5</v>
      </c>
      <c r="I250" s="36" t="s">
        <v>6</v>
      </c>
    </row>
    <row r="251" spans="1:9" ht="148.5">
      <c r="A251" s="36">
        <f>COUNTA($D$4:D251)</f>
        <v>203</v>
      </c>
      <c r="B251" s="38" t="str">
        <f>"Thiết lập quy tắc biến đổi " &amp;C251</f>
        <v>Thiết lập quy tắc biến đổi Bộ dữ liệu hồ sơ ghi vào sổ việc ly hôn/hủy việc kết hôn đã thực hiện tại cơ quan có thẩm quyền của nước ngoài (ghi chú ly hôn)</v>
      </c>
      <c r="C251" s="43" t="s">
        <v>65</v>
      </c>
      <c r="D251" s="34" t="s">
        <v>28</v>
      </c>
      <c r="E251" s="35"/>
      <c r="F251" s="38"/>
      <c r="G251" s="38" t="str">
        <f>"1. "&amp;D251&amp; " thực hiện cấu hình kiểm tra quy tắc biến đổi định dạng về " &amp;C251&amp; ". Hệ thống ghi nhận quy tắc được thiết lập.
2. " &amp;D251&amp;" có thể cấu hình biến đổi gộp hoặc tách cột về "&amp;C251&amp;". Hệ thống ghi nhận quy tắc được thiết lập.
3. " &amp;D251&amp;" có thể cấu hình phân loại, gán nhãn về "&amp;C251&amp;". Hệ thống ghi nhận quy tắc được thiết lập."</f>
        <v>1. Quản trị hệ thống thực hiện cấu hình kiểm tra quy tắc biến đổi định dạng về Bộ dữ liệu hồ sơ ghi vào sổ việc ly hôn/hủy việc kết hôn đã thực hiện tại cơ quan có thẩm quyền của nước ngoài (ghi chú ly hôn). Hệ thống ghi nhận quy tắc được thiết lập.
2. Quản trị hệ thống có thể cấu hình biến đổi gộp hoặc tách cột về Bộ dữ liệu hồ sơ ghi vào sổ việc ly hôn/hủy việc kết hôn đã thực hiện tại cơ quan có thẩm quyền của nước ngoài (ghi chú ly hôn). Hệ thống ghi nhận quy tắc được thiết lập.
3. Quản trị hệ thống có thể cấu hình phân loại, gán nhãn về Bộ dữ liệu hồ sơ ghi vào sổ việc ly hôn/hủy việc kết hôn đã thực hiện tại cơ quan có thẩm quyền của nước ngoài (ghi chú ly hôn). Hệ thống ghi nhận quy tắc được thiết lập.</v>
      </c>
      <c r="H251" s="36" t="s">
        <v>5</v>
      </c>
      <c r="I251" s="36" t="s">
        <v>6</v>
      </c>
    </row>
    <row r="252" spans="1:9" ht="33">
      <c r="A252" s="41" t="s">
        <v>171</v>
      </c>
      <c r="B252" s="44" t="s">
        <v>67</v>
      </c>
      <c r="C252" s="44"/>
      <c r="D252" s="34"/>
      <c r="E252" s="35"/>
      <c r="F252" s="35"/>
      <c r="G252" s="38"/>
      <c r="H252" s="36"/>
      <c r="I252" s="36"/>
    </row>
    <row r="253" spans="1:9" ht="132">
      <c r="A253" s="36">
        <f>COUNTA($D$4:D253)</f>
        <v>204</v>
      </c>
      <c r="B253" s="38" t="str">
        <f t="shared" ref="B253" si="35">"Thiết lập quy tắc làm sạch " &amp;C253</f>
        <v>Thiết lập quy tắc làm sạch Nhập Quốc tịch</v>
      </c>
      <c r="C253" s="45" t="s">
        <v>68</v>
      </c>
      <c r="D253" s="34" t="s">
        <v>28</v>
      </c>
      <c r="E253" s="35"/>
      <c r="F253" s="38"/>
      <c r="G253" s="38" t="str">
        <f>"1. "&amp;D253&amp; " thực hiện cấu hình kiểm tra quy tắc về chuẩn định dạng " &amp;C253&amp; ". Hệ thống ghi nhận quy tắc được thiết lập.
2. " &amp;D253&amp;" có thể cấu hình kiểm tra tính hợp lệ của dữ liệu về "&amp;C253&amp;". Hệ thống ghi nhận quy tắc được thiết lập.
3. " &amp;D253&amp;" có thể cấu hình xử lý giá trị thiếu dữ liệu về "&amp;C253&amp;". Hệ thống ghi nhận quy tắc được thiết lập.
4. " &amp;D253&amp;" có thể cấu hình xử lý loại bỏ hoặc thay thế giá trị ngoại lệ về "&amp;C253&amp;". Hệ thống ghi nhận quy tắc được thiết lập"</f>
        <v>1. Quản trị hệ thống thực hiện cấu hình kiểm tra quy tắc về chuẩn định dạng Nhập Quốc tịch. Hệ thống ghi nhận quy tắc được thiết lập.
2. Quản trị hệ thống có thể cấu hình kiểm tra tính hợp lệ của dữ liệu về Nhập Quốc tịch. Hệ thống ghi nhận quy tắc được thiết lập.
3. Quản trị hệ thống có thể cấu hình xử lý giá trị thiếu dữ liệu về Nhập Quốc tịch. Hệ thống ghi nhận quy tắc được thiết lập.
4. Quản trị hệ thống có thể cấu hình xử lý loại bỏ hoặc thay thế giá trị ngoại lệ về Nhập Quốc tịch. Hệ thống ghi nhận quy tắc được thiết lập</v>
      </c>
      <c r="H253" s="36" t="s">
        <v>5</v>
      </c>
      <c r="I253" s="36" t="s">
        <v>7</v>
      </c>
    </row>
    <row r="254" spans="1:9" ht="99">
      <c r="A254" s="36">
        <f>COUNTA($D$4:D254)</f>
        <v>205</v>
      </c>
      <c r="B254" s="38" t="str">
        <f>"Thiết lập quy tắc chuẩn hóa " &amp;C254</f>
        <v>Thiết lập quy tắc chuẩn hóa Nhập Quốc tịch</v>
      </c>
      <c r="C254" s="45" t="s">
        <v>68</v>
      </c>
      <c r="D254" s="34" t="s">
        <v>28</v>
      </c>
      <c r="E254" s="35"/>
      <c r="F254" s="38"/>
      <c r="G254" s="38" t="str">
        <f>"1. "&amp;D254&amp; " thực hiện cấu hình kiểm tra đối sánh tồn tại dựa trên trường khóa của " &amp;C254&amp; ". Hệ thống ghi nhận quy tắc được thiết lập.
2. " &amp;D254&amp;" có thể cấu hình xử lý trùng lặp về "&amp;C254&amp;". Hệ thống ghi nhận quy tắc được thiết lập.
3. " &amp;D254&amp;" có thể cấu hình xử lý vi phạm về ràng buộc thuộc tính tham chiếu "&amp;C254&amp;". Hệ thống ghi nhận quy tắc được thiết lập."</f>
        <v>1. Quản trị hệ thống thực hiện cấu hình kiểm tra đối sánh tồn tại dựa trên trường khóa của Nhập Quốc tịch. Hệ thống ghi nhận quy tắc được thiết lập.
2. Quản trị hệ thống có thể cấu hình xử lý trùng lặp về Nhập Quốc tịch. Hệ thống ghi nhận quy tắc được thiết lập.
3. Quản trị hệ thống có thể cấu hình xử lý vi phạm về ràng buộc thuộc tính tham chiếu Nhập Quốc tịch. Hệ thống ghi nhận quy tắc được thiết lập.</v>
      </c>
      <c r="H254" s="36" t="s">
        <v>5</v>
      </c>
      <c r="I254" s="36" t="s">
        <v>6</v>
      </c>
    </row>
    <row r="255" spans="1:9" ht="99">
      <c r="A255" s="36">
        <f>COUNTA($D$4:D255)</f>
        <v>206</v>
      </c>
      <c r="B255" s="38" t="str">
        <f>"Thiết lập quy tắc biến đổi " &amp;C255</f>
        <v>Thiết lập quy tắc biến đổi Nhập Quốc tịch</v>
      </c>
      <c r="C255" s="45" t="s">
        <v>68</v>
      </c>
      <c r="D255" s="34" t="s">
        <v>28</v>
      </c>
      <c r="E255" s="35"/>
      <c r="F255" s="38"/>
      <c r="G255" s="38" t="str">
        <f>"1. "&amp;D255&amp; " thực hiện cấu hình kiểm tra quy tắc biến đổi định dạng dữ liệu về " &amp;C255&amp; ". Hệ thống ghi nhận quy tắc được thiết lập.
2. " &amp;D255&amp;" có thể cấu hình biến đổi gộp hoặc tách cột dữ liệu về "&amp;C255&amp;". Hệ thống ghi nhận quy tắc được thiết lập.
3. " &amp;D255&amp;" có thể cấu hình phân loại, gán nhãn dữ liệu về "&amp;C255&amp;". Hệ thống ghi nhận quy tắc được thiết lập."</f>
        <v>1. Quản trị hệ thống thực hiện cấu hình kiểm tra quy tắc biến đổi định dạng dữ liệu về Nhập Quốc tịch. Hệ thống ghi nhận quy tắc được thiết lập.
2. Quản trị hệ thống có thể cấu hình biến đổi gộp hoặc tách cột dữ liệu về Nhập Quốc tịch. Hệ thống ghi nhận quy tắc được thiết lập.
3. Quản trị hệ thống có thể cấu hình phân loại, gán nhãn dữ liệu về Nhập Quốc tịch. Hệ thống ghi nhận quy tắc được thiết lập.</v>
      </c>
      <c r="H255" s="36" t="s">
        <v>5</v>
      </c>
      <c r="I255" s="36" t="s">
        <v>6</v>
      </c>
    </row>
    <row r="256" spans="1:9" ht="132">
      <c r="A256" s="36">
        <f>COUNTA($D$4:D256)</f>
        <v>207</v>
      </c>
      <c r="B256" s="38" t="str">
        <f t="shared" ref="B256" si="36">"Thiết lập quy tắc làm sạch " &amp;C256</f>
        <v>Thiết lập quy tắc làm sạch Thôi Quốc tịch</v>
      </c>
      <c r="C256" s="45" t="s">
        <v>70</v>
      </c>
      <c r="D256" s="34" t="s">
        <v>28</v>
      </c>
      <c r="E256" s="35"/>
      <c r="F256" s="38"/>
      <c r="G256" s="38" t="str">
        <f>"1. "&amp;D256&amp; " thực hiện cấu hình kiểm tra quy tắc về chuẩn định dạng " &amp;C256&amp; ". Hệ thống ghi nhận quy tắc được thiết lập.
2. " &amp;D256&amp;" có thể cấu hình kiểm tra tính hợp lệ của dữ liệu về "&amp;C256&amp;". Hệ thống ghi nhận quy tắc được thiết lập.
3. " &amp;D256&amp;" có thể cấu hình xử lý giá trị thiếu dữ liệu về "&amp;C256&amp;". Hệ thống ghi nhận quy tắc được thiết lập.
4. " &amp;D256&amp;" có thể cấu hình xử lý loại bỏ hoặc thay thế giá trị ngoại lệ về "&amp;C256&amp;". Hệ thống ghi nhận quy tắc được thiết lập"</f>
        <v>1. Quản trị hệ thống thực hiện cấu hình kiểm tra quy tắc về chuẩn định dạng Thôi Quốc tịch. Hệ thống ghi nhận quy tắc được thiết lập.
2. Quản trị hệ thống có thể cấu hình kiểm tra tính hợp lệ của dữ liệu về Thôi Quốc tịch. Hệ thống ghi nhận quy tắc được thiết lập.
3. Quản trị hệ thống có thể cấu hình xử lý giá trị thiếu dữ liệu về Thôi Quốc tịch. Hệ thống ghi nhận quy tắc được thiết lập.
4. Quản trị hệ thống có thể cấu hình xử lý loại bỏ hoặc thay thế giá trị ngoại lệ về Thôi Quốc tịch. Hệ thống ghi nhận quy tắc được thiết lập</v>
      </c>
      <c r="H256" s="36" t="s">
        <v>5</v>
      </c>
      <c r="I256" s="36" t="s">
        <v>7</v>
      </c>
    </row>
    <row r="257" spans="1:9" ht="99">
      <c r="A257" s="36">
        <f>COUNTA($D$4:D257)</f>
        <v>208</v>
      </c>
      <c r="B257" s="38" t="str">
        <f>"Thiết lập quy tắc chuẩn hóa " &amp;C257</f>
        <v>Thiết lập quy tắc chuẩn hóa Thôi Quốc tịch</v>
      </c>
      <c r="C257" s="45" t="s">
        <v>70</v>
      </c>
      <c r="D257" s="34" t="s">
        <v>28</v>
      </c>
      <c r="E257" s="35"/>
      <c r="F257" s="38"/>
      <c r="G257" s="38" t="str">
        <f>"1. "&amp;D257&amp; " thực hiện cấu hình kiểm tra đối sánh tồn tại dựa trên trường khóa của " &amp;C257&amp; ". Hệ thống ghi nhận quy tắc được thiết lập.
2. " &amp;D257&amp;" có thể cấu hình xử lý trùng lặp về "&amp;C257&amp;". Hệ thống ghi nhận quy tắc được thiết lập.
3. " &amp;D257&amp;" có thể cấu hình xử lý vi phạm về ràng buộc thuộc tính tham chiếu "&amp;C257&amp;". Hệ thống ghi nhận quy tắc được thiết lập."</f>
        <v>1. Quản trị hệ thống thực hiện cấu hình kiểm tra đối sánh tồn tại dựa trên trường khóa của Thôi Quốc tịch. Hệ thống ghi nhận quy tắc được thiết lập.
2. Quản trị hệ thống có thể cấu hình xử lý trùng lặp về Thôi Quốc tịch. Hệ thống ghi nhận quy tắc được thiết lập.
3. Quản trị hệ thống có thể cấu hình xử lý vi phạm về ràng buộc thuộc tính tham chiếu Thôi Quốc tịch. Hệ thống ghi nhận quy tắc được thiết lập.</v>
      </c>
      <c r="H257" s="36" t="s">
        <v>5</v>
      </c>
      <c r="I257" s="36" t="s">
        <v>6</v>
      </c>
    </row>
    <row r="258" spans="1:9" ht="99">
      <c r="A258" s="36">
        <f>COUNTA($D$4:D258)</f>
        <v>209</v>
      </c>
      <c r="B258" s="38" t="str">
        <f>"Thiết lập quy tắc biến đổi " &amp;C258</f>
        <v>Thiết lập quy tắc biến đổi Thôi Quốc tịch</v>
      </c>
      <c r="C258" s="45" t="s">
        <v>70</v>
      </c>
      <c r="D258" s="34" t="s">
        <v>28</v>
      </c>
      <c r="E258" s="35"/>
      <c r="F258" s="38"/>
      <c r="G258" s="38" t="str">
        <f>"1. "&amp;D258&amp; " thực hiện cấu hình kiểm tra quy tắc biến đổi định dạng dữ liệu về " &amp;C258&amp; ". Hệ thống ghi nhận quy tắc được thiết lập.
2. " &amp;D258&amp;" có thể cấu hình biến đổi gộp hoặc tách cột dữ liệu về "&amp;C258&amp;". Hệ thống ghi nhận quy tắc được thiết lập.
3. " &amp;D258&amp;" có thể cấu hình phân loại, gán nhãn dữ liệu về "&amp;C258&amp;". Hệ thống ghi nhận quy tắc được thiết lập."</f>
        <v>1. Quản trị hệ thống thực hiện cấu hình kiểm tra quy tắc biến đổi định dạng dữ liệu về Thôi Quốc tịch. Hệ thống ghi nhận quy tắc được thiết lập.
2. Quản trị hệ thống có thể cấu hình biến đổi gộp hoặc tách cột dữ liệu về Thôi Quốc tịch. Hệ thống ghi nhận quy tắc được thiết lập.
3. Quản trị hệ thống có thể cấu hình phân loại, gán nhãn dữ liệu về Thôi Quốc tịch. Hệ thống ghi nhận quy tắc được thiết lập.</v>
      </c>
      <c r="H258" s="36" t="s">
        <v>5</v>
      </c>
      <c r="I258" s="36" t="s">
        <v>6</v>
      </c>
    </row>
    <row r="259" spans="1:9" ht="132">
      <c r="A259" s="36">
        <f>COUNTA($D$4:D259)</f>
        <v>210</v>
      </c>
      <c r="B259" s="38" t="str">
        <f t="shared" ref="B259" si="37">"Thiết lập quy tắc làm sạch " &amp;C259</f>
        <v>Thiết lập quy tắc làm sạch Trở lại Quốc tịch</v>
      </c>
      <c r="C259" s="45" t="s">
        <v>71</v>
      </c>
      <c r="D259" s="34" t="s">
        <v>28</v>
      </c>
      <c r="E259" s="35"/>
      <c r="F259" s="38"/>
      <c r="G259" s="38" t="str">
        <f>"1. "&amp;D259&amp; " thực hiện cấu hình kiểm tra quy tắc về chuẩn định dạng " &amp;C259&amp; ". Hệ thống ghi nhận quy tắc được thiết lập.
2. " &amp;D259&amp;" có thể cấu hình kiểm tra tính hợp lệ của dữ liệu về "&amp;C259&amp;". Hệ thống ghi nhận quy tắc được thiết lập.
3. " &amp;D259&amp;" có thể cấu hình xử lý giá trị thiếu dữ liệu về "&amp;C259&amp;". Hệ thống ghi nhận quy tắc được thiết lập.
4. " &amp;D259&amp;" có thể cấu hình xử lý loại bỏ hoặc thay thế giá trị ngoại lệ về "&amp;C259&amp;". Hệ thống ghi nhận quy tắc được thiết lập"</f>
        <v>1. Quản trị hệ thống thực hiện cấu hình kiểm tra quy tắc về chuẩn định dạng Trở lại Quốc tịch. Hệ thống ghi nhận quy tắc được thiết lập.
2. Quản trị hệ thống có thể cấu hình kiểm tra tính hợp lệ của dữ liệu về Trở lại Quốc tịch. Hệ thống ghi nhận quy tắc được thiết lập.
3. Quản trị hệ thống có thể cấu hình xử lý giá trị thiếu dữ liệu về Trở lại Quốc tịch. Hệ thống ghi nhận quy tắc được thiết lập.
4. Quản trị hệ thống có thể cấu hình xử lý loại bỏ hoặc thay thế giá trị ngoại lệ về Trở lại Quốc tịch. Hệ thống ghi nhận quy tắc được thiết lập</v>
      </c>
      <c r="H259" s="36" t="s">
        <v>5</v>
      </c>
      <c r="I259" s="36" t="s">
        <v>7</v>
      </c>
    </row>
    <row r="260" spans="1:9" ht="99">
      <c r="A260" s="36">
        <f>COUNTA($D$4:D260)</f>
        <v>211</v>
      </c>
      <c r="B260" s="38" t="str">
        <f>"Thiết lập quy tắc chuẩn hóa " &amp;C260</f>
        <v>Thiết lập quy tắc chuẩn hóa Trở lại Quốc tịch</v>
      </c>
      <c r="C260" s="45" t="s">
        <v>71</v>
      </c>
      <c r="D260" s="34" t="s">
        <v>28</v>
      </c>
      <c r="E260" s="35"/>
      <c r="F260" s="38"/>
      <c r="G260" s="38" t="str">
        <f>"1. "&amp;D260&amp; " thực hiện cấu hình kiểm tra đối sánh tồn tại dựa trên trường khóa của " &amp;C260&amp; ". Hệ thống ghi nhận quy tắc được thiết lập.
2. " &amp;D260&amp;" có thể cấu hình xử lý trùng lặp về "&amp;C260&amp;". Hệ thống ghi nhận quy tắc được thiết lập.
3. " &amp;D260&amp;" có thể cấu hình xử lý vi phạm về ràng buộc thuộc tính tham chiếu "&amp;C260&amp;". Hệ thống ghi nhận quy tắc được thiết lập."</f>
        <v>1. Quản trị hệ thống thực hiện cấu hình kiểm tra đối sánh tồn tại dựa trên trường khóa của Trở lại Quốc tịch. Hệ thống ghi nhận quy tắc được thiết lập.
2. Quản trị hệ thống có thể cấu hình xử lý trùng lặp về Trở lại Quốc tịch. Hệ thống ghi nhận quy tắc được thiết lập.
3. Quản trị hệ thống có thể cấu hình xử lý vi phạm về ràng buộc thuộc tính tham chiếu Trở lại Quốc tịch. Hệ thống ghi nhận quy tắc được thiết lập.</v>
      </c>
      <c r="H260" s="36" t="s">
        <v>5</v>
      </c>
      <c r="I260" s="36" t="s">
        <v>6</v>
      </c>
    </row>
    <row r="261" spans="1:9" ht="99">
      <c r="A261" s="36">
        <f>COUNTA($D$4:D261)</f>
        <v>212</v>
      </c>
      <c r="B261" s="38" t="str">
        <f>"Thiết lập quy tắc biến đổi " &amp;C261</f>
        <v>Thiết lập quy tắc biến đổi Trở lại Quốc tịch</v>
      </c>
      <c r="C261" s="45" t="s">
        <v>71</v>
      </c>
      <c r="D261" s="34" t="s">
        <v>28</v>
      </c>
      <c r="E261" s="35"/>
      <c r="F261" s="38"/>
      <c r="G261" s="38" t="str">
        <f>"1. "&amp;D261&amp; " thực hiện cấu hình kiểm tra quy tắc biến đổi định dạng dữ liệu về " &amp;C261&amp; ". Hệ thống ghi nhận quy tắc được thiết lập.
2. " &amp;D261&amp;" có thể cấu hình biến đổi gộp hoặc tách cột dữ liệu về "&amp;C261&amp;". Hệ thống ghi nhận quy tắc được thiết lập.
3. " &amp;D261&amp;" có thể cấu hình phân loại, gán nhãn dữ liệu về "&amp;C261&amp;". Hệ thống ghi nhận quy tắc được thiết lập."</f>
        <v>1. Quản trị hệ thống thực hiện cấu hình kiểm tra quy tắc biến đổi định dạng dữ liệu về Trở lại Quốc tịch. Hệ thống ghi nhận quy tắc được thiết lập.
2. Quản trị hệ thống có thể cấu hình biến đổi gộp hoặc tách cột dữ liệu về Trở lại Quốc tịch. Hệ thống ghi nhận quy tắc được thiết lập.
3. Quản trị hệ thống có thể cấu hình phân loại, gán nhãn dữ liệu về Trở lại Quốc tịch. Hệ thống ghi nhận quy tắc được thiết lập.</v>
      </c>
      <c r="H261" s="36" t="s">
        <v>5</v>
      </c>
      <c r="I261" s="36" t="s">
        <v>6</v>
      </c>
    </row>
    <row r="262" spans="1:9" ht="33">
      <c r="A262" s="41" t="s">
        <v>172</v>
      </c>
      <c r="B262" s="46" t="s">
        <v>73</v>
      </c>
      <c r="C262" s="46"/>
      <c r="D262" s="34"/>
      <c r="E262" s="35"/>
      <c r="F262" s="35"/>
      <c r="G262" s="35"/>
      <c r="H262" s="36"/>
      <c r="I262" s="36"/>
    </row>
    <row r="263" spans="1:9" ht="33">
      <c r="A263" s="41" t="s">
        <v>173</v>
      </c>
      <c r="B263" s="42" t="s">
        <v>75</v>
      </c>
      <c r="C263" s="42"/>
      <c r="D263" s="34"/>
      <c r="E263" s="35"/>
      <c r="F263" s="35"/>
      <c r="G263" s="35"/>
      <c r="H263" s="36"/>
      <c r="I263" s="36"/>
    </row>
    <row r="264" spans="1:9" ht="148.5">
      <c r="A264" s="36">
        <f>COUNTA($D$4:D264)</f>
        <v>213</v>
      </c>
      <c r="B264" s="38" t="str">
        <f t="shared" ref="B264" si="38">"Thiết lập quy tắc làm sạch " &amp;C264</f>
        <v>Thiết lập quy tắc làm sạch Yêu cầu thi hành án của cá nhân, cơ quan, tổ chức</v>
      </c>
      <c r="C264" s="38" t="s">
        <v>78</v>
      </c>
      <c r="D264" s="34" t="s">
        <v>28</v>
      </c>
      <c r="E264" s="35"/>
      <c r="F264" s="38"/>
      <c r="G264" s="38" t="str">
        <f>"1. "&amp;D264&amp; " thực hiện cấu hình kiểm tra quy tắc về chuẩn định dạng " &amp;C264&amp; ". Hệ thống ghi nhận quy tắc được thiết lập.
2. " &amp;D264&amp;" có thể cấu hình kiểm tra tính hợp lệ của dữ liệu về "&amp;C264&amp;". Hệ thống ghi nhận quy tắc được thiết lập.
3. " &amp;D264&amp;" có thể cấu hình xử lý giá trị thiếu dữ liệu về "&amp;C264&amp;". Hệ thống ghi nhận quy tắc được thiết lập.
4. " &amp;D264&amp;" có thể cấu hình xử lý loại bỏ hoặc thay thế giá trị ngoại lệ về "&amp;C264&amp;". Hệ thống ghi nhận quy tắc được thiết lập"</f>
        <v>1. Quản trị hệ thống thực hiện cấu hình kiểm tra quy tắc về chuẩn định dạng Yêu cầu thi hành án của cá nhân, cơ quan, tổ chức. Hệ thống ghi nhận quy tắc được thiết lập.
2. Quản trị hệ thống có thể cấu hình kiểm tra tính hợp lệ của dữ liệu về Yêu cầu thi hành án của cá nhân, cơ quan, tổ chức. Hệ thống ghi nhận quy tắc được thiết lập.
3. Quản trị hệ thống có thể cấu hình xử lý giá trị thiếu dữ liệu về Yêu cầu thi hành án của cá nhân, cơ quan, tổ chức. Hệ thống ghi nhận quy tắc được thiết lập.
4. Quản trị hệ thống có thể cấu hình xử lý loại bỏ hoặc thay thế giá trị ngoại lệ về Yêu cầu thi hành án của cá nhân, cơ quan, tổ chức. Hệ thống ghi nhận quy tắc được thiết lập</v>
      </c>
      <c r="H264" s="36" t="s">
        <v>5</v>
      </c>
      <c r="I264" s="36" t="s">
        <v>7</v>
      </c>
    </row>
    <row r="265" spans="1:9" ht="132">
      <c r="A265" s="36">
        <f>COUNTA($D$4:D265)</f>
        <v>214</v>
      </c>
      <c r="B265" s="38" t="str">
        <f>"Thiết lập quy tắc chuẩn hóa " &amp;C265</f>
        <v>Thiết lập quy tắc chuẩn hóa Yêu cầu thi hành án của cá nhân, cơ quan, tổ chức</v>
      </c>
      <c r="C265" s="38" t="s">
        <v>78</v>
      </c>
      <c r="D265" s="34" t="s">
        <v>28</v>
      </c>
      <c r="E265" s="35"/>
      <c r="F265" s="38"/>
      <c r="G265" s="38" t="str">
        <f>"1. "&amp;D265&amp; " thực hiện cấu hình kiểm tra đối sánh tồn tại dựa trên trường khóa của " &amp;C265&amp; ". Hệ thống ghi nhận quy tắc được thiết lập.
2. " &amp;D265&amp;" có thể cấu hình xử lý trùng lặp về "&amp;C265&amp;". Hệ thống ghi nhận quy tắc được thiết lập.
3. " &amp;D265&amp;" có thể cấu hình xử lý vi phạm về ràng buộc thuộc tính tham chiếu "&amp;C265&amp;". Hệ thống ghi nhận quy tắc được thiết lập."</f>
        <v>1. Quản trị hệ thống thực hiện cấu hình kiểm tra đối sánh tồn tại dựa trên trường khóa của Yêu cầu thi hành án của cá nhân, cơ quan, tổ chức. Hệ thống ghi nhận quy tắc được thiết lập.
2. Quản trị hệ thống có thể cấu hình xử lý trùng lặp về Yêu cầu thi hành án của cá nhân, cơ quan, tổ chức. Hệ thống ghi nhận quy tắc được thiết lập.
3. Quản trị hệ thống có thể cấu hình xử lý vi phạm về ràng buộc thuộc tính tham chiếu Yêu cầu thi hành án của cá nhân, cơ quan, tổ chức. Hệ thống ghi nhận quy tắc được thiết lập.</v>
      </c>
      <c r="H265" s="36" t="s">
        <v>5</v>
      </c>
      <c r="I265" s="36" t="s">
        <v>6</v>
      </c>
    </row>
    <row r="266" spans="1:9" ht="115.5">
      <c r="A266" s="36">
        <f>COUNTA($D$4:D266)</f>
        <v>215</v>
      </c>
      <c r="B266" s="38" t="str">
        <f>"Thiết lập quy tắc biến đổi " &amp;C266</f>
        <v>Thiết lập quy tắc biến đổi Yêu cầu thi hành án của cá nhân, cơ quan, tổ chức</v>
      </c>
      <c r="C266" s="38" t="s">
        <v>78</v>
      </c>
      <c r="D266" s="34" t="s">
        <v>28</v>
      </c>
      <c r="E266" s="35"/>
      <c r="F266" s="38"/>
      <c r="G266" s="38" t="str">
        <f>"1. "&amp;D266&amp; " thực hiện cấu hình kiểm tra quy tắc biến đổi định dạng dữ liệu về " &amp;C266&amp; ". Hệ thống ghi nhận quy tắc được thiết lập.
2. " &amp;D266&amp;" có thể cấu hình biến đổi gộp hoặc tách cột dữ liệu về "&amp;C266&amp;". Hệ thống ghi nhận quy tắc được thiết lập.
3. " &amp;D266&amp;" có thể cấu hình phân loại, gán nhãn dữ liệu về "&amp;C266&amp;". Hệ thống ghi nhận quy tắc được thiết lập."</f>
        <v>1. Quản trị hệ thống thực hiện cấu hình kiểm tra quy tắc biến đổi định dạng dữ liệu về Yêu cầu thi hành án của cá nhân, cơ quan, tổ chức. Hệ thống ghi nhận quy tắc được thiết lập.
2. Quản trị hệ thống có thể cấu hình biến đổi gộp hoặc tách cột dữ liệu về Yêu cầu thi hành án của cá nhân, cơ quan, tổ chức. Hệ thống ghi nhận quy tắc được thiết lập.
3. Quản trị hệ thống có thể cấu hình phân loại, gán nhãn dữ liệu về Yêu cầu thi hành án của cá nhân, cơ quan, tổ chức. Hệ thống ghi nhận quy tắc được thiết lập.</v>
      </c>
      <c r="H266" s="36" t="s">
        <v>5</v>
      </c>
      <c r="I266" s="36" t="s">
        <v>6</v>
      </c>
    </row>
    <row r="267" spans="1:9" ht="132">
      <c r="A267" s="36">
        <f>COUNTA($D$4:D267)</f>
        <v>216</v>
      </c>
      <c r="B267" s="38" t="str">
        <f t="shared" ref="B267" si="39">"Thiết lập quy tắc làm sạch " &amp;C267</f>
        <v>Thiết lập quy tắc làm sạch Quyết định thi hành án dân sự</v>
      </c>
      <c r="C267" s="38" t="s">
        <v>79</v>
      </c>
      <c r="D267" s="34" t="s">
        <v>28</v>
      </c>
      <c r="E267" s="35"/>
      <c r="F267" s="38"/>
      <c r="G267" s="38" t="str">
        <f>"1. "&amp;D267&amp; " thực hiện cấu hình kiểm tra quy tắc về chuẩn định dạng " &amp;C267&amp; ". Hệ thống ghi nhận quy tắc được thiết lập.
2. " &amp;D267&amp;" có thể cấu hình kiểm tra tính hợp lệ của dữ liệu về "&amp;C267&amp;". Hệ thống ghi nhận quy tắc được thiết lập.
3. " &amp;D267&amp;" có thể cấu hình xử lý giá trị thiếu dữ liệu về "&amp;C267&amp;". Hệ thống ghi nhận quy tắc được thiết lập.
4. " &amp;D267&amp;" có thể cấu hình xử lý loại bỏ hoặc thay thế giá trị ngoại lệ về "&amp;C267&amp;". Hệ thống ghi nhận quy tắc được thiết lập"</f>
        <v>1. Quản trị hệ thống thực hiện cấu hình kiểm tra quy tắc về chuẩn định dạng Quyết định thi hành án dân sự. Hệ thống ghi nhận quy tắc được thiết lập.
2. Quản trị hệ thống có thể cấu hình kiểm tra tính hợp lệ của dữ liệu về Quyết định thi hành án dân sự. Hệ thống ghi nhận quy tắc được thiết lập.
3. Quản trị hệ thống có thể cấu hình xử lý giá trị thiếu dữ liệu về Quyết định thi hành án dân sự. Hệ thống ghi nhận quy tắc được thiết lập.
4. Quản trị hệ thống có thể cấu hình xử lý loại bỏ hoặc thay thế giá trị ngoại lệ về Quyết định thi hành án dân sự. Hệ thống ghi nhận quy tắc được thiết lập</v>
      </c>
      <c r="H267" s="36" t="s">
        <v>5</v>
      </c>
      <c r="I267" s="36" t="s">
        <v>7</v>
      </c>
    </row>
    <row r="268" spans="1:9" ht="99">
      <c r="A268" s="36">
        <f>COUNTA($D$4:D268)</f>
        <v>217</v>
      </c>
      <c r="B268" s="38" t="str">
        <f>"Thiết lập quy tắc chuẩn hóa " &amp;C268</f>
        <v>Thiết lập quy tắc chuẩn hóa Quyết định thi hành án dân sự</v>
      </c>
      <c r="C268" s="38" t="s">
        <v>79</v>
      </c>
      <c r="D268" s="34" t="s">
        <v>28</v>
      </c>
      <c r="E268" s="35"/>
      <c r="F268" s="38"/>
      <c r="G268" s="38" t="str">
        <f>"1. "&amp;D268&amp; " thực hiện cấu hình kiểm tra đối sánh tồn tại dựa trên trường khóa của " &amp;C268&amp; ". Hệ thống ghi nhận quy tắc được thiết lập.
2. " &amp;D268&amp;" có thể cấu hình xử lý trùng lặp về "&amp;C268&amp;". Hệ thống ghi nhận quy tắc được thiết lập.
3. " &amp;D268&amp;" có thể cấu hình xử lý vi phạm về ràng buộc thuộc tính tham chiếu "&amp;C268&amp;". Hệ thống ghi nhận quy tắc được thiết lập."</f>
        <v>1. Quản trị hệ thống thực hiện cấu hình kiểm tra đối sánh tồn tại dựa trên trường khóa của Quyết định thi hành án dân sự. Hệ thống ghi nhận quy tắc được thiết lập.
2. Quản trị hệ thống có thể cấu hình xử lý trùng lặp về Quyết định thi hành án dân sự. Hệ thống ghi nhận quy tắc được thiết lập.
3. Quản trị hệ thống có thể cấu hình xử lý vi phạm về ràng buộc thuộc tính tham chiếu Quyết định thi hành án dân sự. Hệ thống ghi nhận quy tắc được thiết lập.</v>
      </c>
      <c r="H268" s="36" t="s">
        <v>5</v>
      </c>
      <c r="I268" s="36" t="s">
        <v>6</v>
      </c>
    </row>
    <row r="269" spans="1:9" ht="99">
      <c r="A269" s="36">
        <f>COUNTA($D$4:D269)</f>
        <v>218</v>
      </c>
      <c r="B269" s="38" t="str">
        <f>"Thiết lập quy tắc biến đổi " &amp;C269</f>
        <v>Thiết lập quy tắc biến đổi Quyết định thi hành án dân sự</v>
      </c>
      <c r="C269" s="38" t="s">
        <v>79</v>
      </c>
      <c r="D269" s="34" t="s">
        <v>28</v>
      </c>
      <c r="E269" s="35"/>
      <c r="F269" s="38"/>
      <c r="G269" s="38" t="str">
        <f>"1. "&amp;D269&amp; " thực hiện cấu hình kiểm tra quy tắc biến đổi định dạng dữ liệu về " &amp;C269&amp; ". Hệ thống ghi nhận quy tắc được thiết lập.
2. " &amp;D269&amp;" có thể cấu hình biến đổi gộp hoặc tách cột dữ liệu về "&amp;C269&amp;". Hệ thống ghi nhận quy tắc được thiết lập.
3. " &amp;D269&amp;" có thể cấu hình phân loại, gán nhãn dữ liệu về "&amp;C269&amp;". Hệ thống ghi nhận quy tắc được thiết lập."</f>
        <v>1. Quản trị hệ thống thực hiện cấu hình kiểm tra quy tắc biến đổi định dạng dữ liệu về Quyết định thi hành án dân sự. Hệ thống ghi nhận quy tắc được thiết lập.
2. Quản trị hệ thống có thể cấu hình biến đổi gộp hoặc tách cột dữ liệu về Quyết định thi hành án dân sự. Hệ thống ghi nhận quy tắc được thiết lập.
3. Quản trị hệ thống có thể cấu hình phân loại, gán nhãn dữ liệu về Quyết định thi hành án dân sự. Hệ thống ghi nhận quy tắc được thiết lập.</v>
      </c>
      <c r="H269" s="36" t="s">
        <v>5</v>
      </c>
      <c r="I269" s="36" t="s">
        <v>6</v>
      </c>
    </row>
    <row r="270" spans="1:9" ht="198">
      <c r="A270" s="36">
        <f>COUNTA($D$4:D270)</f>
        <v>219</v>
      </c>
      <c r="B270" s="38" t="str">
        <f t="shared" ref="B270" si="40">"Thiết lập quy tắc làm sạch " &amp;C270</f>
        <v>Thiết lập quy tắc làm sạch Người phải thi hành án, người được thi hành án, người có quyền lợi nghĩa vụ liên quan</v>
      </c>
      <c r="C270" s="38" t="s">
        <v>80</v>
      </c>
      <c r="D270" s="34" t="s">
        <v>28</v>
      </c>
      <c r="E270" s="35"/>
      <c r="F270" s="38"/>
      <c r="G270" s="38" t="str">
        <f>"1. "&amp;D270&amp; " thực hiện cấu hình kiểm tra quy tắc về chuẩn định dạng " &amp;C270&amp; ". Hệ thống ghi nhận quy tắc được thiết lập.
2. " &amp;D270&amp;" có thể cấu hình kiểm tra tính hợp lệ của dữ liệu về "&amp;C270&amp;". Hệ thống ghi nhận quy tắc được thiết lập.
3. " &amp;D270&amp;" có thể cấu hình xử lý giá trị thiếu dữ liệu về "&amp;C270&amp;". Hệ thống ghi nhận quy tắc được thiết lập.
4. " &amp;D270&amp;" có thể cấu hình xử lý loại bỏ hoặc thay thế giá trị ngoại lệ về "&amp;C270&amp;". Hệ thống ghi nhận quy tắc được thiết lập"</f>
        <v>1. Quản trị hệ thống thực hiện cấu hình kiểm tra quy tắc về chuẩn định dạng Người phải thi hành án, người được thi hành án, người có quyền lợi nghĩa vụ liên quan. Hệ thống ghi nhận quy tắc được thiết lập.
2. Quản trị hệ thống có thể cấu hình kiểm tra tính hợp lệ của dữ liệu về Người phải thi hành án, người được thi hành án, người có quyền lợi nghĩa vụ liên quan. Hệ thống ghi nhận quy tắc được thiết lập.
3. Quản trị hệ thống có thể cấu hình xử lý giá trị thiếu dữ liệu về Người phải thi hành án, người được thi hành án, người có quyền lợi nghĩa vụ liên quan. Hệ thống ghi nhận quy tắc được thiết lập.
4. Quản trị hệ thống có thể cấu hình xử lý loại bỏ hoặc thay thế giá trị ngoại lệ về Người phải thi hành án, người được thi hành án, người có quyền lợi nghĩa vụ liên quan. Hệ thống ghi nhận quy tắc được thiết lập</v>
      </c>
      <c r="H270" s="36" t="s">
        <v>5</v>
      </c>
      <c r="I270" s="36" t="s">
        <v>7</v>
      </c>
    </row>
    <row r="271" spans="1:9" ht="148.5">
      <c r="A271" s="36">
        <f>COUNTA($D$4:D271)</f>
        <v>220</v>
      </c>
      <c r="B271" s="38" t="str">
        <f>"Thiết lập quy tắc chuẩn hóa " &amp;C271</f>
        <v>Thiết lập quy tắc chuẩn hóa Người phải thi hành án, người được thi hành án, người có quyền lợi nghĩa vụ liên quan</v>
      </c>
      <c r="C271" s="38" t="s">
        <v>80</v>
      </c>
      <c r="D271" s="34" t="s">
        <v>28</v>
      </c>
      <c r="E271" s="35"/>
      <c r="F271" s="38"/>
      <c r="G271" s="38" t="str">
        <f>"1. "&amp;D271&amp; " thực hiện cấu hình kiểm tra đối sánh tồn tại dựa trên trường khóa của " &amp;C271&amp; ". Hệ thống ghi nhận quy tắc được thiết lập.
2. " &amp;D271&amp;" có thể cấu hình xử lý trùng lặp về "&amp;C271&amp;". Hệ thống ghi nhận quy tắc được thiết lập.
3. " &amp;D271&amp;" có thể cấu hình xử lý vi phạm về ràng buộc thuộc tính tham chiếu "&amp;C271&amp;". Hệ thống ghi nhận quy tắc được thiết lập."</f>
        <v>1. Quản trị hệ thống thực hiện cấu hình kiểm tra đối sánh tồn tại dựa trên trường khóa của Người phải thi hành án, người được thi hành án, người có quyền lợi nghĩa vụ liên quan. Hệ thống ghi nhận quy tắc được thiết lập.
2. Quản trị hệ thống có thể cấu hình xử lý trùng lặp về Người phải thi hành án, người được thi hành án, người có quyền lợi nghĩa vụ liên quan. Hệ thống ghi nhận quy tắc được thiết lập.
3. Quản trị hệ thống có thể cấu hình xử lý vi phạm về ràng buộc thuộc tính tham chiếu Người phải thi hành án, người được thi hành án, người có quyền lợi nghĩa vụ liên quan. Hệ thống ghi nhận quy tắc được thiết lập.</v>
      </c>
      <c r="H271" s="36" t="s">
        <v>5</v>
      </c>
      <c r="I271" s="36" t="s">
        <v>6</v>
      </c>
    </row>
    <row r="272" spans="1:9" ht="148.5">
      <c r="A272" s="36">
        <f>COUNTA($D$4:D272)</f>
        <v>221</v>
      </c>
      <c r="B272" s="38" t="str">
        <f>"Thiết lập quy tắc biến đổi " &amp;C272</f>
        <v>Thiết lập quy tắc biến đổi Người phải thi hành án, người được thi hành án, người có quyền lợi nghĩa vụ liên quan</v>
      </c>
      <c r="C272" s="38" t="s">
        <v>80</v>
      </c>
      <c r="D272" s="34" t="s">
        <v>28</v>
      </c>
      <c r="E272" s="35"/>
      <c r="F272" s="38"/>
      <c r="G272" s="38" t="str">
        <f>"1. "&amp;D272&amp; " thực hiện cấu hình kiểm tra quy tắc biến đổi định dạng dữ liệu về " &amp;C272&amp; ". Hệ thống ghi nhận quy tắc được thiết lập.
2. " &amp;D272&amp;" có thể cấu hình biến đổi gộp hoặc tách cột dữ liệu về "&amp;C272&amp;". Hệ thống ghi nhận quy tắc được thiết lập.
3. " &amp;D272&amp;" có thể cấu hình phân loại, gán nhãn dữ liệu về "&amp;C272&amp;". Hệ thống ghi nhận quy tắc được thiết lập."</f>
        <v>1. Quản trị hệ thống thực hiện cấu hình kiểm tra quy tắc biến đổi định dạng dữ liệu về Người phải thi hành án, người được thi hành án, người có quyền lợi nghĩa vụ liên quan. Hệ thống ghi nhận quy tắc được thiết lập.
2. Quản trị hệ thống có thể cấu hình biến đổi gộp hoặc tách cột dữ liệu về Người phải thi hành án, người được thi hành án, người có quyền lợi nghĩa vụ liên quan. Hệ thống ghi nhận quy tắc được thiết lập.
3. Quản trị hệ thống có thể cấu hình phân loại, gán nhãn dữ liệu về Người phải thi hành án, người được thi hành án, người có quyền lợi nghĩa vụ liên quan. Hệ thống ghi nhận quy tắc được thiết lập.</v>
      </c>
      <c r="H272" s="36" t="s">
        <v>5</v>
      </c>
      <c r="I272" s="36" t="s">
        <v>6</v>
      </c>
    </row>
    <row r="273" spans="1:9" ht="132">
      <c r="A273" s="36">
        <f>COUNTA($D$4:D273)</f>
        <v>222</v>
      </c>
      <c r="B273" s="38" t="str">
        <f t="shared" ref="B273" si="41">"Thiết lập quy tắc làm sạch " &amp;C273</f>
        <v>Thiết lập quy tắc làm sạch Nghĩa vụ thi hành án</v>
      </c>
      <c r="C273" s="38" t="s">
        <v>81</v>
      </c>
      <c r="D273" s="34" t="s">
        <v>28</v>
      </c>
      <c r="E273" s="35"/>
      <c r="F273" s="38"/>
      <c r="G273" s="38" t="str">
        <f>"1. "&amp;D273&amp; " thực hiện cấu hình kiểm tra quy tắc về chuẩn định dạng " &amp;C273&amp; ". Hệ thống ghi nhận quy tắc được thiết lập.
2. " &amp;D273&amp;" có thể cấu hình kiểm tra tính hợp lệ của dữ liệu về "&amp;C273&amp;". Hệ thống ghi nhận quy tắc được thiết lập.
3. " &amp;D273&amp;" có thể cấu hình xử lý giá trị thiếu dữ liệu về "&amp;C273&amp;". Hệ thống ghi nhận quy tắc được thiết lập.
4. " &amp;D273&amp;" có thể cấu hình xử lý loại bỏ hoặc thay thế giá trị ngoại lệ về "&amp;C273&amp;". Hệ thống ghi nhận quy tắc được thiết lập"</f>
        <v>1. Quản trị hệ thống thực hiện cấu hình kiểm tra quy tắc về chuẩn định dạng Nghĩa vụ thi hành án. Hệ thống ghi nhận quy tắc được thiết lập.
2. Quản trị hệ thống có thể cấu hình kiểm tra tính hợp lệ của dữ liệu về Nghĩa vụ thi hành án. Hệ thống ghi nhận quy tắc được thiết lập.
3. Quản trị hệ thống có thể cấu hình xử lý giá trị thiếu dữ liệu về Nghĩa vụ thi hành án. Hệ thống ghi nhận quy tắc được thiết lập.
4. Quản trị hệ thống có thể cấu hình xử lý loại bỏ hoặc thay thế giá trị ngoại lệ về Nghĩa vụ thi hành án. Hệ thống ghi nhận quy tắc được thiết lập</v>
      </c>
      <c r="H273" s="36" t="s">
        <v>5</v>
      </c>
      <c r="I273" s="36" t="s">
        <v>7</v>
      </c>
    </row>
    <row r="274" spans="1:9" ht="99">
      <c r="A274" s="36">
        <f>COUNTA($D$4:D274)</f>
        <v>223</v>
      </c>
      <c r="B274" s="38" t="str">
        <f>"Thiết lập quy tắc chuẩn hóa " &amp;C274</f>
        <v>Thiết lập quy tắc chuẩn hóa Nghĩa vụ thi hành án</v>
      </c>
      <c r="C274" s="38" t="s">
        <v>81</v>
      </c>
      <c r="D274" s="34" t="s">
        <v>28</v>
      </c>
      <c r="E274" s="35"/>
      <c r="F274" s="38"/>
      <c r="G274" s="38" t="str">
        <f>"1. "&amp;D274&amp; " thực hiện cấu hình kiểm tra đối sánh tồn tại dựa trên trường khóa của " &amp;C274&amp; ". Hệ thống ghi nhận quy tắc được thiết lập.
2. " &amp;D274&amp;" có thể cấu hình xử lý trùng lặp về "&amp;C274&amp;". Hệ thống ghi nhận quy tắc được thiết lập.
3. " &amp;D274&amp;" có thể cấu hình xử lý vi phạm về ràng buộc thuộc tính tham chiếu "&amp;C274&amp;". Hệ thống ghi nhận quy tắc được thiết lập."</f>
        <v>1. Quản trị hệ thống thực hiện cấu hình kiểm tra đối sánh tồn tại dựa trên trường khóa của Nghĩa vụ thi hành án. Hệ thống ghi nhận quy tắc được thiết lập.
2. Quản trị hệ thống có thể cấu hình xử lý trùng lặp về Nghĩa vụ thi hành án. Hệ thống ghi nhận quy tắc được thiết lập.
3. Quản trị hệ thống có thể cấu hình xử lý vi phạm về ràng buộc thuộc tính tham chiếu Nghĩa vụ thi hành án. Hệ thống ghi nhận quy tắc được thiết lập.</v>
      </c>
      <c r="H274" s="36" t="s">
        <v>5</v>
      </c>
      <c r="I274" s="36" t="s">
        <v>6</v>
      </c>
    </row>
    <row r="275" spans="1:9" ht="99">
      <c r="A275" s="36">
        <f>COUNTA($D$4:D275)</f>
        <v>224</v>
      </c>
      <c r="B275" s="38" t="str">
        <f>"Thiết lập quy tắc biến đổi " &amp;C275</f>
        <v>Thiết lập quy tắc biến đổi Nghĩa vụ thi hành án</v>
      </c>
      <c r="C275" s="38" t="s">
        <v>81</v>
      </c>
      <c r="D275" s="34" t="s">
        <v>28</v>
      </c>
      <c r="E275" s="35"/>
      <c r="F275" s="38"/>
      <c r="G275" s="38" t="str">
        <f>"1. "&amp;D275&amp; " thực hiện cấu hình kiểm tra quy tắc biến đổi định dạng dữ liệu về " &amp;C275&amp; ". Hệ thống ghi nhận quy tắc được thiết lập.
2. " &amp;D275&amp;" có thể cấu hình biến đổi gộp hoặc tách cột dữ liệu về "&amp;C275&amp;". Hệ thống ghi nhận quy tắc được thiết lập.
3. " &amp;D275&amp;" có thể cấu hình phân loại, gán nhãn dữ liệu về "&amp;C275&amp;". Hệ thống ghi nhận quy tắc được thiết lập."</f>
        <v>1. Quản trị hệ thống thực hiện cấu hình kiểm tra quy tắc biến đổi định dạng dữ liệu về Nghĩa vụ thi hành án. Hệ thống ghi nhận quy tắc được thiết lập.
2. Quản trị hệ thống có thể cấu hình biến đổi gộp hoặc tách cột dữ liệu về Nghĩa vụ thi hành án. Hệ thống ghi nhận quy tắc được thiết lập.
3. Quản trị hệ thống có thể cấu hình phân loại, gán nhãn dữ liệu về Nghĩa vụ thi hành án. Hệ thống ghi nhận quy tắc được thiết lập.</v>
      </c>
      <c r="H275" s="36" t="s">
        <v>5</v>
      </c>
      <c r="I275" s="36" t="s">
        <v>6</v>
      </c>
    </row>
    <row r="276" spans="1:9" ht="132">
      <c r="A276" s="36">
        <f>COUNTA($D$4:D276)</f>
        <v>225</v>
      </c>
      <c r="B276" s="38" t="str">
        <f t="shared" ref="B276" si="42">"Thiết lập quy tắc làm sạch " &amp;C276</f>
        <v>Thiết lập quy tắc làm sạch Trạng thái thi hành án</v>
      </c>
      <c r="C276" s="38" t="s">
        <v>82</v>
      </c>
      <c r="D276" s="34" t="s">
        <v>28</v>
      </c>
      <c r="E276" s="35"/>
      <c r="F276" s="38"/>
      <c r="G276" s="38" t="str">
        <f>"1. "&amp;D276&amp; " thực hiện cấu hình kiểm tra quy tắc về chuẩn định dạng " &amp;C276&amp; ". Hệ thống ghi nhận quy tắc được thiết lập.
2. " &amp;D276&amp;" có thể cấu hình kiểm tra tính hợp lệ của dữ liệu về "&amp;C276&amp;". Hệ thống ghi nhận quy tắc được thiết lập.
3. " &amp;D276&amp;" có thể cấu hình xử lý giá trị thiếu dữ liệu về "&amp;C276&amp;". Hệ thống ghi nhận quy tắc được thiết lập.
4. " &amp;D276&amp;" có thể cấu hình xử lý loại bỏ hoặc thay thế giá trị ngoại lệ về "&amp;C276&amp;". Hệ thống ghi nhận quy tắc được thiết lập"</f>
        <v>1. Quản trị hệ thống thực hiện cấu hình kiểm tra quy tắc về chuẩn định dạng Trạng thái thi hành án. Hệ thống ghi nhận quy tắc được thiết lập.
2. Quản trị hệ thống có thể cấu hình kiểm tra tính hợp lệ của dữ liệu về Trạng thái thi hành án. Hệ thống ghi nhận quy tắc được thiết lập.
3. Quản trị hệ thống có thể cấu hình xử lý giá trị thiếu dữ liệu về Trạng thái thi hành án. Hệ thống ghi nhận quy tắc được thiết lập.
4. Quản trị hệ thống có thể cấu hình xử lý loại bỏ hoặc thay thế giá trị ngoại lệ về Trạng thái thi hành án. Hệ thống ghi nhận quy tắc được thiết lập</v>
      </c>
      <c r="H276" s="36" t="s">
        <v>5</v>
      </c>
      <c r="I276" s="36" t="s">
        <v>7</v>
      </c>
    </row>
    <row r="277" spans="1:9" ht="99">
      <c r="A277" s="36">
        <f>COUNTA($D$4:D277)</f>
        <v>226</v>
      </c>
      <c r="B277" s="38" t="str">
        <f>"Thiết lập quy tắc chuẩn hóa " &amp;C277</f>
        <v>Thiết lập quy tắc chuẩn hóa Trạng thái thi hành án</v>
      </c>
      <c r="C277" s="38" t="s">
        <v>82</v>
      </c>
      <c r="D277" s="34" t="s">
        <v>28</v>
      </c>
      <c r="E277" s="35"/>
      <c r="F277" s="38"/>
      <c r="G277" s="38" t="str">
        <f>"1. "&amp;D277&amp; " thực hiện cấu hình kiểm tra đối sánh tồn tại dựa trên trường khóa của " &amp;C277&amp; ". Hệ thống ghi nhận quy tắc được thiết lập.
2. " &amp;D277&amp;" có thể cấu hình xử lý trùng lặp về "&amp;C277&amp;". Hệ thống ghi nhận quy tắc được thiết lập.
3. " &amp;D277&amp;" có thể cấu hình xử lý vi phạm về ràng buộc thuộc tính tham chiếu "&amp;C277&amp;". Hệ thống ghi nhận quy tắc được thiết lập."</f>
        <v>1. Quản trị hệ thống thực hiện cấu hình kiểm tra đối sánh tồn tại dựa trên trường khóa của Trạng thái thi hành án. Hệ thống ghi nhận quy tắc được thiết lập.
2. Quản trị hệ thống có thể cấu hình xử lý trùng lặp về Trạng thái thi hành án. Hệ thống ghi nhận quy tắc được thiết lập.
3. Quản trị hệ thống có thể cấu hình xử lý vi phạm về ràng buộc thuộc tính tham chiếu Trạng thái thi hành án. Hệ thống ghi nhận quy tắc được thiết lập.</v>
      </c>
      <c r="H277" s="36" t="s">
        <v>5</v>
      </c>
      <c r="I277" s="36" t="s">
        <v>6</v>
      </c>
    </row>
    <row r="278" spans="1:9" ht="99">
      <c r="A278" s="36">
        <f>COUNTA($D$4:D278)</f>
        <v>227</v>
      </c>
      <c r="B278" s="38" t="str">
        <f>"Thiết lập quy tắc biến đổi " &amp;C278</f>
        <v>Thiết lập quy tắc biến đổi Trạng thái thi hành án</v>
      </c>
      <c r="C278" s="38" t="s">
        <v>82</v>
      </c>
      <c r="D278" s="34" t="s">
        <v>28</v>
      </c>
      <c r="E278" s="35"/>
      <c r="F278" s="38"/>
      <c r="G278" s="38" t="str">
        <f>"1. "&amp;D278&amp; " thực hiện cấu hình kiểm tra quy tắc biến đổi định dạng dữ liệu về " &amp;C278&amp; ". Hệ thống ghi nhận quy tắc được thiết lập.
2. " &amp;D278&amp;" có thể cấu hình biến đổi gộp hoặc tách cột dữ liệu về "&amp;C278&amp;". Hệ thống ghi nhận quy tắc được thiết lập.
3. " &amp;D278&amp;" có thể cấu hình phân loại, gán nhãn dữ liệu về "&amp;C278&amp;". Hệ thống ghi nhận quy tắc được thiết lập."</f>
        <v>1. Quản trị hệ thống thực hiện cấu hình kiểm tra quy tắc biến đổi định dạng dữ liệu về Trạng thái thi hành án. Hệ thống ghi nhận quy tắc được thiết lập.
2. Quản trị hệ thống có thể cấu hình biến đổi gộp hoặc tách cột dữ liệu về Trạng thái thi hành án. Hệ thống ghi nhận quy tắc được thiết lập.
3. Quản trị hệ thống có thể cấu hình phân loại, gán nhãn dữ liệu về Trạng thái thi hành án. Hệ thống ghi nhận quy tắc được thiết lập.</v>
      </c>
      <c r="H278" s="36" t="s">
        <v>5</v>
      </c>
      <c r="I278" s="36" t="s">
        <v>6</v>
      </c>
    </row>
    <row r="279" spans="1:9" ht="132">
      <c r="A279" s="36">
        <f>COUNTA($D$4:D279)</f>
        <v>228</v>
      </c>
      <c r="B279" s="38" t="str">
        <f t="shared" ref="B279" si="43">"Thiết lập quy tắc làm sạch " &amp;C279</f>
        <v>Thiết lập quy tắc làm sạch Tài sản thi hành án</v>
      </c>
      <c r="C279" s="38" t="s">
        <v>83</v>
      </c>
      <c r="D279" s="34" t="s">
        <v>28</v>
      </c>
      <c r="E279" s="35"/>
      <c r="F279" s="38"/>
      <c r="G279" s="38" t="str">
        <f>"1. "&amp;D279&amp; " thực hiện cấu hình kiểm tra quy tắc về chuẩn định dạng " &amp;C279&amp; ". Hệ thống ghi nhận quy tắc được thiết lập.
2. " &amp;D279&amp;" có thể cấu hình kiểm tra tính hợp lệ của dữ liệu về "&amp;C279&amp;". Hệ thống ghi nhận quy tắc được thiết lập.
3. " &amp;D279&amp;" có thể cấu hình xử lý giá trị thiếu dữ liệu về "&amp;C279&amp;". Hệ thống ghi nhận quy tắc được thiết lập.
4. " &amp;D279&amp;" có thể cấu hình xử lý loại bỏ hoặc thay thế giá trị ngoại lệ về "&amp;C279&amp;". Hệ thống ghi nhận quy tắc được thiết lập"</f>
        <v>1. Quản trị hệ thống thực hiện cấu hình kiểm tra quy tắc về chuẩn định dạng Tài sản thi hành án. Hệ thống ghi nhận quy tắc được thiết lập.
2. Quản trị hệ thống có thể cấu hình kiểm tra tính hợp lệ của dữ liệu về Tài sản thi hành án. Hệ thống ghi nhận quy tắc được thiết lập.
3. Quản trị hệ thống có thể cấu hình xử lý giá trị thiếu dữ liệu về Tài sản thi hành án. Hệ thống ghi nhận quy tắc được thiết lập.
4. Quản trị hệ thống có thể cấu hình xử lý loại bỏ hoặc thay thế giá trị ngoại lệ về Tài sản thi hành án. Hệ thống ghi nhận quy tắc được thiết lập</v>
      </c>
      <c r="H279" s="36" t="s">
        <v>5</v>
      </c>
      <c r="I279" s="36" t="s">
        <v>7</v>
      </c>
    </row>
    <row r="280" spans="1:9" ht="99">
      <c r="A280" s="36">
        <f>COUNTA($D$4:D280)</f>
        <v>229</v>
      </c>
      <c r="B280" s="38" t="str">
        <f>"Thiết lập quy tắc chuẩn hóa " &amp;C280</f>
        <v>Thiết lập quy tắc chuẩn hóa Tài sản thi hành án</v>
      </c>
      <c r="C280" s="38" t="s">
        <v>83</v>
      </c>
      <c r="D280" s="34" t="s">
        <v>28</v>
      </c>
      <c r="E280" s="35"/>
      <c r="F280" s="38"/>
      <c r="G280" s="38" t="str">
        <f>"1. "&amp;D280&amp; " thực hiện cấu hình kiểm tra đối sánh tồn tại dựa trên trường khóa của " &amp;C280&amp; ". Hệ thống ghi nhận quy tắc được thiết lập.
2. " &amp;D280&amp;" có thể cấu hình xử lý trùng lặp về "&amp;C280&amp;". Hệ thống ghi nhận quy tắc được thiết lập.
3. " &amp;D280&amp;" có thể cấu hình xử lý vi phạm về ràng buộc thuộc tính tham chiếu "&amp;C280&amp;". Hệ thống ghi nhận quy tắc được thiết lập."</f>
        <v>1. Quản trị hệ thống thực hiện cấu hình kiểm tra đối sánh tồn tại dựa trên trường khóa của Tài sản thi hành án. Hệ thống ghi nhận quy tắc được thiết lập.
2. Quản trị hệ thống có thể cấu hình xử lý trùng lặp về Tài sản thi hành án. Hệ thống ghi nhận quy tắc được thiết lập.
3. Quản trị hệ thống có thể cấu hình xử lý vi phạm về ràng buộc thuộc tính tham chiếu Tài sản thi hành án. Hệ thống ghi nhận quy tắc được thiết lập.</v>
      </c>
      <c r="H280" s="36" t="s">
        <v>5</v>
      </c>
      <c r="I280" s="36" t="s">
        <v>6</v>
      </c>
    </row>
    <row r="281" spans="1:9" ht="99">
      <c r="A281" s="36">
        <f>COUNTA($D$4:D281)</f>
        <v>230</v>
      </c>
      <c r="B281" s="38" t="str">
        <f>"Thiết lập quy tắc biến đổi " &amp;C281</f>
        <v>Thiết lập quy tắc biến đổi Tài sản thi hành án</v>
      </c>
      <c r="C281" s="38" t="s">
        <v>83</v>
      </c>
      <c r="D281" s="34" t="s">
        <v>28</v>
      </c>
      <c r="E281" s="35"/>
      <c r="F281" s="38"/>
      <c r="G281" s="38" t="str">
        <f>"1. "&amp;D281&amp; " thực hiện cấu hình kiểm tra quy tắc biến đổi định dạng dữ liệu về " &amp;C281&amp; ". Hệ thống ghi nhận quy tắc được thiết lập.
2. " &amp;D281&amp;" có thể cấu hình biến đổi gộp hoặc tách cột dữ liệu về "&amp;C281&amp;". Hệ thống ghi nhận quy tắc được thiết lập.
3. " &amp;D281&amp;" có thể cấu hình phân loại, gán nhãn dữ liệu về "&amp;C281&amp;". Hệ thống ghi nhận quy tắc được thiết lập."</f>
        <v>1. Quản trị hệ thống thực hiện cấu hình kiểm tra quy tắc biến đổi định dạng dữ liệu về Tài sản thi hành án. Hệ thống ghi nhận quy tắc được thiết lập.
2. Quản trị hệ thống có thể cấu hình biến đổi gộp hoặc tách cột dữ liệu về Tài sản thi hành án. Hệ thống ghi nhận quy tắc được thiết lập.
3. Quản trị hệ thống có thể cấu hình phân loại, gán nhãn dữ liệu về Tài sản thi hành án. Hệ thống ghi nhận quy tắc được thiết lập.</v>
      </c>
      <c r="H281" s="36" t="s">
        <v>5</v>
      </c>
      <c r="I281" s="36" t="s">
        <v>6</v>
      </c>
    </row>
    <row r="282" spans="1:9" ht="148.5">
      <c r="A282" s="36">
        <f>COUNTA($D$4:D282)</f>
        <v>231</v>
      </c>
      <c r="B282" s="38" t="str">
        <f t="shared" ref="B282" si="44">"Thiết lập quy tắc làm sạch " &amp;C282</f>
        <v>Thiết lập quy tắc làm sạch Xác minh điều kiện trong thi hành án dân sự</v>
      </c>
      <c r="C282" s="38" t="s">
        <v>84</v>
      </c>
      <c r="D282" s="34" t="s">
        <v>28</v>
      </c>
      <c r="E282" s="35"/>
      <c r="F282" s="38"/>
      <c r="G282" s="38" t="str">
        <f>"1. "&amp;D282&amp; " thực hiện cấu hình kiểm tra quy tắc về chuẩn định dạng " &amp;C282&amp; ". Hệ thống ghi nhận quy tắc được thiết lập.
2. " &amp;D282&amp;" có thể cấu hình kiểm tra tính hợp lệ của dữ liệu về "&amp;C282&amp;". Hệ thống ghi nhận quy tắc được thiết lập.
3. " &amp;D282&amp;" có thể cấu hình xử lý giá trị thiếu dữ liệu về "&amp;C282&amp;". Hệ thống ghi nhận quy tắc được thiết lập.
4. " &amp;D282&amp;" có thể cấu hình xử lý loại bỏ hoặc thay thế giá trị ngoại lệ về "&amp;C282&amp;". Hệ thống ghi nhận quy tắc được thiết lập"</f>
        <v>1. Quản trị hệ thống thực hiện cấu hình kiểm tra quy tắc về chuẩn định dạng Xác minh điều kiện trong thi hành án dân sự. Hệ thống ghi nhận quy tắc được thiết lập.
2. Quản trị hệ thống có thể cấu hình kiểm tra tính hợp lệ của dữ liệu về Xác minh điều kiện trong thi hành án dân sự. Hệ thống ghi nhận quy tắc được thiết lập.
3. Quản trị hệ thống có thể cấu hình xử lý giá trị thiếu dữ liệu về Xác minh điều kiện trong thi hành án dân sự. Hệ thống ghi nhận quy tắc được thiết lập.
4. Quản trị hệ thống có thể cấu hình xử lý loại bỏ hoặc thay thế giá trị ngoại lệ về Xác minh điều kiện trong thi hành án dân sự. Hệ thống ghi nhận quy tắc được thiết lập</v>
      </c>
      <c r="H282" s="36" t="s">
        <v>5</v>
      </c>
      <c r="I282" s="36" t="s">
        <v>7</v>
      </c>
    </row>
    <row r="283" spans="1:9" ht="132">
      <c r="A283" s="36">
        <f>COUNTA($D$4:D283)</f>
        <v>232</v>
      </c>
      <c r="B283" s="38" t="str">
        <f>"Thiết lập quy tắc chuẩn hóa " &amp;C283</f>
        <v>Thiết lập quy tắc chuẩn hóa Xác minh điều kiện trong thi hành án dân sự</v>
      </c>
      <c r="C283" s="38" t="s">
        <v>84</v>
      </c>
      <c r="D283" s="34" t="s">
        <v>28</v>
      </c>
      <c r="E283" s="35"/>
      <c r="F283" s="38"/>
      <c r="G283" s="38" t="str">
        <f>"1. "&amp;D283&amp; " thực hiện cấu hình kiểm tra đối sánh tồn tại dựa trên trường khóa của " &amp;C283&amp; ". Hệ thống ghi nhận quy tắc được thiết lập.
2. " &amp;D283&amp;" có thể cấu hình xử lý trùng lặp về "&amp;C283&amp;". Hệ thống ghi nhận quy tắc được thiết lập.
3. " &amp;D283&amp;" có thể cấu hình xử lý vi phạm về ràng buộc thuộc tính tham chiếu "&amp;C283&amp;". Hệ thống ghi nhận quy tắc được thiết lập."</f>
        <v>1. Quản trị hệ thống thực hiện cấu hình kiểm tra đối sánh tồn tại dựa trên trường khóa của Xác minh điều kiện trong thi hành án dân sự. Hệ thống ghi nhận quy tắc được thiết lập.
2. Quản trị hệ thống có thể cấu hình xử lý trùng lặp về Xác minh điều kiện trong thi hành án dân sự. Hệ thống ghi nhận quy tắc được thiết lập.
3. Quản trị hệ thống có thể cấu hình xử lý vi phạm về ràng buộc thuộc tính tham chiếu Xác minh điều kiện trong thi hành án dân sự. Hệ thống ghi nhận quy tắc được thiết lập.</v>
      </c>
      <c r="H283" s="36" t="s">
        <v>5</v>
      </c>
      <c r="I283" s="36" t="s">
        <v>6</v>
      </c>
    </row>
    <row r="284" spans="1:9" ht="115.5">
      <c r="A284" s="36">
        <f>COUNTA($D$4:D284)</f>
        <v>233</v>
      </c>
      <c r="B284" s="38" t="str">
        <f>"Thiết lập quy tắc biến đổi " &amp;C284</f>
        <v>Thiết lập quy tắc biến đổi Xác minh điều kiện trong thi hành án dân sự</v>
      </c>
      <c r="C284" s="38" t="s">
        <v>84</v>
      </c>
      <c r="D284" s="34" t="s">
        <v>28</v>
      </c>
      <c r="E284" s="35"/>
      <c r="F284" s="38"/>
      <c r="G284" s="38" t="str">
        <f>"1. "&amp;D284&amp; " thực hiện cấu hình kiểm tra quy tắc biến đổi định dạng dữ liệu về " &amp;C284&amp; ". Hệ thống ghi nhận quy tắc được thiết lập.
2. " &amp;D284&amp;" có thể cấu hình biến đổi gộp hoặc tách cột dữ liệu về "&amp;C284&amp;". Hệ thống ghi nhận quy tắc được thiết lập.
3. " &amp;D284&amp;" có thể cấu hình phân loại, gán nhãn dữ liệu về "&amp;C284&amp;". Hệ thống ghi nhận quy tắc được thiết lập."</f>
        <v>1. Quản trị hệ thống thực hiện cấu hình kiểm tra quy tắc biến đổi định dạng dữ liệu về Xác minh điều kiện trong thi hành án dân sự. Hệ thống ghi nhận quy tắc được thiết lập.
2. Quản trị hệ thống có thể cấu hình biến đổi gộp hoặc tách cột dữ liệu về Xác minh điều kiện trong thi hành án dân sự. Hệ thống ghi nhận quy tắc được thiết lập.
3. Quản trị hệ thống có thể cấu hình phân loại, gán nhãn dữ liệu về Xác minh điều kiện trong thi hành án dân sự. Hệ thống ghi nhận quy tắc được thiết lập.</v>
      </c>
      <c r="H284" s="36" t="s">
        <v>5</v>
      </c>
      <c r="I284" s="36" t="s">
        <v>6</v>
      </c>
    </row>
    <row r="285" spans="1:9" ht="148.5">
      <c r="A285" s="36">
        <f>COUNTA($D$4:D285)</f>
        <v>234</v>
      </c>
      <c r="B285" s="38" t="str">
        <f t="shared" ref="B285" si="45">"Thiết lập quy tắc làm sạch " &amp;C285</f>
        <v>Thiết lập quy tắc làm sạch Cưỡng chế thi hành án trong thi hành án dân sự</v>
      </c>
      <c r="C285" s="38" t="s">
        <v>85</v>
      </c>
      <c r="D285" s="34" t="s">
        <v>28</v>
      </c>
      <c r="E285" s="35"/>
      <c r="F285" s="38"/>
      <c r="G285" s="38" t="str">
        <f>"1. "&amp;D285&amp; " thực hiện cấu hình kiểm tra quy tắc về chuẩn định dạng " &amp;C285&amp; ". Hệ thống ghi nhận quy tắc được thiết lập.
2. " &amp;D285&amp;" có thể cấu hình kiểm tra tính hợp lệ của dữ liệu về "&amp;C285&amp;". Hệ thống ghi nhận quy tắc được thiết lập.
3. " &amp;D285&amp;" có thể cấu hình xử lý giá trị thiếu dữ liệu về "&amp;C285&amp;". Hệ thống ghi nhận quy tắc được thiết lập.
4. " &amp;D285&amp;" có thể cấu hình xử lý loại bỏ hoặc thay thế giá trị ngoại lệ về "&amp;C285&amp;". Hệ thống ghi nhận quy tắc được thiết lập"</f>
        <v>1. Quản trị hệ thống thực hiện cấu hình kiểm tra quy tắc về chuẩn định dạng Cưỡng chế thi hành án trong thi hành án dân sự. Hệ thống ghi nhận quy tắc được thiết lập.
2. Quản trị hệ thống có thể cấu hình kiểm tra tính hợp lệ của dữ liệu về Cưỡng chế thi hành án trong thi hành án dân sự. Hệ thống ghi nhận quy tắc được thiết lập.
3. Quản trị hệ thống có thể cấu hình xử lý giá trị thiếu dữ liệu về Cưỡng chế thi hành án trong thi hành án dân sự. Hệ thống ghi nhận quy tắc được thiết lập.
4. Quản trị hệ thống có thể cấu hình xử lý loại bỏ hoặc thay thế giá trị ngoại lệ về Cưỡng chế thi hành án trong thi hành án dân sự. Hệ thống ghi nhận quy tắc được thiết lập</v>
      </c>
      <c r="H285" s="36" t="s">
        <v>5</v>
      </c>
      <c r="I285" s="36" t="s">
        <v>7</v>
      </c>
    </row>
    <row r="286" spans="1:9" ht="132">
      <c r="A286" s="36">
        <f>COUNTA($D$4:D286)</f>
        <v>235</v>
      </c>
      <c r="B286" s="38" t="str">
        <f>"Thiết lập quy tắc chuẩn hóa " &amp;C286</f>
        <v>Thiết lập quy tắc chuẩn hóa Cưỡng chế thi hành án trong thi hành án dân sự</v>
      </c>
      <c r="C286" s="38" t="s">
        <v>85</v>
      </c>
      <c r="D286" s="34" t="s">
        <v>28</v>
      </c>
      <c r="E286" s="35"/>
      <c r="F286" s="38"/>
      <c r="G286" s="38" t="str">
        <f>"1. "&amp;D286&amp; " thực hiện cấu hình kiểm tra đối sánh tồn tại dựa trên trường khóa của " &amp;C286&amp; ". Hệ thống ghi nhận quy tắc được thiết lập.
2. " &amp;D286&amp;" có thể cấu hình xử lý trùng lặp về "&amp;C286&amp;". Hệ thống ghi nhận quy tắc được thiết lập.
3. " &amp;D286&amp;" có thể cấu hình xử lý vi phạm về ràng buộc thuộc tính tham chiếu "&amp;C286&amp;". Hệ thống ghi nhận quy tắc được thiết lập."</f>
        <v>1. Quản trị hệ thống thực hiện cấu hình kiểm tra đối sánh tồn tại dựa trên trường khóa của Cưỡng chế thi hành án trong thi hành án dân sự. Hệ thống ghi nhận quy tắc được thiết lập.
2. Quản trị hệ thống có thể cấu hình xử lý trùng lặp về Cưỡng chế thi hành án trong thi hành án dân sự. Hệ thống ghi nhận quy tắc được thiết lập.
3. Quản trị hệ thống có thể cấu hình xử lý vi phạm về ràng buộc thuộc tính tham chiếu Cưỡng chế thi hành án trong thi hành án dân sự. Hệ thống ghi nhận quy tắc được thiết lập.</v>
      </c>
      <c r="H286" s="36" t="s">
        <v>5</v>
      </c>
      <c r="I286" s="36" t="s">
        <v>6</v>
      </c>
    </row>
    <row r="287" spans="1:9" ht="115.5">
      <c r="A287" s="36">
        <f>COUNTA($D$4:D287)</f>
        <v>236</v>
      </c>
      <c r="B287" s="38" t="str">
        <f>"Thiết lập quy tắc biến đổi " &amp;C287</f>
        <v>Thiết lập quy tắc biến đổi Cưỡng chế thi hành án trong thi hành án dân sự</v>
      </c>
      <c r="C287" s="38" t="s">
        <v>85</v>
      </c>
      <c r="D287" s="34" t="s">
        <v>28</v>
      </c>
      <c r="E287" s="35"/>
      <c r="F287" s="38"/>
      <c r="G287" s="38" t="str">
        <f>"1. "&amp;D287&amp; " thực hiện cấu hình kiểm tra quy tắc biến đổi định dạng dữ liệu về " &amp;C287&amp; ". Hệ thống ghi nhận quy tắc được thiết lập.
2. " &amp;D287&amp;" có thể cấu hình biến đổi gộp hoặc tách cột dữ liệu về "&amp;C287&amp;". Hệ thống ghi nhận quy tắc được thiết lập.
3. " &amp;D287&amp;" có thể cấu hình phân loại, gán nhãn dữ liệu về "&amp;C287&amp;". Hệ thống ghi nhận quy tắc được thiết lập."</f>
        <v>1. Quản trị hệ thống thực hiện cấu hình kiểm tra quy tắc biến đổi định dạng dữ liệu về Cưỡng chế thi hành án trong thi hành án dân sự. Hệ thống ghi nhận quy tắc được thiết lập.
2. Quản trị hệ thống có thể cấu hình biến đổi gộp hoặc tách cột dữ liệu về Cưỡng chế thi hành án trong thi hành án dân sự. Hệ thống ghi nhận quy tắc được thiết lập.
3. Quản trị hệ thống có thể cấu hình phân loại, gán nhãn dữ liệu về Cưỡng chế thi hành án trong thi hành án dân sự. Hệ thống ghi nhận quy tắc được thiết lập.</v>
      </c>
      <c r="H287" s="36" t="s">
        <v>5</v>
      </c>
      <c r="I287" s="36" t="s">
        <v>6</v>
      </c>
    </row>
    <row r="288" spans="1:9" ht="165">
      <c r="A288" s="36">
        <f>COUNTA($D$4:D288)</f>
        <v>237</v>
      </c>
      <c r="B288" s="38" t="str">
        <f t="shared" ref="B288" si="46">"Thiết lập quy tắc làm sạch " &amp;C288</f>
        <v>Thiết lập quy tắc làm sạch Áp dụng biện pháp bảo đảm trong thi hành án dân sự</v>
      </c>
      <c r="C288" s="38" t="s">
        <v>86</v>
      </c>
      <c r="D288" s="34" t="s">
        <v>28</v>
      </c>
      <c r="E288" s="35"/>
      <c r="F288" s="38"/>
      <c r="G288" s="38" t="str">
        <f>"1. "&amp;D288&amp; " thực hiện cấu hình kiểm tra quy tắc về chuẩn định dạng " &amp;C288&amp; ". Hệ thống ghi nhận quy tắc được thiết lập.
2. " &amp;D288&amp;" có thể cấu hình kiểm tra tính hợp lệ của dữ liệu về "&amp;C288&amp;". Hệ thống ghi nhận quy tắc được thiết lập.
3. " &amp;D288&amp;" có thể cấu hình xử lý giá trị thiếu dữ liệu về "&amp;C288&amp;". Hệ thống ghi nhận quy tắc được thiết lập.
4. " &amp;D288&amp;" có thể cấu hình xử lý loại bỏ hoặc thay thế giá trị ngoại lệ về "&amp;C288&amp;". Hệ thống ghi nhận quy tắc được thiết lập"</f>
        <v>1. Quản trị hệ thống thực hiện cấu hình kiểm tra quy tắc về chuẩn định dạng Áp dụng biện pháp bảo đảm trong thi hành án dân sự. Hệ thống ghi nhận quy tắc được thiết lập.
2. Quản trị hệ thống có thể cấu hình kiểm tra tính hợp lệ của dữ liệu về Áp dụng biện pháp bảo đảm trong thi hành án dân sự. Hệ thống ghi nhận quy tắc được thiết lập.
3. Quản trị hệ thống có thể cấu hình xử lý giá trị thiếu dữ liệu về Áp dụng biện pháp bảo đảm trong thi hành án dân sự. Hệ thống ghi nhận quy tắc được thiết lập.
4. Quản trị hệ thống có thể cấu hình xử lý loại bỏ hoặc thay thế giá trị ngoại lệ về Áp dụng biện pháp bảo đảm trong thi hành án dân sự. Hệ thống ghi nhận quy tắc được thiết lập</v>
      </c>
      <c r="H288" s="36" t="s">
        <v>5</v>
      </c>
      <c r="I288" s="36" t="s">
        <v>7</v>
      </c>
    </row>
    <row r="289" spans="1:9" ht="132">
      <c r="A289" s="36">
        <f>COUNTA($D$4:D289)</f>
        <v>238</v>
      </c>
      <c r="B289" s="38" t="str">
        <f>"Thiết lập quy tắc chuẩn hóa " &amp;C289</f>
        <v>Thiết lập quy tắc chuẩn hóa Áp dụng biện pháp bảo đảm trong thi hành án dân sự</v>
      </c>
      <c r="C289" s="38" t="s">
        <v>86</v>
      </c>
      <c r="D289" s="34" t="s">
        <v>28</v>
      </c>
      <c r="E289" s="35"/>
      <c r="F289" s="38"/>
      <c r="G289" s="38" t="str">
        <f>"1. "&amp;D289&amp; " thực hiện cấu hình kiểm tra đối sánh tồn tại dựa trên trường khóa của " &amp;C289&amp; ". Hệ thống ghi nhận quy tắc được thiết lập.
2. " &amp;D289&amp;" có thể cấu hình xử lý trùng lặp về "&amp;C289&amp;". Hệ thống ghi nhận quy tắc được thiết lập.
3. " &amp;D289&amp;" có thể cấu hình xử lý vi phạm về ràng buộc thuộc tính tham chiếu "&amp;C289&amp;". Hệ thống ghi nhận quy tắc được thiết lập."</f>
        <v>1. Quản trị hệ thống thực hiện cấu hình kiểm tra đối sánh tồn tại dựa trên trường khóa của Áp dụng biện pháp bảo đảm trong thi hành án dân sự. Hệ thống ghi nhận quy tắc được thiết lập.
2. Quản trị hệ thống có thể cấu hình xử lý trùng lặp về Áp dụng biện pháp bảo đảm trong thi hành án dân sự. Hệ thống ghi nhận quy tắc được thiết lập.
3. Quản trị hệ thống có thể cấu hình xử lý vi phạm về ràng buộc thuộc tính tham chiếu Áp dụng biện pháp bảo đảm trong thi hành án dân sự. Hệ thống ghi nhận quy tắc được thiết lập.</v>
      </c>
      <c r="H289" s="36" t="s">
        <v>5</v>
      </c>
      <c r="I289" s="36" t="s">
        <v>6</v>
      </c>
    </row>
    <row r="290" spans="1:9" ht="132">
      <c r="A290" s="36">
        <f>COUNTA($D$4:D290)</f>
        <v>239</v>
      </c>
      <c r="B290" s="38" t="str">
        <f>"Thiết lập quy tắc biến đổi " &amp;C290</f>
        <v>Thiết lập quy tắc biến đổi Áp dụng biện pháp bảo đảm trong thi hành án dân sự</v>
      </c>
      <c r="C290" s="38" t="s">
        <v>86</v>
      </c>
      <c r="D290" s="34" t="s">
        <v>28</v>
      </c>
      <c r="E290" s="35"/>
      <c r="F290" s="38"/>
      <c r="G290" s="38" t="str">
        <f>"1. "&amp;D290&amp; " thực hiện cấu hình kiểm tra quy tắc biến đổi định dạng dữ liệu về " &amp;C290&amp; ". Hệ thống ghi nhận quy tắc được thiết lập.
2. " &amp;D290&amp;" có thể cấu hình biến đổi gộp hoặc tách cột dữ liệu về "&amp;C290&amp;". Hệ thống ghi nhận quy tắc được thiết lập.
3. " &amp;D290&amp;" có thể cấu hình phân loại, gán nhãn dữ liệu về "&amp;C290&amp;". Hệ thống ghi nhận quy tắc được thiết lập."</f>
        <v>1. Quản trị hệ thống thực hiện cấu hình kiểm tra quy tắc biến đổi định dạng dữ liệu về Áp dụng biện pháp bảo đảm trong thi hành án dân sự. Hệ thống ghi nhận quy tắc được thiết lập.
2. Quản trị hệ thống có thể cấu hình biến đổi gộp hoặc tách cột dữ liệu về Áp dụng biện pháp bảo đảm trong thi hành án dân sự. Hệ thống ghi nhận quy tắc được thiết lập.
3. Quản trị hệ thống có thể cấu hình phân loại, gán nhãn dữ liệu về Áp dụng biện pháp bảo đảm trong thi hành án dân sự. Hệ thống ghi nhận quy tắc được thiết lập.</v>
      </c>
      <c r="H290" s="36" t="s">
        <v>5</v>
      </c>
      <c r="I290" s="36" t="s">
        <v>6</v>
      </c>
    </row>
    <row r="291" spans="1:9" ht="148.5">
      <c r="A291" s="36">
        <f>COUNTA($D$4:D291)</f>
        <v>240</v>
      </c>
      <c r="B291" s="38" t="str">
        <f t="shared" ref="B291" si="47">"Thiết lập quy tắc làm sạch " &amp;C291</f>
        <v>Thiết lập quy tắc làm sạch Chứng từ nghiệp vụ trong thi hành án dân sự</v>
      </c>
      <c r="C291" s="38" t="s">
        <v>87</v>
      </c>
      <c r="D291" s="34" t="s">
        <v>28</v>
      </c>
      <c r="E291" s="35"/>
      <c r="F291" s="38"/>
      <c r="G291" s="38" t="str">
        <f>"1. "&amp;D291&amp; " thực hiện cấu hình kiểm tra quy tắc về chuẩn định dạng " &amp;C291&amp; ". Hệ thống ghi nhận quy tắc được thiết lập.
2. " &amp;D291&amp;" có thể cấu hình kiểm tra tính hợp lệ của dữ liệu về "&amp;C291&amp;". Hệ thống ghi nhận quy tắc được thiết lập.
3. " &amp;D291&amp;" có thể cấu hình xử lý giá trị thiếu dữ liệu về "&amp;C291&amp;". Hệ thống ghi nhận quy tắc được thiết lập.
4. " &amp;D291&amp;" có thể cấu hình xử lý loại bỏ hoặc thay thế giá trị ngoại lệ về "&amp;C291&amp;". Hệ thống ghi nhận quy tắc được thiết lập"</f>
        <v>1. Quản trị hệ thống thực hiện cấu hình kiểm tra quy tắc về chuẩn định dạng Chứng từ nghiệp vụ trong thi hành án dân sự. Hệ thống ghi nhận quy tắc được thiết lập.
2. Quản trị hệ thống có thể cấu hình kiểm tra tính hợp lệ của dữ liệu về Chứng từ nghiệp vụ trong thi hành án dân sự. Hệ thống ghi nhận quy tắc được thiết lập.
3. Quản trị hệ thống có thể cấu hình xử lý giá trị thiếu dữ liệu về Chứng từ nghiệp vụ trong thi hành án dân sự. Hệ thống ghi nhận quy tắc được thiết lập.
4. Quản trị hệ thống có thể cấu hình xử lý loại bỏ hoặc thay thế giá trị ngoại lệ về Chứng từ nghiệp vụ trong thi hành án dân sự. Hệ thống ghi nhận quy tắc được thiết lập</v>
      </c>
      <c r="H291" s="36" t="s">
        <v>5</v>
      </c>
      <c r="I291" s="36" t="s">
        <v>7</v>
      </c>
    </row>
    <row r="292" spans="1:9" ht="132">
      <c r="A292" s="36">
        <f>COUNTA($D$4:D292)</f>
        <v>241</v>
      </c>
      <c r="B292" s="38" t="str">
        <f>"Thiết lập quy tắc chuẩn hóa " &amp;C292</f>
        <v>Thiết lập quy tắc chuẩn hóa Chứng từ nghiệp vụ trong thi hành án dân sự</v>
      </c>
      <c r="C292" s="38" t="s">
        <v>87</v>
      </c>
      <c r="D292" s="34" t="s">
        <v>28</v>
      </c>
      <c r="E292" s="35"/>
      <c r="F292" s="38"/>
      <c r="G292" s="38" t="str">
        <f>"1. "&amp;D292&amp; " thực hiện cấu hình kiểm tra đối sánh tồn tại dựa trên trường khóa của " &amp;C292&amp; ". Hệ thống ghi nhận quy tắc được thiết lập.
2. " &amp;D292&amp;" có thể cấu hình xử lý trùng lặp về "&amp;C292&amp;". Hệ thống ghi nhận quy tắc được thiết lập.
3. " &amp;D292&amp;" có thể cấu hình xử lý vi phạm về ràng buộc thuộc tính tham chiếu "&amp;C292&amp;". Hệ thống ghi nhận quy tắc được thiết lập."</f>
        <v>1. Quản trị hệ thống thực hiện cấu hình kiểm tra đối sánh tồn tại dựa trên trường khóa của Chứng từ nghiệp vụ trong thi hành án dân sự. Hệ thống ghi nhận quy tắc được thiết lập.
2. Quản trị hệ thống có thể cấu hình xử lý trùng lặp về Chứng từ nghiệp vụ trong thi hành án dân sự. Hệ thống ghi nhận quy tắc được thiết lập.
3. Quản trị hệ thống có thể cấu hình xử lý vi phạm về ràng buộc thuộc tính tham chiếu Chứng từ nghiệp vụ trong thi hành án dân sự. Hệ thống ghi nhận quy tắc được thiết lập.</v>
      </c>
      <c r="H292" s="36" t="s">
        <v>5</v>
      </c>
      <c r="I292" s="36" t="s">
        <v>6</v>
      </c>
    </row>
    <row r="293" spans="1:9" ht="115.5">
      <c r="A293" s="36">
        <f>COUNTA($D$4:D293)</f>
        <v>242</v>
      </c>
      <c r="B293" s="38" t="str">
        <f>"Thiết lập quy tắc biến đổi " &amp;C293</f>
        <v>Thiết lập quy tắc biến đổi Chứng từ nghiệp vụ trong thi hành án dân sự</v>
      </c>
      <c r="C293" s="38" t="s">
        <v>87</v>
      </c>
      <c r="D293" s="34" t="s">
        <v>28</v>
      </c>
      <c r="E293" s="35"/>
      <c r="F293" s="38"/>
      <c r="G293" s="38" t="str">
        <f>"1. "&amp;D293&amp; " thực hiện cấu hình kiểm tra quy tắc biến đổi định dạng dữ liệu về " &amp;C293&amp; ". Hệ thống ghi nhận quy tắc được thiết lập.
2. " &amp;D293&amp;" có thể cấu hình biến đổi gộp hoặc tách cột dữ liệu về "&amp;C293&amp;". Hệ thống ghi nhận quy tắc được thiết lập.
3. " &amp;D293&amp;" có thể cấu hình phân loại, gán nhãn dữ liệu về "&amp;C293&amp;". Hệ thống ghi nhận quy tắc được thiết lập."</f>
        <v>1. Quản trị hệ thống thực hiện cấu hình kiểm tra quy tắc biến đổi định dạng dữ liệu về Chứng từ nghiệp vụ trong thi hành án dân sự. Hệ thống ghi nhận quy tắc được thiết lập.
2. Quản trị hệ thống có thể cấu hình biến đổi gộp hoặc tách cột dữ liệu về Chứng từ nghiệp vụ trong thi hành án dân sự. Hệ thống ghi nhận quy tắc được thiết lập.
3. Quản trị hệ thống có thể cấu hình phân loại, gán nhãn dữ liệu về Chứng từ nghiệp vụ trong thi hành án dân sự. Hệ thống ghi nhận quy tắc được thiết lập.</v>
      </c>
      <c r="H293" s="36" t="s">
        <v>5</v>
      </c>
      <c r="I293" s="36" t="s">
        <v>6</v>
      </c>
    </row>
    <row r="294" spans="1:9" ht="132">
      <c r="A294" s="36">
        <f>COUNTA($D$4:D294)</f>
        <v>243</v>
      </c>
      <c r="B294" s="38" t="str">
        <f t="shared" ref="B294" si="48">"Thiết lập quy tắc làm sạch " &amp;C294</f>
        <v>Thiết lập quy tắc làm sạch Biên lai thu tiền thi hành án dân sự</v>
      </c>
      <c r="C294" s="38" t="s">
        <v>88</v>
      </c>
      <c r="D294" s="34" t="s">
        <v>28</v>
      </c>
      <c r="E294" s="35"/>
      <c r="F294" s="38"/>
      <c r="G294" s="38" t="str">
        <f>"1. "&amp;D294&amp; " thực hiện cấu hình kiểm tra quy tắc về chuẩn định dạng " &amp;C294&amp; ". Hệ thống ghi nhận quy tắc được thiết lập.
2. " &amp;D294&amp;" có thể cấu hình kiểm tra tính hợp lệ của dữ liệu về "&amp;C294&amp;". Hệ thống ghi nhận quy tắc được thiết lập.
3. " &amp;D294&amp;" có thể cấu hình xử lý giá trị thiếu dữ liệu về "&amp;C294&amp;". Hệ thống ghi nhận quy tắc được thiết lập.
4. " &amp;D294&amp;" có thể cấu hình xử lý loại bỏ hoặc thay thế giá trị ngoại lệ về "&amp;C294&amp;". Hệ thống ghi nhận quy tắc được thiết lập"</f>
        <v>1. Quản trị hệ thống thực hiện cấu hình kiểm tra quy tắc về chuẩn định dạng Biên lai thu tiền thi hành án dân sự. Hệ thống ghi nhận quy tắc được thiết lập.
2. Quản trị hệ thống có thể cấu hình kiểm tra tính hợp lệ của dữ liệu về Biên lai thu tiền thi hành án dân sự. Hệ thống ghi nhận quy tắc được thiết lập.
3. Quản trị hệ thống có thể cấu hình xử lý giá trị thiếu dữ liệu về Biên lai thu tiền thi hành án dân sự. Hệ thống ghi nhận quy tắc được thiết lập.
4. Quản trị hệ thống có thể cấu hình xử lý loại bỏ hoặc thay thế giá trị ngoại lệ về Biên lai thu tiền thi hành án dân sự. Hệ thống ghi nhận quy tắc được thiết lập</v>
      </c>
      <c r="H294" s="36" t="s">
        <v>5</v>
      </c>
      <c r="I294" s="36" t="s">
        <v>7</v>
      </c>
    </row>
    <row r="295" spans="1:9" ht="115.5">
      <c r="A295" s="36">
        <f>COUNTA($D$4:D295)</f>
        <v>244</v>
      </c>
      <c r="B295" s="38" t="str">
        <f>"Thiết lập quy tắc chuẩn hóa " &amp;C295</f>
        <v>Thiết lập quy tắc chuẩn hóa Biên lai thu tiền thi hành án dân sự</v>
      </c>
      <c r="C295" s="38" t="s">
        <v>88</v>
      </c>
      <c r="D295" s="34" t="s">
        <v>28</v>
      </c>
      <c r="E295" s="35"/>
      <c r="F295" s="38"/>
      <c r="G295" s="38" t="str">
        <f>"1. "&amp;D295&amp; " thực hiện cấu hình kiểm tra đối sánh tồn tại dựa trên trường khóa của " &amp;C295&amp; ". Hệ thống ghi nhận quy tắc được thiết lập.
2. " &amp;D295&amp;" có thể cấu hình xử lý trùng lặp về "&amp;C295&amp;". Hệ thống ghi nhận quy tắc được thiết lập.
3. " &amp;D295&amp;" có thể cấu hình xử lý vi phạm về ràng buộc thuộc tính tham chiếu "&amp;C295&amp;". Hệ thống ghi nhận quy tắc được thiết lập."</f>
        <v>1. Quản trị hệ thống thực hiện cấu hình kiểm tra đối sánh tồn tại dựa trên trường khóa của Biên lai thu tiền thi hành án dân sự. Hệ thống ghi nhận quy tắc được thiết lập.
2. Quản trị hệ thống có thể cấu hình xử lý trùng lặp về Biên lai thu tiền thi hành án dân sự. Hệ thống ghi nhận quy tắc được thiết lập.
3. Quản trị hệ thống có thể cấu hình xử lý vi phạm về ràng buộc thuộc tính tham chiếu Biên lai thu tiền thi hành án dân sự. Hệ thống ghi nhận quy tắc được thiết lập.</v>
      </c>
      <c r="H295" s="36" t="s">
        <v>5</v>
      </c>
      <c r="I295" s="36" t="s">
        <v>6</v>
      </c>
    </row>
    <row r="296" spans="1:9" ht="99">
      <c r="A296" s="36">
        <f>COUNTA($D$4:D296)</f>
        <v>245</v>
      </c>
      <c r="B296" s="38" t="str">
        <f>"Thiết lập quy tắc biến đổi " &amp;C296</f>
        <v>Thiết lập quy tắc biến đổi Biên lai thu tiền thi hành án dân sự</v>
      </c>
      <c r="C296" s="38" t="s">
        <v>88</v>
      </c>
      <c r="D296" s="34" t="s">
        <v>28</v>
      </c>
      <c r="E296" s="35"/>
      <c r="F296" s="38"/>
      <c r="G296" s="38" t="str">
        <f>"1. "&amp;D296&amp; " thực hiện cấu hình kiểm tra quy tắc biến đổi định dạng dữ liệu về " &amp;C296&amp; ". Hệ thống ghi nhận quy tắc được thiết lập.
2. " &amp;D296&amp;" có thể cấu hình biến đổi gộp hoặc tách cột dữ liệu về "&amp;C296&amp;". Hệ thống ghi nhận quy tắc được thiết lập.
3. " &amp;D296&amp;" có thể cấu hình phân loại, gán nhãn dữ liệu về "&amp;C296&amp;". Hệ thống ghi nhận quy tắc được thiết lập."</f>
        <v>1. Quản trị hệ thống thực hiện cấu hình kiểm tra quy tắc biến đổi định dạng dữ liệu về Biên lai thu tiền thi hành án dân sự. Hệ thống ghi nhận quy tắc được thiết lập.
2. Quản trị hệ thống có thể cấu hình biến đổi gộp hoặc tách cột dữ liệu về Biên lai thu tiền thi hành án dân sự. Hệ thống ghi nhận quy tắc được thiết lập.
3. Quản trị hệ thống có thể cấu hình phân loại, gán nhãn dữ liệu về Biên lai thu tiền thi hành án dân sự. Hệ thống ghi nhận quy tắc được thiết lập.</v>
      </c>
      <c r="H296" s="36" t="s">
        <v>5</v>
      </c>
      <c r="I296" s="36" t="s">
        <v>6</v>
      </c>
    </row>
    <row r="297" spans="1:9" ht="132">
      <c r="A297" s="36">
        <f>COUNTA($D$4:D297)</f>
        <v>246</v>
      </c>
      <c r="B297" s="38" t="str">
        <f t="shared" ref="B297" si="49">"Thiết lập quy tắc làm sạch " &amp;C297</f>
        <v>Thiết lập quy tắc làm sạch Vật chứng trong thi hành án dân sự</v>
      </c>
      <c r="C297" s="38" t="s">
        <v>89</v>
      </c>
      <c r="D297" s="34" t="s">
        <v>28</v>
      </c>
      <c r="E297" s="35"/>
      <c r="F297" s="38"/>
      <c r="G297" s="38" t="str">
        <f>"1. "&amp;D297&amp; " thực hiện cấu hình kiểm tra quy tắc về chuẩn định dạng " &amp;C297&amp; ". Hệ thống ghi nhận quy tắc được thiết lập.
2. " &amp;D297&amp;" có thể cấu hình kiểm tra tính hợp lệ của dữ liệu về "&amp;C297&amp;". Hệ thống ghi nhận quy tắc được thiết lập.
3. " &amp;D297&amp;" có thể cấu hình xử lý giá trị thiếu dữ liệu về "&amp;C297&amp;". Hệ thống ghi nhận quy tắc được thiết lập.
4. " &amp;D297&amp;" có thể cấu hình xử lý loại bỏ hoặc thay thế giá trị ngoại lệ về "&amp;C297&amp;". Hệ thống ghi nhận quy tắc được thiết lập"</f>
        <v>1. Quản trị hệ thống thực hiện cấu hình kiểm tra quy tắc về chuẩn định dạng Vật chứng trong thi hành án dân sự. Hệ thống ghi nhận quy tắc được thiết lập.
2. Quản trị hệ thống có thể cấu hình kiểm tra tính hợp lệ của dữ liệu về Vật chứng trong thi hành án dân sự. Hệ thống ghi nhận quy tắc được thiết lập.
3. Quản trị hệ thống có thể cấu hình xử lý giá trị thiếu dữ liệu về Vật chứng trong thi hành án dân sự. Hệ thống ghi nhận quy tắc được thiết lập.
4. Quản trị hệ thống có thể cấu hình xử lý loại bỏ hoặc thay thế giá trị ngoại lệ về Vật chứng trong thi hành án dân sự. Hệ thống ghi nhận quy tắc được thiết lập</v>
      </c>
      <c r="H297" s="36" t="s">
        <v>5</v>
      </c>
      <c r="I297" s="36" t="s">
        <v>7</v>
      </c>
    </row>
    <row r="298" spans="1:9" ht="115.5">
      <c r="A298" s="36">
        <f>COUNTA($D$4:D298)</f>
        <v>247</v>
      </c>
      <c r="B298" s="38" t="str">
        <f>"Thiết lập quy tắc chuẩn hóa " &amp;C298</f>
        <v>Thiết lập quy tắc chuẩn hóa Vật chứng trong thi hành án dân sự</v>
      </c>
      <c r="C298" s="38" t="s">
        <v>89</v>
      </c>
      <c r="D298" s="34" t="s">
        <v>28</v>
      </c>
      <c r="E298" s="35"/>
      <c r="F298" s="38"/>
      <c r="G298" s="38" t="str">
        <f>"1. "&amp;D298&amp; " thực hiện cấu hình kiểm tra đối sánh tồn tại dựa trên trường khóa của " &amp;C298&amp; ". Hệ thống ghi nhận quy tắc được thiết lập.
2. " &amp;D298&amp;" có thể cấu hình xử lý trùng lặp về "&amp;C298&amp;". Hệ thống ghi nhận quy tắc được thiết lập.
3. " &amp;D298&amp;" có thể cấu hình xử lý vi phạm về ràng buộc thuộc tính tham chiếu "&amp;C298&amp;". Hệ thống ghi nhận quy tắc được thiết lập."</f>
        <v>1. Quản trị hệ thống thực hiện cấu hình kiểm tra đối sánh tồn tại dựa trên trường khóa của Vật chứng trong thi hành án dân sự. Hệ thống ghi nhận quy tắc được thiết lập.
2. Quản trị hệ thống có thể cấu hình xử lý trùng lặp về Vật chứng trong thi hành án dân sự. Hệ thống ghi nhận quy tắc được thiết lập.
3. Quản trị hệ thống có thể cấu hình xử lý vi phạm về ràng buộc thuộc tính tham chiếu Vật chứng trong thi hành án dân sự. Hệ thống ghi nhận quy tắc được thiết lập.</v>
      </c>
      <c r="H298" s="36" t="s">
        <v>5</v>
      </c>
      <c r="I298" s="36" t="s">
        <v>6</v>
      </c>
    </row>
    <row r="299" spans="1:9" ht="99">
      <c r="A299" s="36">
        <f>COUNTA($D$4:D299)</f>
        <v>248</v>
      </c>
      <c r="B299" s="38" t="str">
        <f>"Thiết lập quy tắc biến đổi " &amp;C299</f>
        <v>Thiết lập quy tắc biến đổi Vật chứng trong thi hành án dân sự</v>
      </c>
      <c r="C299" s="38" t="s">
        <v>89</v>
      </c>
      <c r="D299" s="34" t="s">
        <v>28</v>
      </c>
      <c r="E299" s="35"/>
      <c r="F299" s="38"/>
      <c r="G299" s="38" t="str">
        <f>"1. "&amp;D299&amp; " thực hiện cấu hình kiểm tra quy tắc biến đổi định dạng dữ liệu về " &amp;C299&amp; ". Hệ thống ghi nhận quy tắc được thiết lập.
2. " &amp;D299&amp;" có thể cấu hình biến đổi gộp hoặc tách cột dữ liệu về "&amp;C299&amp;". Hệ thống ghi nhận quy tắc được thiết lập.
3. " &amp;D299&amp;" có thể cấu hình phân loại, gán nhãn dữ liệu về "&amp;C299&amp;". Hệ thống ghi nhận quy tắc được thiết lập."</f>
        <v>1. Quản trị hệ thống thực hiện cấu hình kiểm tra quy tắc biến đổi định dạng dữ liệu về Vật chứng trong thi hành án dân sự. Hệ thống ghi nhận quy tắc được thiết lập.
2. Quản trị hệ thống có thể cấu hình biến đổi gộp hoặc tách cột dữ liệu về Vật chứng trong thi hành án dân sự. Hệ thống ghi nhận quy tắc được thiết lập.
3. Quản trị hệ thống có thể cấu hình phân loại, gán nhãn dữ liệu về Vật chứng trong thi hành án dân sự. Hệ thống ghi nhận quy tắc được thiết lập.</v>
      </c>
      <c r="H299" s="36" t="s">
        <v>5</v>
      </c>
      <c r="I299" s="36" t="s">
        <v>6</v>
      </c>
    </row>
    <row r="300" spans="1:9" ht="148.5">
      <c r="A300" s="36">
        <f>COUNTA($D$4:D300)</f>
        <v>249</v>
      </c>
      <c r="B300" s="38" t="str">
        <f t="shared" ref="B300" si="50">"Thiết lập quy tắc làm sạch " &amp;C300</f>
        <v>Thiết lập quy tắc làm sạch Thẩm định giá tài sản trong thi hành án dân sự</v>
      </c>
      <c r="C300" s="38" t="s">
        <v>90</v>
      </c>
      <c r="D300" s="34" t="s">
        <v>28</v>
      </c>
      <c r="E300" s="35"/>
      <c r="F300" s="38"/>
      <c r="G300" s="38" t="str">
        <f>"1. "&amp;D300&amp; " thực hiện cấu hình kiểm tra quy tắc về chuẩn định dạng " &amp;C300&amp; ". Hệ thống ghi nhận quy tắc được thiết lập.
2. " &amp;D300&amp;" có thể cấu hình kiểm tra tính hợp lệ của dữ liệu về "&amp;C300&amp;". Hệ thống ghi nhận quy tắc được thiết lập.
3. " &amp;D300&amp;" có thể cấu hình xử lý giá trị thiếu dữ liệu về "&amp;C300&amp;". Hệ thống ghi nhận quy tắc được thiết lập.
4. " &amp;D300&amp;" có thể cấu hình xử lý loại bỏ hoặc thay thế giá trị ngoại lệ về "&amp;C300&amp;". Hệ thống ghi nhận quy tắc được thiết lập"</f>
        <v>1. Quản trị hệ thống thực hiện cấu hình kiểm tra quy tắc về chuẩn định dạng Thẩm định giá tài sản trong thi hành án dân sự. Hệ thống ghi nhận quy tắc được thiết lập.
2. Quản trị hệ thống có thể cấu hình kiểm tra tính hợp lệ của dữ liệu về Thẩm định giá tài sản trong thi hành án dân sự. Hệ thống ghi nhận quy tắc được thiết lập.
3. Quản trị hệ thống có thể cấu hình xử lý giá trị thiếu dữ liệu về Thẩm định giá tài sản trong thi hành án dân sự. Hệ thống ghi nhận quy tắc được thiết lập.
4. Quản trị hệ thống có thể cấu hình xử lý loại bỏ hoặc thay thế giá trị ngoại lệ về Thẩm định giá tài sản trong thi hành án dân sự. Hệ thống ghi nhận quy tắc được thiết lập</v>
      </c>
      <c r="H300" s="36" t="s">
        <v>5</v>
      </c>
      <c r="I300" s="36" t="s">
        <v>7</v>
      </c>
    </row>
    <row r="301" spans="1:9" ht="132">
      <c r="A301" s="36">
        <f>COUNTA($D$4:D301)</f>
        <v>250</v>
      </c>
      <c r="B301" s="38" t="str">
        <f>"Thiết lập quy tắc chuẩn hóa " &amp;C301</f>
        <v>Thiết lập quy tắc chuẩn hóa Thẩm định giá tài sản trong thi hành án dân sự</v>
      </c>
      <c r="C301" s="38" t="s">
        <v>90</v>
      </c>
      <c r="D301" s="34" t="s">
        <v>28</v>
      </c>
      <c r="E301" s="35"/>
      <c r="F301" s="38"/>
      <c r="G301" s="38" t="str">
        <f>"1. "&amp;D301&amp; " thực hiện cấu hình kiểm tra đối sánh tồn tại dựa trên trường khóa của " &amp;C301&amp; ". Hệ thống ghi nhận quy tắc được thiết lập.
2. " &amp;D301&amp;" có thể cấu hình xử lý trùng lặp về "&amp;C301&amp;". Hệ thống ghi nhận quy tắc được thiết lập.
3. " &amp;D301&amp;" có thể cấu hình xử lý vi phạm về ràng buộc thuộc tính tham chiếu "&amp;C301&amp;". Hệ thống ghi nhận quy tắc được thiết lập."</f>
        <v>1. Quản trị hệ thống thực hiện cấu hình kiểm tra đối sánh tồn tại dựa trên trường khóa của Thẩm định giá tài sản trong thi hành án dân sự. Hệ thống ghi nhận quy tắc được thiết lập.
2. Quản trị hệ thống có thể cấu hình xử lý trùng lặp về Thẩm định giá tài sản trong thi hành án dân sự. Hệ thống ghi nhận quy tắc được thiết lập.
3. Quản trị hệ thống có thể cấu hình xử lý vi phạm về ràng buộc thuộc tính tham chiếu Thẩm định giá tài sản trong thi hành án dân sự. Hệ thống ghi nhận quy tắc được thiết lập.</v>
      </c>
      <c r="H301" s="36" t="s">
        <v>5</v>
      </c>
      <c r="I301" s="36" t="s">
        <v>6</v>
      </c>
    </row>
    <row r="302" spans="1:9" ht="115.5">
      <c r="A302" s="36">
        <f>COUNTA($D$4:D302)</f>
        <v>251</v>
      </c>
      <c r="B302" s="38" t="str">
        <f>"Thiết lập quy tắc biến đổi " &amp;C302</f>
        <v>Thiết lập quy tắc biến đổi Thẩm định giá tài sản trong thi hành án dân sự</v>
      </c>
      <c r="C302" s="38" t="s">
        <v>90</v>
      </c>
      <c r="D302" s="34" t="s">
        <v>28</v>
      </c>
      <c r="E302" s="35"/>
      <c r="F302" s="38"/>
      <c r="G302" s="38" t="str">
        <f>"1. "&amp;D302&amp; " thực hiện cấu hình kiểm tra quy tắc biến đổi định dạng dữ liệu về " &amp;C302&amp; ". Hệ thống ghi nhận quy tắc được thiết lập.
2. " &amp;D302&amp;" có thể cấu hình biến đổi gộp hoặc tách cột dữ liệu về "&amp;C302&amp;". Hệ thống ghi nhận quy tắc được thiết lập.
3. " &amp;D302&amp;" có thể cấu hình phân loại, gán nhãn dữ liệu về "&amp;C302&amp;". Hệ thống ghi nhận quy tắc được thiết lập."</f>
        <v>1. Quản trị hệ thống thực hiện cấu hình kiểm tra quy tắc biến đổi định dạng dữ liệu về Thẩm định giá tài sản trong thi hành án dân sự. Hệ thống ghi nhận quy tắc được thiết lập.
2. Quản trị hệ thống có thể cấu hình biến đổi gộp hoặc tách cột dữ liệu về Thẩm định giá tài sản trong thi hành án dân sự. Hệ thống ghi nhận quy tắc được thiết lập.
3. Quản trị hệ thống có thể cấu hình phân loại, gán nhãn dữ liệu về Thẩm định giá tài sản trong thi hành án dân sự. Hệ thống ghi nhận quy tắc được thiết lập.</v>
      </c>
      <c r="H302" s="36" t="s">
        <v>5</v>
      </c>
      <c r="I302" s="36" t="s">
        <v>6</v>
      </c>
    </row>
    <row r="303" spans="1:9" ht="132">
      <c r="A303" s="36">
        <f>COUNTA($D$4:D303)</f>
        <v>252</v>
      </c>
      <c r="B303" s="38" t="str">
        <f t="shared" ref="B303" si="51">"Thiết lập quy tắc làm sạch " &amp;C303</f>
        <v>Thiết lập quy tắc làm sạch Đấu giá tài sản trong thi hành án dân sự</v>
      </c>
      <c r="C303" s="38" t="s">
        <v>91</v>
      </c>
      <c r="D303" s="34" t="s">
        <v>28</v>
      </c>
      <c r="E303" s="35"/>
      <c r="F303" s="38"/>
      <c r="G303" s="38" t="str">
        <f>"1. "&amp;D303&amp; " thực hiện cấu hình kiểm tra quy tắc về chuẩn định dạng " &amp;C303&amp; ". Hệ thống ghi nhận quy tắc được thiết lập.
2. " &amp;D303&amp;" có thể cấu hình kiểm tra tính hợp lệ của dữ liệu về "&amp;C303&amp;". Hệ thống ghi nhận quy tắc được thiết lập.
3. " &amp;D303&amp;" có thể cấu hình xử lý giá trị thiếu dữ liệu về "&amp;C303&amp;". Hệ thống ghi nhận quy tắc được thiết lập.
4. " &amp;D303&amp;" có thể cấu hình xử lý loại bỏ hoặc thay thế giá trị ngoại lệ về "&amp;C303&amp;". Hệ thống ghi nhận quy tắc được thiết lập"</f>
        <v>1. Quản trị hệ thống thực hiện cấu hình kiểm tra quy tắc về chuẩn định dạng Đấu giá tài sản trong thi hành án dân sự. Hệ thống ghi nhận quy tắc được thiết lập.
2. Quản trị hệ thống có thể cấu hình kiểm tra tính hợp lệ của dữ liệu về Đấu giá tài sản trong thi hành án dân sự. Hệ thống ghi nhận quy tắc được thiết lập.
3. Quản trị hệ thống có thể cấu hình xử lý giá trị thiếu dữ liệu về Đấu giá tài sản trong thi hành án dân sự. Hệ thống ghi nhận quy tắc được thiết lập.
4. Quản trị hệ thống có thể cấu hình xử lý loại bỏ hoặc thay thế giá trị ngoại lệ về Đấu giá tài sản trong thi hành án dân sự. Hệ thống ghi nhận quy tắc được thiết lập</v>
      </c>
      <c r="H303" s="36" t="s">
        <v>5</v>
      </c>
      <c r="I303" s="36" t="s">
        <v>7</v>
      </c>
    </row>
    <row r="304" spans="1:9" ht="132">
      <c r="A304" s="36">
        <f>COUNTA($D$4:D304)</f>
        <v>253</v>
      </c>
      <c r="B304" s="38" t="str">
        <f>"Thiết lập quy tắc chuẩn hóa " &amp;C304</f>
        <v>Thiết lập quy tắc chuẩn hóa Đấu giá tài sản trong thi hành án dân sự</v>
      </c>
      <c r="C304" s="38" t="s">
        <v>91</v>
      </c>
      <c r="D304" s="34" t="s">
        <v>28</v>
      </c>
      <c r="E304" s="35"/>
      <c r="F304" s="38"/>
      <c r="G304" s="38" t="str">
        <f>"1. "&amp;D304&amp; " thực hiện cấu hình kiểm tra đối sánh tồn tại dựa trên trường khóa của " &amp;C304&amp; ". Hệ thống ghi nhận quy tắc được thiết lập.
2. " &amp;D304&amp;" có thể cấu hình xử lý trùng lặp về "&amp;C304&amp;". Hệ thống ghi nhận quy tắc được thiết lập.
3. " &amp;D304&amp;" có thể cấu hình xử lý vi phạm về ràng buộc thuộc tính tham chiếu "&amp;C304&amp;". Hệ thống ghi nhận quy tắc được thiết lập."</f>
        <v>1. Quản trị hệ thống thực hiện cấu hình kiểm tra đối sánh tồn tại dựa trên trường khóa của Đấu giá tài sản trong thi hành án dân sự. Hệ thống ghi nhận quy tắc được thiết lập.
2. Quản trị hệ thống có thể cấu hình xử lý trùng lặp về Đấu giá tài sản trong thi hành án dân sự. Hệ thống ghi nhận quy tắc được thiết lập.
3. Quản trị hệ thống có thể cấu hình xử lý vi phạm về ràng buộc thuộc tính tham chiếu Đấu giá tài sản trong thi hành án dân sự. Hệ thống ghi nhận quy tắc được thiết lập.</v>
      </c>
      <c r="H304" s="36" t="s">
        <v>5</v>
      </c>
      <c r="I304" s="36" t="s">
        <v>6</v>
      </c>
    </row>
    <row r="305" spans="1:9" ht="99">
      <c r="A305" s="36">
        <f>COUNTA($D$4:D305)</f>
        <v>254</v>
      </c>
      <c r="B305" s="38" t="str">
        <f>"Thiết lập quy tắc biến đổi " &amp;C305</f>
        <v>Thiết lập quy tắc biến đổi Đấu giá tài sản trong thi hành án dân sự</v>
      </c>
      <c r="C305" s="38" t="s">
        <v>91</v>
      </c>
      <c r="D305" s="34" t="s">
        <v>28</v>
      </c>
      <c r="E305" s="35"/>
      <c r="F305" s="38"/>
      <c r="G305" s="38" t="str">
        <f>"1. "&amp;D305&amp; " thực hiện cấu hình kiểm tra quy tắc biến đổi định dạng dữ liệu về " &amp;C305&amp; ". Hệ thống ghi nhận quy tắc được thiết lập.
2. " &amp;D305&amp;" có thể cấu hình biến đổi gộp hoặc tách cột dữ liệu về "&amp;C305&amp;". Hệ thống ghi nhận quy tắc được thiết lập.
3. " &amp;D305&amp;" có thể cấu hình phân loại, gán nhãn dữ liệu về "&amp;C305&amp;". Hệ thống ghi nhận quy tắc được thiết lập."</f>
        <v>1. Quản trị hệ thống thực hiện cấu hình kiểm tra quy tắc biến đổi định dạng dữ liệu về Đấu giá tài sản trong thi hành án dân sự. Hệ thống ghi nhận quy tắc được thiết lập.
2. Quản trị hệ thống có thể cấu hình biến đổi gộp hoặc tách cột dữ liệu về Đấu giá tài sản trong thi hành án dân sự. Hệ thống ghi nhận quy tắc được thiết lập.
3. Quản trị hệ thống có thể cấu hình phân loại, gán nhãn dữ liệu về Đấu giá tài sản trong thi hành án dân sự. Hệ thống ghi nhận quy tắc được thiết lập.</v>
      </c>
      <c r="H305" s="36" t="s">
        <v>5</v>
      </c>
      <c r="I305" s="36" t="s">
        <v>6</v>
      </c>
    </row>
    <row r="306" spans="1:9" ht="165">
      <c r="A306" s="36">
        <f>COUNTA($D$4:D306)</f>
        <v>255</v>
      </c>
      <c r="B306" s="38" t="str">
        <f t="shared" ref="B306" si="52">"Thiết lập quy tắc làm sạch " &amp;C306</f>
        <v>Thiết lập quy tắc làm sạch Giải quyết khiếu nại, tố cáo trong thi hành án dân sự</v>
      </c>
      <c r="C306" s="38" t="s">
        <v>92</v>
      </c>
      <c r="D306" s="34" t="s">
        <v>28</v>
      </c>
      <c r="E306" s="35"/>
      <c r="F306" s="38"/>
      <c r="G306" s="38" t="str">
        <f>"1. "&amp;D306&amp; " thực hiện cấu hình kiểm tra quy tắc về chuẩn định dạng " &amp;C306&amp; ". Hệ thống ghi nhận quy tắc được thiết lập.
2. " &amp;D306&amp;" có thể cấu hình kiểm tra tính hợp lệ của dữ liệu về "&amp;C306&amp;". Hệ thống ghi nhận quy tắc được thiết lập.
3. " &amp;D306&amp;" có thể cấu hình xử lý giá trị thiếu dữ liệu về "&amp;C306&amp;". Hệ thống ghi nhận quy tắc được thiết lập.
4. " &amp;D306&amp;" có thể cấu hình xử lý loại bỏ hoặc thay thế giá trị ngoại lệ về "&amp;C306&amp;". Hệ thống ghi nhận quy tắc được thiết lập"</f>
        <v>1. Quản trị hệ thống thực hiện cấu hình kiểm tra quy tắc về chuẩn định dạng Giải quyết khiếu nại, tố cáo trong thi hành án dân sự. Hệ thống ghi nhận quy tắc được thiết lập.
2. Quản trị hệ thống có thể cấu hình kiểm tra tính hợp lệ của dữ liệu về Giải quyết khiếu nại, tố cáo trong thi hành án dân sự. Hệ thống ghi nhận quy tắc được thiết lập.
3. Quản trị hệ thống có thể cấu hình xử lý giá trị thiếu dữ liệu về Giải quyết khiếu nại, tố cáo trong thi hành án dân sự. Hệ thống ghi nhận quy tắc được thiết lập.
4. Quản trị hệ thống có thể cấu hình xử lý loại bỏ hoặc thay thế giá trị ngoại lệ về Giải quyết khiếu nại, tố cáo trong thi hành án dân sự. Hệ thống ghi nhận quy tắc được thiết lập</v>
      </c>
      <c r="H306" s="36" t="s">
        <v>5</v>
      </c>
      <c r="I306" s="36" t="s">
        <v>7</v>
      </c>
    </row>
    <row r="307" spans="1:9" ht="132">
      <c r="A307" s="36">
        <f>COUNTA($D$4:D307)</f>
        <v>256</v>
      </c>
      <c r="B307" s="38" t="str">
        <f>"Thiết lập quy tắc chuẩn hóa " &amp;C307</f>
        <v>Thiết lập quy tắc chuẩn hóa Giải quyết khiếu nại, tố cáo trong thi hành án dân sự</v>
      </c>
      <c r="C307" s="38" t="s">
        <v>92</v>
      </c>
      <c r="D307" s="34" t="s">
        <v>28</v>
      </c>
      <c r="E307" s="35"/>
      <c r="F307" s="38"/>
      <c r="G307" s="38" t="str">
        <f>"1. "&amp;D307&amp; " thực hiện cấu hình kiểm tra đối sánh tồn tại dựa trên trường khóa của " &amp;C307&amp; ". Hệ thống ghi nhận quy tắc được thiết lập.
2. " &amp;D307&amp;" có thể cấu hình xử lý trùng lặp về "&amp;C307&amp;". Hệ thống ghi nhận quy tắc được thiết lập.
3. " &amp;D307&amp;" có thể cấu hình xử lý vi phạm về ràng buộc thuộc tính tham chiếu "&amp;C307&amp;". Hệ thống ghi nhận quy tắc được thiết lập."</f>
        <v>1. Quản trị hệ thống thực hiện cấu hình kiểm tra đối sánh tồn tại dựa trên trường khóa của Giải quyết khiếu nại, tố cáo trong thi hành án dân sự. Hệ thống ghi nhận quy tắc được thiết lập.
2. Quản trị hệ thống có thể cấu hình xử lý trùng lặp về Giải quyết khiếu nại, tố cáo trong thi hành án dân sự. Hệ thống ghi nhận quy tắc được thiết lập.
3. Quản trị hệ thống có thể cấu hình xử lý vi phạm về ràng buộc thuộc tính tham chiếu Giải quyết khiếu nại, tố cáo trong thi hành án dân sự. Hệ thống ghi nhận quy tắc được thiết lập.</v>
      </c>
      <c r="H307" s="36" t="s">
        <v>5</v>
      </c>
      <c r="I307" s="36" t="s">
        <v>6</v>
      </c>
    </row>
    <row r="308" spans="1:9" ht="115.5">
      <c r="A308" s="36">
        <f>COUNTA($D$4:D308)</f>
        <v>257</v>
      </c>
      <c r="B308" s="38" t="str">
        <f>"Thiết lập quy tắc biến đổi " &amp;C308</f>
        <v>Thiết lập quy tắc biến đổi Giải quyết khiếu nại, tố cáo trong thi hành án dân sự</v>
      </c>
      <c r="C308" s="38" t="s">
        <v>92</v>
      </c>
      <c r="D308" s="34" t="s">
        <v>28</v>
      </c>
      <c r="E308" s="35"/>
      <c r="F308" s="38"/>
      <c r="G308" s="38" t="str">
        <f>"1. "&amp;D308&amp; " thực hiện cấu hình kiểm tra quy tắc biến đổi định dạng dữ liệu về " &amp;C308&amp; ". Hệ thống ghi nhận quy tắc được thiết lập.
2. " &amp;D308&amp;" có thể cấu hình biến đổi gộp hoặc tách cột dữ liệu về "&amp;C308&amp;". Hệ thống ghi nhận quy tắc được thiết lập.
3. " &amp;D308&amp;" có thể cấu hình phân loại, gán nhãn dữ liệu về "&amp;C308&amp;". Hệ thống ghi nhận quy tắc được thiết lập."</f>
        <v>1. Quản trị hệ thống thực hiện cấu hình kiểm tra quy tắc biến đổi định dạng dữ liệu về Giải quyết khiếu nại, tố cáo trong thi hành án dân sự. Hệ thống ghi nhận quy tắc được thiết lập.
2. Quản trị hệ thống có thể cấu hình biến đổi gộp hoặc tách cột dữ liệu về Giải quyết khiếu nại, tố cáo trong thi hành án dân sự. Hệ thống ghi nhận quy tắc được thiết lập.
3. Quản trị hệ thống có thể cấu hình phân loại, gán nhãn dữ liệu về Giải quyết khiếu nại, tố cáo trong thi hành án dân sự. Hệ thống ghi nhận quy tắc được thiết lập.</v>
      </c>
      <c r="H308" s="36" t="s">
        <v>5</v>
      </c>
      <c r="I308" s="36" t="s">
        <v>6</v>
      </c>
    </row>
    <row r="309" spans="1:9" ht="148.5">
      <c r="A309" s="36">
        <f>COUNTA($D$4:D309)</f>
        <v>258</v>
      </c>
      <c r="B309" s="38" t="str">
        <f t="shared" ref="B309" si="53">"Thiết lập quy tắc làm sạch " &amp;C309</f>
        <v>Thiết lập quy tắc làm sạch Hướng dẫn nghiệp vụ trong thi hành án dân sự</v>
      </c>
      <c r="C309" s="38" t="s">
        <v>93</v>
      </c>
      <c r="D309" s="34" t="s">
        <v>28</v>
      </c>
      <c r="E309" s="35"/>
      <c r="F309" s="38"/>
      <c r="G309" s="38" t="str">
        <f>"1. "&amp;D309&amp; " thực hiện cấu hình kiểm tra quy tắc về chuẩn định dạng " &amp;C309&amp; ". Hệ thống ghi nhận quy tắc được thiết lập.
2. " &amp;D309&amp;" có thể cấu hình kiểm tra tính hợp lệ của dữ liệu về "&amp;C309&amp;". Hệ thống ghi nhận quy tắc được thiết lập.
3. " &amp;D309&amp;" có thể cấu hình xử lý giá trị thiếu dữ liệu về "&amp;C309&amp;". Hệ thống ghi nhận quy tắc được thiết lập.
4. " &amp;D309&amp;" có thể cấu hình xử lý loại bỏ hoặc thay thế giá trị ngoại lệ về "&amp;C309&amp;". Hệ thống ghi nhận quy tắc được thiết lập"</f>
        <v>1. Quản trị hệ thống thực hiện cấu hình kiểm tra quy tắc về chuẩn định dạng Hướng dẫn nghiệp vụ trong thi hành án dân sự. Hệ thống ghi nhận quy tắc được thiết lập.
2. Quản trị hệ thống có thể cấu hình kiểm tra tính hợp lệ của dữ liệu về Hướng dẫn nghiệp vụ trong thi hành án dân sự. Hệ thống ghi nhận quy tắc được thiết lập.
3. Quản trị hệ thống có thể cấu hình xử lý giá trị thiếu dữ liệu về Hướng dẫn nghiệp vụ trong thi hành án dân sự. Hệ thống ghi nhận quy tắc được thiết lập.
4. Quản trị hệ thống có thể cấu hình xử lý loại bỏ hoặc thay thế giá trị ngoại lệ về Hướng dẫn nghiệp vụ trong thi hành án dân sự. Hệ thống ghi nhận quy tắc được thiết lập</v>
      </c>
      <c r="H309" s="36" t="s">
        <v>5</v>
      </c>
      <c r="I309" s="36" t="s">
        <v>7</v>
      </c>
    </row>
    <row r="310" spans="1:9" ht="132">
      <c r="A310" s="36">
        <f>COUNTA($D$4:D310)</f>
        <v>259</v>
      </c>
      <c r="B310" s="38" t="str">
        <f>"Thiết lập quy tắc chuẩn hóa " &amp;C310</f>
        <v>Thiết lập quy tắc chuẩn hóa Hướng dẫn nghiệp vụ trong thi hành án dân sự</v>
      </c>
      <c r="C310" s="38" t="s">
        <v>93</v>
      </c>
      <c r="D310" s="34" t="s">
        <v>28</v>
      </c>
      <c r="E310" s="35"/>
      <c r="F310" s="38"/>
      <c r="G310" s="38" t="str">
        <f>"1. "&amp;D310&amp; " thực hiện cấu hình kiểm tra đối sánh tồn tại dựa trên trường khóa của " &amp;C310&amp; ". Hệ thống ghi nhận quy tắc được thiết lập.
2. " &amp;D310&amp;" có thể cấu hình xử lý trùng lặp về "&amp;C310&amp;". Hệ thống ghi nhận quy tắc được thiết lập.
3. " &amp;D310&amp;" có thể cấu hình xử lý vi phạm về ràng buộc thuộc tính tham chiếu "&amp;C310&amp;". Hệ thống ghi nhận quy tắc được thiết lập."</f>
        <v>1. Quản trị hệ thống thực hiện cấu hình kiểm tra đối sánh tồn tại dựa trên trường khóa của Hướng dẫn nghiệp vụ trong thi hành án dân sự. Hệ thống ghi nhận quy tắc được thiết lập.
2. Quản trị hệ thống có thể cấu hình xử lý trùng lặp về Hướng dẫn nghiệp vụ trong thi hành án dân sự. Hệ thống ghi nhận quy tắc được thiết lập.
3. Quản trị hệ thống có thể cấu hình xử lý vi phạm về ràng buộc thuộc tính tham chiếu Hướng dẫn nghiệp vụ trong thi hành án dân sự. Hệ thống ghi nhận quy tắc được thiết lập.</v>
      </c>
      <c r="H310" s="36" t="s">
        <v>5</v>
      </c>
      <c r="I310" s="36" t="s">
        <v>6</v>
      </c>
    </row>
    <row r="311" spans="1:9" ht="115.5">
      <c r="A311" s="36">
        <f>COUNTA($D$4:D311)</f>
        <v>260</v>
      </c>
      <c r="B311" s="38" t="str">
        <f>"Thiết lập quy tắc biến đổi " &amp;C311</f>
        <v>Thiết lập quy tắc biến đổi Hướng dẫn nghiệp vụ trong thi hành án dân sự</v>
      </c>
      <c r="C311" s="38" t="s">
        <v>93</v>
      </c>
      <c r="D311" s="34" t="s">
        <v>28</v>
      </c>
      <c r="E311" s="35"/>
      <c r="F311" s="38"/>
      <c r="G311" s="38" t="str">
        <f>"1. "&amp;D311&amp; " thực hiện cấu hình kiểm tra quy tắc biến đổi định dạng dữ liệu về " &amp;C311&amp; ". Hệ thống ghi nhận quy tắc được thiết lập.
2. " &amp;D311&amp;" có thể cấu hình biến đổi gộp hoặc tách cột dữ liệu về "&amp;C311&amp;". Hệ thống ghi nhận quy tắc được thiết lập.
3. " &amp;D311&amp;" có thể cấu hình phân loại, gán nhãn dữ liệu về "&amp;C311&amp;". Hệ thống ghi nhận quy tắc được thiết lập."</f>
        <v>1. Quản trị hệ thống thực hiện cấu hình kiểm tra quy tắc biến đổi định dạng dữ liệu về Hướng dẫn nghiệp vụ trong thi hành án dân sự. Hệ thống ghi nhận quy tắc được thiết lập.
2. Quản trị hệ thống có thể cấu hình biến đổi gộp hoặc tách cột dữ liệu về Hướng dẫn nghiệp vụ trong thi hành án dân sự. Hệ thống ghi nhận quy tắc được thiết lập.
3. Quản trị hệ thống có thể cấu hình phân loại, gán nhãn dữ liệu về Hướng dẫn nghiệp vụ trong thi hành án dân sự. Hệ thống ghi nhận quy tắc được thiết lập.</v>
      </c>
      <c r="H311" s="36" t="s">
        <v>5</v>
      </c>
      <c r="I311" s="36" t="s">
        <v>6</v>
      </c>
    </row>
    <row r="312" spans="1:9" ht="49.5">
      <c r="A312" s="41" t="s">
        <v>174</v>
      </c>
      <c r="B312" s="46" t="s">
        <v>95</v>
      </c>
      <c r="C312" s="46"/>
      <c r="D312" s="34"/>
      <c r="E312" s="35"/>
      <c r="F312" s="35"/>
      <c r="G312" s="35"/>
      <c r="H312" s="36"/>
      <c r="I312" s="36"/>
    </row>
    <row r="313" spans="1:9" ht="33">
      <c r="A313" s="41" t="s">
        <v>175</v>
      </c>
      <c r="B313" s="42" t="s">
        <v>97</v>
      </c>
      <c r="C313" s="42"/>
      <c r="D313" s="34"/>
      <c r="E313" s="35"/>
      <c r="F313" s="35"/>
      <c r="G313" s="35"/>
      <c r="H313" s="36"/>
      <c r="I313" s="36"/>
    </row>
    <row r="314" spans="1:9" ht="198">
      <c r="A314" s="36">
        <f>COUNTA($D$4:D314)</f>
        <v>261</v>
      </c>
      <c r="B314" s="38" t="str">
        <f t="shared" ref="B314" si="54">"Thiết lập quy tắc làm sạch " &amp;C314</f>
        <v>Thiết lập quy tắc làm sạch Thông tin chung (Bao gồm người đăng ký và Hợp đồng bảo đảm)</v>
      </c>
      <c r="C314" s="38" t="s">
        <v>98</v>
      </c>
      <c r="D314" s="34" t="s">
        <v>28</v>
      </c>
      <c r="E314" s="35"/>
      <c r="F314" s="38"/>
      <c r="G314" s="38" t="str">
        <f>"1. "&amp;D314&amp; " thực hiện cấu hình kiểm tra quy tắc về chuẩn định dạng " &amp;C314&amp; ". Hệ thống ghi nhận quy tắc được thiết lập.
2. " &amp;D314&amp;" có thể cấu hình kiểm tra tính hợp lệ của dữ liệu về "&amp;C314&amp;". Hệ thống ghi nhận quy tắc được thiết lập.
3. " &amp;D314&amp;" có thể cấu hình xử lý giá trị thiếu dữ liệu về "&amp;C314&amp;". Hệ thống ghi nhận quy tắc được thiết lập.
4. " &amp;D314&amp;" có thể cấu hình xử lý loại bỏ hoặc thay thế giá trị ngoại lệ về "&amp;C314&amp;". Hệ thống ghi nhận quy tắc được thiết lập"</f>
        <v>1. Quản trị hệ thống thực hiện cấu hình kiểm tra quy tắc về chuẩn định dạng Thông tin chung (Bao gồm người đăng ký và Hợp đồng bảo đảm). Hệ thống ghi nhận quy tắc được thiết lập.
2. Quản trị hệ thống có thể cấu hình kiểm tra tính hợp lệ của dữ liệu về Thông tin chung (Bao gồm người đăng ký và Hợp đồng bảo đảm). Hệ thống ghi nhận quy tắc được thiết lập.
3. Quản trị hệ thống có thể cấu hình xử lý giá trị thiếu dữ liệu về Thông tin chung (Bao gồm người đăng ký và Hợp đồng bảo đảm). Hệ thống ghi nhận quy tắc được thiết lập.
4. Quản trị hệ thống có thể cấu hình xử lý loại bỏ hoặc thay thế giá trị ngoại lệ về Thông tin chung (Bao gồm người đăng ký và Hợp đồng bảo đảm). Hệ thống ghi nhận quy tắc được thiết lập</v>
      </c>
      <c r="H314" s="36" t="s">
        <v>5</v>
      </c>
      <c r="I314" s="36" t="s">
        <v>7</v>
      </c>
    </row>
    <row r="315" spans="1:9" ht="132">
      <c r="A315" s="36">
        <f>COUNTA($D$4:D315)</f>
        <v>262</v>
      </c>
      <c r="B315" s="38" t="str">
        <f>"Thiết lập quy tắc chuẩn hóa " &amp;C315</f>
        <v>Thiết lập quy tắc chuẩn hóa Thông tin chung (Bao gồm người đăng ký và Hợp đồng bảo đảm)</v>
      </c>
      <c r="C315" s="38" t="s">
        <v>98</v>
      </c>
      <c r="D315" s="34" t="s">
        <v>28</v>
      </c>
      <c r="E315" s="35"/>
      <c r="F315" s="38"/>
      <c r="G315" s="38" t="str">
        <f>"1. "&amp;D315&amp; " thực hiện cấu hình kiểm tra đối sánh tồn tại dựa trên trường khóa của " &amp;C315&amp; ". Hệ thống ghi nhận quy tắc được thiết lập.
2. " &amp;D315&amp;" có thể cấu hình xử lý trùng lặp về "&amp;C315&amp;". Hệ thống ghi nhận quy tắc được thiết lập.
3. " &amp;D315&amp;" có thể cấu hình xử lý vi phạm về ràng buộc thuộc tính tham chiếu "&amp;C315&amp;". Hệ thống ghi nhận quy tắc được thiết lập."</f>
        <v>1. Quản trị hệ thống thực hiện cấu hình kiểm tra đối sánh tồn tại dựa trên trường khóa của Thông tin chung (Bao gồm người đăng ký và Hợp đồng bảo đảm). Hệ thống ghi nhận quy tắc được thiết lập.
2. Quản trị hệ thống có thể cấu hình xử lý trùng lặp về Thông tin chung (Bao gồm người đăng ký và Hợp đồng bảo đảm). Hệ thống ghi nhận quy tắc được thiết lập.
3. Quản trị hệ thống có thể cấu hình xử lý vi phạm về ràng buộc thuộc tính tham chiếu Thông tin chung (Bao gồm người đăng ký và Hợp đồng bảo đảm). Hệ thống ghi nhận quy tắc được thiết lập.</v>
      </c>
      <c r="H315" s="36" t="s">
        <v>5</v>
      </c>
      <c r="I315" s="36" t="s">
        <v>6</v>
      </c>
    </row>
    <row r="316" spans="1:9" ht="148.5">
      <c r="A316" s="36">
        <f>COUNTA($D$4:D316)</f>
        <v>263</v>
      </c>
      <c r="B316" s="38" t="str">
        <f>"Thiết lập quy tắc biến đổi " &amp;C316</f>
        <v>Thiết lập quy tắc biến đổi Thông tin chung (Bao gồm người đăng ký và Hợp đồng bảo đảm)</v>
      </c>
      <c r="C316" s="38" t="s">
        <v>98</v>
      </c>
      <c r="D316" s="34" t="s">
        <v>28</v>
      </c>
      <c r="E316" s="35"/>
      <c r="F316" s="38"/>
      <c r="G316" s="38" t="str">
        <f>"1. "&amp;D316&amp; " thực hiện cấu hình kiểm tra quy tắc biến đổi định dạng dữ liệu về " &amp;C316&amp; ". Hệ thống ghi nhận quy tắc được thiết lập.
2. " &amp;D316&amp;" có thể cấu hình biến đổi gộp hoặc tách cột dữ liệu về "&amp;C316&amp;". Hệ thống ghi nhận quy tắc được thiết lập.
3. " &amp;D316&amp;" có thể cấu hình phân loại, gán nhãn dữ liệu về "&amp;C316&amp;". Hệ thống ghi nhận quy tắc được thiết lập."</f>
        <v>1. Quản trị hệ thống thực hiện cấu hình kiểm tra quy tắc biến đổi định dạng dữ liệu về Thông tin chung (Bao gồm người đăng ký và Hợp đồng bảo đảm). Hệ thống ghi nhận quy tắc được thiết lập.
2. Quản trị hệ thống có thể cấu hình biến đổi gộp hoặc tách cột dữ liệu về Thông tin chung (Bao gồm người đăng ký và Hợp đồng bảo đảm). Hệ thống ghi nhận quy tắc được thiết lập.
3. Quản trị hệ thống có thể cấu hình phân loại, gán nhãn dữ liệu về Thông tin chung (Bao gồm người đăng ký và Hợp đồng bảo đảm). Hệ thống ghi nhận quy tắc được thiết lập.</v>
      </c>
      <c r="H316" s="36" t="s">
        <v>5</v>
      </c>
      <c r="I316" s="36" t="s">
        <v>6</v>
      </c>
    </row>
    <row r="317" spans="1:9" ht="132">
      <c r="A317" s="36">
        <f>COUNTA($D$4:D317)</f>
        <v>264</v>
      </c>
      <c r="B317" s="38" t="str">
        <f t="shared" ref="B317" si="55">"Thiết lập quy tắc làm sạch " &amp;C317</f>
        <v>Thiết lập quy tắc làm sạch Bên bảo đảm</v>
      </c>
      <c r="C317" s="38" t="s">
        <v>100</v>
      </c>
      <c r="D317" s="34" t="s">
        <v>28</v>
      </c>
      <c r="E317" s="35"/>
      <c r="F317" s="38"/>
      <c r="G317" s="38" t="str">
        <f>"1. "&amp;D317&amp; " thực hiện cấu hình kiểm tra quy tắc về chuẩn định dạng " &amp;C317&amp; ". Hệ thống ghi nhận quy tắc được thiết lập.
2. " &amp;D317&amp;" có thể cấu hình kiểm tra tính hợp lệ của dữ liệu về "&amp;C317&amp;". Hệ thống ghi nhận quy tắc được thiết lập.
3. " &amp;D317&amp;" có thể cấu hình xử lý giá trị thiếu dữ liệu về "&amp;C317&amp;". Hệ thống ghi nhận quy tắc được thiết lập.
4. " &amp;D317&amp;" có thể cấu hình xử lý loại bỏ hoặc thay thế giá trị ngoại lệ về "&amp;C317&amp;". Hệ thống ghi nhận quy tắc được thiết lập"</f>
        <v>1. Quản trị hệ thống thực hiện cấu hình kiểm tra quy tắc về chuẩn định dạng Bên bảo đảm. Hệ thống ghi nhận quy tắc được thiết lập.
2. Quản trị hệ thống có thể cấu hình kiểm tra tính hợp lệ của dữ liệu về Bên bảo đảm. Hệ thống ghi nhận quy tắc được thiết lập.
3. Quản trị hệ thống có thể cấu hình xử lý giá trị thiếu dữ liệu về Bên bảo đảm. Hệ thống ghi nhận quy tắc được thiết lập.
4. Quản trị hệ thống có thể cấu hình xử lý loại bỏ hoặc thay thế giá trị ngoại lệ về Bên bảo đảm. Hệ thống ghi nhận quy tắc được thiết lập</v>
      </c>
      <c r="H317" s="36" t="s">
        <v>5</v>
      </c>
      <c r="I317" s="36" t="s">
        <v>7</v>
      </c>
    </row>
    <row r="318" spans="1:9" ht="99">
      <c r="A318" s="36">
        <f>COUNTA($D$4:D318)</f>
        <v>265</v>
      </c>
      <c r="B318" s="38" t="str">
        <f>"Thiết lập quy tắc chuẩn hóa " &amp;C318</f>
        <v>Thiết lập quy tắc chuẩn hóa Bên bảo đảm</v>
      </c>
      <c r="C318" s="38" t="s">
        <v>100</v>
      </c>
      <c r="D318" s="34" t="s">
        <v>28</v>
      </c>
      <c r="E318" s="35"/>
      <c r="F318" s="38"/>
      <c r="G318" s="38" t="str">
        <f>"1. "&amp;D318&amp; " thực hiện cấu hình kiểm tra đối sánh tồn tại dựa trên trường khóa của " &amp;C318&amp; ". Hệ thống ghi nhận quy tắc được thiết lập.
2. " &amp;D318&amp;" có thể cấu hình xử lý trùng lặp về "&amp;C318&amp;". Hệ thống ghi nhận quy tắc được thiết lập.
3. " &amp;D318&amp;" có thể cấu hình xử lý vi phạm về ràng buộc thuộc tính tham chiếu "&amp;C318&amp;". Hệ thống ghi nhận quy tắc được thiết lập."</f>
        <v>1. Quản trị hệ thống thực hiện cấu hình kiểm tra đối sánh tồn tại dựa trên trường khóa của Bên bảo đảm. Hệ thống ghi nhận quy tắc được thiết lập.
2. Quản trị hệ thống có thể cấu hình xử lý trùng lặp về Bên bảo đảm. Hệ thống ghi nhận quy tắc được thiết lập.
3. Quản trị hệ thống có thể cấu hình xử lý vi phạm về ràng buộc thuộc tính tham chiếu Bên bảo đảm. Hệ thống ghi nhận quy tắc được thiết lập.</v>
      </c>
      <c r="H318" s="36" t="s">
        <v>5</v>
      </c>
      <c r="I318" s="36" t="s">
        <v>6</v>
      </c>
    </row>
    <row r="319" spans="1:9" ht="99">
      <c r="A319" s="36">
        <f>COUNTA($D$4:D319)</f>
        <v>266</v>
      </c>
      <c r="B319" s="38" t="str">
        <f>"Thiết lập quy tắc biến đổi " &amp;C319</f>
        <v>Thiết lập quy tắc biến đổi Bên bảo đảm</v>
      </c>
      <c r="C319" s="38" t="s">
        <v>100</v>
      </c>
      <c r="D319" s="34" t="s">
        <v>28</v>
      </c>
      <c r="E319" s="35"/>
      <c r="F319" s="38"/>
      <c r="G319" s="38" t="str">
        <f>"1. "&amp;D319&amp; " thực hiện cấu hình kiểm tra quy tắc biến đổi định dạng dữ liệu về " &amp;C319&amp; ". Hệ thống ghi nhận quy tắc được thiết lập.
2. " &amp;D319&amp;" có thể cấu hình biến đổi gộp hoặc tách cột dữ liệu về "&amp;C319&amp;". Hệ thống ghi nhận quy tắc được thiết lập.
3. " &amp;D319&amp;" có thể cấu hình phân loại, gán nhãn dữ liệu về "&amp;C319&amp;". Hệ thống ghi nhận quy tắc được thiết lập."</f>
        <v>1. Quản trị hệ thống thực hiện cấu hình kiểm tra quy tắc biến đổi định dạng dữ liệu về Bên bảo đảm. Hệ thống ghi nhận quy tắc được thiết lập.
2. Quản trị hệ thống có thể cấu hình biến đổi gộp hoặc tách cột dữ liệu về Bên bảo đảm. Hệ thống ghi nhận quy tắc được thiết lập.
3. Quản trị hệ thống có thể cấu hình phân loại, gán nhãn dữ liệu về Bên bảo đảm. Hệ thống ghi nhận quy tắc được thiết lập.</v>
      </c>
      <c r="H319" s="36" t="s">
        <v>5</v>
      </c>
      <c r="I319" s="36" t="s">
        <v>6</v>
      </c>
    </row>
    <row r="320" spans="1:9" ht="132">
      <c r="A320" s="36">
        <f>COUNTA($D$4:D320)</f>
        <v>267</v>
      </c>
      <c r="B320" s="38" t="str">
        <f t="shared" ref="B320" si="56">"Thiết lập quy tắc làm sạch " &amp;C320</f>
        <v>Thiết lập quy tắc làm sạch Bên nhận bảo đảm</v>
      </c>
      <c r="C320" s="38" t="s">
        <v>101</v>
      </c>
      <c r="D320" s="34" t="s">
        <v>28</v>
      </c>
      <c r="E320" s="35"/>
      <c r="F320" s="38"/>
      <c r="G320" s="38" t="str">
        <f>"1. "&amp;D320&amp; " thực hiện cấu hình kiểm tra quy tắc về chuẩn định dạng " &amp;C320&amp; ". Hệ thống ghi nhận quy tắc được thiết lập.
2. " &amp;D320&amp;" có thể cấu hình kiểm tra tính hợp lệ của dữ liệu về "&amp;C320&amp;". Hệ thống ghi nhận quy tắc được thiết lập.
3. " &amp;D320&amp;" có thể cấu hình xử lý giá trị thiếu dữ liệu về "&amp;C320&amp;". Hệ thống ghi nhận quy tắc được thiết lập.
4. " &amp;D320&amp;" có thể cấu hình xử lý loại bỏ hoặc thay thế giá trị ngoại lệ về "&amp;C320&amp;". Hệ thống ghi nhận quy tắc được thiết lập"</f>
        <v>1. Quản trị hệ thống thực hiện cấu hình kiểm tra quy tắc về chuẩn định dạng Bên nhận bảo đảm. Hệ thống ghi nhận quy tắc được thiết lập.
2. Quản trị hệ thống có thể cấu hình kiểm tra tính hợp lệ của dữ liệu về Bên nhận bảo đảm. Hệ thống ghi nhận quy tắc được thiết lập.
3. Quản trị hệ thống có thể cấu hình xử lý giá trị thiếu dữ liệu về Bên nhận bảo đảm. Hệ thống ghi nhận quy tắc được thiết lập.
4. Quản trị hệ thống có thể cấu hình xử lý loại bỏ hoặc thay thế giá trị ngoại lệ về Bên nhận bảo đảm. Hệ thống ghi nhận quy tắc được thiết lập</v>
      </c>
      <c r="H320" s="36" t="s">
        <v>5</v>
      </c>
      <c r="I320" s="36" t="s">
        <v>7</v>
      </c>
    </row>
    <row r="321" spans="1:9" ht="99">
      <c r="A321" s="36">
        <f>COUNTA($D$4:D321)</f>
        <v>268</v>
      </c>
      <c r="B321" s="38" t="str">
        <f>"Thiết lập quy tắc chuẩn hóa " &amp;C321</f>
        <v>Thiết lập quy tắc chuẩn hóa Bên nhận bảo đảm</v>
      </c>
      <c r="C321" s="38" t="s">
        <v>101</v>
      </c>
      <c r="D321" s="34" t="s">
        <v>28</v>
      </c>
      <c r="E321" s="35"/>
      <c r="F321" s="38"/>
      <c r="G321" s="38" t="str">
        <f>"1. "&amp;D321&amp; " thực hiện cấu hình kiểm tra đối sánh tồn tại dựa trên trường khóa của " &amp;C321&amp; ". Hệ thống ghi nhận quy tắc được thiết lập.
2. " &amp;D321&amp;" có thể cấu hình xử lý trùng lặp về "&amp;C321&amp;". Hệ thống ghi nhận quy tắc được thiết lập.
3. " &amp;D321&amp;" có thể cấu hình xử lý vi phạm về ràng buộc thuộc tính tham chiếu "&amp;C321&amp;". Hệ thống ghi nhận quy tắc được thiết lập."</f>
        <v>1. Quản trị hệ thống thực hiện cấu hình kiểm tra đối sánh tồn tại dựa trên trường khóa của Bên nhận bảo đảm. Hệ thống ghi nhận quy tắc được thiết lập.
2. Quản trị hệ thống có thể cấu hình xử lý trùng lặp về Bên nhận bảo đảm. Hệ thống ghi nhận quy tắc được thiết lập.
3. Quản trị hệ thống có thể cấu hình xử lý vi phạm về ràng buộc thuộc tính tham chiếu Bên nhận bảo đảm. Hệ thống ghi nhận quy tắc được thiết lập.</v>
      </c>
      <c r="H321" s="36" t="s">
        <v>5</v>
      </c>
      <c r="I321" s="36" t="s">
        <v>6</v>
      </c>
    </row>
    <row r="322" spans="1:9" ht="99">
      <c r="A322" s="36">
        <f>COUNTA($D$4:D322)</f>
        <v>269</v>
      </c>
      <c r="B322" s="38" t="str">
        <f>"Thiết lập quy tắc biến đổi " &amp;C322</f>
        <v>Thiết lập quy tắc biến đổi Bên nhận bảo đảm</v>
      </c>
      <c r="C322" s="38" t="s">
        <v>101</v>
      </c>
      <c r="D322" s="34" t="s">
        <v>28</v>
      </c>
      <c r="E322" s="35"/>
      <c r="F322" s="38"/>
      <c r="G322" s="38" t="str">
        <f>"1. "&amp;D322&amp; " thực hiện cấu hình kiểm tra quy tắc biến đổi định dạng dữ liệu về " &amp;C322&amp; ". Hệ thống ghi nhận quy tắc được thiết lập.
2. " &amp;D322&amp;" có thể cấu hình biến đổi gộp hoặc tách cột dữ liệu về "&amp;C322&amp;". Hệ thống ghi nhận quy tắc được thiết lập.
3. " &amp;D322&amp;" có thể cấu hình phân loại, gán nhãn dữ liệu về "&amp;C322&amp;". Hệ thống ghi nhận quy tắc được thiết lập."</f>
        <v>1. Quản trị hệ thống thực hiện cấu hình kiểm tra quy tắc biến đổi định dạng dữ liệu về Bên nhận bảo đảm. Hệ thống ghi nhận quy tắc được thiết lập.
2. Quản trị hệ thống có thể cấu hình biến đổi gộp hoặc tách cột dữ liệu về Bên nhận bảo đảm. Hệ thống ghi nhận quy tắc được thiết lập.
3. Quản trị hệ thống có thể cấu hình phân loại, gán nhãn dữ liệu về Bên nhận bảo đảm. Hệ thống ghi nhận quy tắc được thiết lập.</v>
      </c>
      <c r="H322" s="36" t="s">
        <v>5</v>
      </c>
      <c r="I322" s="36" t="s">
        <v>6</v>
      </c>
    </row>
    <row r="323" spans="1:9" ht="132">
      <c r="A323" s="36">
        <f>COUNTA($D$4:D323)</f>
        <v>270</v>
      </c>
      <c r="B323" s="38" t="str">
        <f t="shared" ref="B323" si="57">"Thiết lập quy tắc làm sạch " &amp;C323</f>
        <v>Thiết lập quy tắc làm sạch Tài sản bảo đảm</v>
      </c>
      <c r="C323" s="38" t="s">
        <v>102</v>
      </c>
      <c r="D323" s="34" t="s">
        <v>28</v>
      </c>
      <c r="E323" s="35"/>
      <c r="F323" s="38"/>
      <c r="G323" s="38" t="str">
        <f>"1. "&amp;D323&amp; " thực hiện cấu hình kiểm tra quy tắc về chuẩn định dạng " &amp;C323&amp; ". Hệ thống ghi nhận quy tắc được thiết lập.
2. " &amp;D323&amp;" có thể cấu hình kiểm tra tính hợp lệ của dữ liệu về "&amp;C323&amp;". Hệ thống ghi nhận quy tắc được thiết lập.
3. " &amp;D323&amp;" có thể cấu hình xử lý giá trị thiếu dữ liệu về "&amp;C323&amp;". Hệ thống ghi nhận quy tắc được thiết lập.
4. " &amp;D323&amp;" có thể cấu hình xử lý loại bỏ hoặc thay thế giá trị ngoại lệ về "&amp;C323&amp;". Hệ thống ghi nhận quy tắc được thiết lập"</f>
        <v>1. Quản trị hệ thống thực hiện cấu hình kiểm tra quy tắc về chuẩn định dạng Tài sản bảo đảm. Hệ thống ghi nhận quy tắc được thiết lập.
2. Quản trị hệ thống có thể cấu hình kiểm tra tính hợp lệ của dữ liệu về Tài sản bảo đảm. Hệ thống ghi nhận quy tắc được thiết lập.
3. Quản trị hệ thống có thể cấu hình xử lý giá trị thiếu dữ liệu về Tài sản bảo đảm. Hệ thống ghi nhận quy tắc được thiết lập.
4. Quản trị hệ thống có thể cấu hình xử lý loại bỏ hoặc thay thế giá trị ngoại lệ về Tài sản bảo đảm. Hệ thống ghi nhận quy tắc được thiết lập</v>
      </c>
      <c r="H323" s="36" t="s">
        <v>5</v>
      </c>
      <c r="I323" s="36" t="s">
        <v>7</v>
      </c>
    </row>
    <row r="324" spans="1:9" ht="99">
      <c r="A324" s="36">
        <f>COUNTA($D$4:D324)</f>
        <v>271</v>
      </c>
      <c r="B324" s="38" t="str">
        <f>"Thiết lập quy tắc chuẩn hóa " &amp;C324</f>
        <v>Thiết lập quy tắc chuẩn hóa Tài sản bảo đảm</v>
      </c>
      <c r="C324" s="38" t="s">
        <v>102</v>
      </c>
      <c r="D324" s="34" t="s">
        <v>28</v>
      </c>
      <c r="E324" s="35"/>
      <c r="F324" s="38"/>
      <c r="G324" s="38" t="str">
        <f>"1. "&amp;D324&amp; " thực hiện cấu hình kiểm tra đối sánh tồn tại dựa trên trường khóa của " &amp;C324&amp; ". Hệ thống ghi nhận quy tắc được thiết lập.
2. " &amp;D324&amp;" có thể cấu hình xử lý trùng lặp về "&amp;C324&amp;". Hệ thống ghi nhận quy tắc được thiết lập.
3. " &amp;D324&amp;" có thể cấu hình xử lý vi phạm về ràng buộc thuộc tính tham chiếu "&amp;C324&amp;". Hệ thống ghi nhận quy tắc được thiết lập."</f>
        <v>1. Quản trị hệ thống thực hiện cấu hình kiểm tra đối sánh tồn tại dựa trên trường khóa của Tài sản bảo đảm. Hệ thống ghi nhận quy tắc được thiết lập.
2. Quản trị hệ thống có thể cấu hình xử lý trùng lặp về Tài sản bảo đảm. Hệ thống ghi nhận quy tắc được thiết lập.
3. Quản trị hệ thống có thể cấu hình xử lý vi phạm về ràng buộc thuộc tính tham chiếu Tài sản bảo đảm. Hệ thống ghi nhận quy tắc được thiết lập.</v>
      </c>
      <c r="H324" s="36" t="s">
        <v>5</v>
      </c>
      <c r="I324" s="36" t="s">
        <v>6</v>
      </c>
    </row>
    <row r="325" spans="1:9" ht="99">
      <c r="A325" s="36">
        <f>COUNTA($D$4:D325)</f>
        <v>272</v>
      </c>
      <c r="B325" s="38" t="str">
        <f>"Thiết lập quy tắc biến đổi " &amp;C325</f>
        <v>Thiết lập quy tắc biến đổi Tài sản bảo đảm</v>
      </c>
      <c r="C325" s="38" t="s">
        <v>102</v>
      </c>
      <c r="D325" s="34" t="s">
        <v>28</v>
      </c>
      <c r="E325" s="35"/>
      <c r="F325" s="38"/>
      <c r="G325" s="38" t="str">
        <f>"1. "&amp;D325&amp; " thực hiện cấu hình kiểm tra quy tắc biến đổi định dạng dữ liệu về " &amp;C325&amp; ". Hệ thống ghi nhận quy tắc được thiết lập.
2. " &amp;D325&amp;" có thể cấu hình biến đổi gộp hoặc tách cột dữ liệu về "&amp;C325&amp;". Hệ thống ghi nhận quy tắc được thiết lập.
3. " &amp;D325&amp;" có thể cấu hình phân loại, gán nhãn dữ liệu về "&amp;C325&amp;". Hệ thống ghi nhận quy tắc được thiết lập."</f>
        <v>1. Quản trị hệ thống thực hiện cấu hình kiểm tra quy tắc biến đổi định dạng dữ liệu về Tài sản bảo đảm. Hệ thống ghi nhận quy tắc được thiết lập.
2. Quản trị hệ thống có thể cấu hình biến đổi gộp hoặc tách cột dữ liệu về Tài sản bảo đảm. Hệ thống ghi nhận quy tắc được thiết lập.
3. Quản trị hệ thống có thể cấu hình phân loại, gán nhãn dữ liệu về Tài sản bảo đảm. Hệ thống ghi nhận quy tắc được thiết lập.</v>
      </c>
      <c r="H325" s="36" t="s">
        <v>5</v>
      </c>
      <c r="I325" s="36" t="s">
        <v>6</v>
      </c>
    </row>
    <row r="326" spans="1:9" ht="49.5">
      <c r="A326" s="41" t="s">
        <v>176</v>
      </c>
      <c r="B326" s="46" t="s">
        <v>104</v>
      </c>
      <c r="C326" s="46"/>
      <c r="D326" s="34"/>
      <c r="E326" s="35"/>
      <c r="F326" s="35"/>
      <c r="G326" s="35"/>
      <c r="H326" s="36"/>
      <c r="I326" s="36"/>
    </row>
    <row r="327" spans="1:9" ht="16.5">
      <c r="A327" s="41" t="s">
        <v>177</v>
      </c>
      <c r="B327" s="42" t="s">
        <v>106</v>
      </c>
      <c r="C327" s="42"/>
      <c r="D327" s="34"/>
      <c r="E327" s="35"/>
      <c r="F327" s="35"/>
      <c r="G327" s="35"/>
      <c r="H327" s="36"/>
      <c r="I327" s="36"/>
    </row>
    <row r="328" spans="1:9" ht="132">
      <c r="A328" s="36">
        <f>COUNTA($D$4:D328)</f>
        <v>273</v>
      </c>
      <c r="B328" s="38" t="str">
        <f t="shared" ref="B328" si="58">"Thiết lập quy tắc làm sạch " &amp;C328</f>
        <v>Thiết lập quy tắc làm sạch Văn bản quy phạm pháp luật</v>
      </c>
      <c r="C328" s="47" t="s">
        <v>107</v>
      </c>
      <c r="D328" s="34" t="s">
        <v>28</v>
      </c>
      <c r="E328" s="35"/>
      <c r="F328" s="38"/>
      <c r="G328" s="38" t="str">
        <f>"1. "&amp;D328&amp; " thực hiện cấu hình kiểm tra quy tắc về chuẩn định dạng " &amp;C328&amp; ". Hệ thống ghi nhận quy tắc được thiết lập.
2. " &amp;D328&amp;" có thể cấu hình kiểm tra tính hợp lệ của dữ liệu về "&amp;C328&amp;". Hệ thống ghi nhận quy tắc được thiết lập.
3. " &amp;D328&amp;" có thể cấu hình xử lý giá trị thiếu dữ liệu về "&amp;C328&amp;". Hệ thống ghi nhận quy tắc được thiết lập.
4. " &amp;D328&amp;" có thể cấu hình xử lý loại bỏ hoặc thay thế giá trị ngoại lệ về "&amp;C328&amp;". Hệ thống ghi nhận quy tắc được thiết lập"</f>
        <v>1. Quản trị hệ thống thực hiện cấu hình kiểm tra quy tắc về chuẩn định dạng Văn bản quy phạm pháp luật. Hệ thống ghi nhận quy tắc được thiết lập.
2. Quản trị hệ thống có thể cấu hình kiểm tra tính hợp lệ của dữ liệu về Văn bản quy phạm pháp luật. Hệ thống ghi nhận quy tắc được thiết lập.
3. Quản trị hệ thống có thể cấu hình xử lý giá trị thiếu dữ liệu về Văn bản quy phạm pháp luật. Hệ thống ghi nhận quy tắc được thiết lập.
4. Quản trị hệ thống có thể cấu hình xử lý loại bỏ hoặc thay thế giá trị ngoại lệ về Văn bản quy phạm pháp luật. Hệ thống ghi nhận quy tắc được thiết lập</v>
      </c>
      <c r="H328" s="36" t="s">
        <v>5</v>
      </c>
      <c r="I328" s="36" t="s">
        <v>7</v>
      </c>
    </row>
    <row r="329" spans="1:9" ht="99">
      <c r="A329" s="36">
        <f>COUNTA($D$4:D329)</f>
        <v>274</v>
      </c>
      <c r="B329" s="38" t="str">
        <f>"Thiết lập quy tắc chuẩn hóa " &amp;C329</f>
        <v>Thiết lập quy tắc chuẩn hóa Văn bản quy phạm pháp luật</v>
      </c>
      <c r="C329" s="47" t="s">
        <v>107</v>
      </c>
      <c r="D329" s="34" t="s">
        <v>28</v>
      </c>
      <c r="E329" s="35"/>
      <c r="F329" s="38"/>
      <c r="G329" s="38" t="str">
        <f>"1. "&amp;D329&amp; " thực hiện cấu hình kiểm tra đối sánh tồn tại dựa trên trường khóa của " &amp;C329&amp; ". Hệ thống ghi nhận quy tắc được thiết lập.
2. " &amp;D329&amp;" có thể cấu hình xử lý trùng lặp về "&amp;C329&amp;". Hệ thống ghi nhận quy tắc được thiết lập.
3. " &amp;D329&amp;" có thể cấu hình xử lý vi phạm về ràng buộc thuộc tính tham chiếu "&amp;C329&amp;". Hệ thống ghi nhận quy tắc được thiết lập."</f>
        <v>1. Quản trị hệ thống thực hiện cấu hình kiểm tra đối sánh tồn tại dựa trên trường khóa của Văn bản quy phạm pháp luật. Hệ thống ghi nhận quy tắc được thiết lập.
2. Quản trị hệ thống có thể cấu hình xử lý trùng lặp về Văn bản quy phạm pháp luật. Hệ thống ghi nhận quy tắc được thiết lập.
3. Quản trị hệ thống có thể cấu hình xử lý vi phạm về ràng buộc thuộc tính tham chiếu Văn bản quy phạm pháp luật. Hệ thống ghi nhận quy tắc được thiết lập.</v>
      </c>
      <c r="H329" s="36" t="s">
        <v>5</v>
      </c>
      <c r="I329" s="36" t="s">
        <v>6</v>
      </c>
    </row>
    <row r="330" spans="1:9" ht="99">
      <c r="A330" s="36">
        <f>COUNTA($D$4:D330)</f>
        <v>275</v>
      </c>
      <c r="B330" s="38" t="str">
        <f>"Thiết lập quy tắc biến đổi " &amp;C330</f>
        <v>Thiết lập quy tắc biến đổi Văn bản quy phạm pháp luật</v>
      </c>
      <c r="C330" s="47" t="s">
        <v>107</v>
      </c>
      <c r="D330" s="34" t="s">
        <v>28</v>
      </c>
      <c r="E330" s="35"/>
      <c r="F330" s="38"/>
      <c r="G330" s="38" t="str">
        <f>"1. "&amp;D330&amp; " thực hiện cấu hình kiểm tra quy tắc biến đổi định dạng dữ liệu về " &amp;C330&amp; ". Hệ thống ghi nhận quy tắc được thiết lập.
2. " &amp;D330&amp;" có thể cấu hình biến đổi gộp hoặc tách cột dữ liệu về "&amp;C330&amp;". Hệ thống ghi nhận quy tắc được thiết lập.
3. " &amp;D330&amp;" có thể cấu hình phân loại, gán nhãn dữ liệu về "&amp;C330&amp;". Hệ thống ghi nhận quy tắc được thiết lập."</f>
        <v>1. Quản trị hệ thống thực hiện cấu hình kiểm tra quy tắc biến đổi định dạng dữ liệu về Văn bản quy phạm pháp luật. Hệ thống ghi nhận quy tắc được thiết lập.
2. Quản trị hệ thống có thể cấu hình biến đổi gộp hoặc tách cột dữ liệu về Văn bản quy phạm pháp luật. Hệ thống ghi nhận quy tắc được thiết lập.
3. Quản trị hệ thống có thể cấu hình phân loại, gán nhãn dữ liệu về Văn bản quy phạm pháp luật. Hệ thống ghi nhận quy tắc được thiết lập.</v>
      </c>
      <c r="H330" s="36" t="s">
        <v>5</v>
      </c>
      <c r="I330" s="36" t="s">
        <v>6</v>
      </c>
    </row>
    <row r="331" spans="1:9" ht="132">
      <c r="A331" s="36">
        <f>COUNTA($D$4:D331)</f>
        <v>276</v>
      </c>
      <c r="B331" s="38" t="str">
        <f t="shared" ref="B331" si="59">"Thiết lập quy tắc làm sạch " &amp;C331</f>
        <v>Thiết lập quy tắc làm sạch Nội dung của văn bản quy phạm pháp luật</v>
      </c>
      <c r="C331" s="47" t="s">
        <v>109</v>
      </c>
      <c r="D331" s="34" t="s">
        <v>28</v>
      </c>
      <c r="E331" s="35"/>
      <c r="F331" s="38"/>
      <c r="G331" s="38" t="str">
        <f>"1. "&amp;D331&amp; " thực hiện cấu hình kiểm tra quy tắc về chuẩn định dạng " &amp;C331&amp; ". Hệ thống ghi nhận quy tắc được thiết lập.
2. " &amp;D331&amp;" có thể cấu hình kiểm tra tính hợp lệ của dữ liệu về "&amp;C331&amp;". Hệ thống ghi nhận quy tắc được thiết lập.
3. " &amp;D331&amp;" có thể cấu hình xử lý giá trị thiếu dữ liệu về "&amp;C331&amp;". Hệ thống ghi nhận quy tắc được thiết lập.
4. " &amp;D331&amp;" có thể cấu hình xử lý loại bỏ hoặc thay thế giá trị ngoại lệ về "&amp;C331&amp;". Hệ thống ghi nhận quy tắc được thiết lập"</f>
        <v>1. Quản trị hệ thống thực hiện cấu hình kiểm tra quy tắc về chuẩn định dạng Nội dung của văn bản quy phạm pháp luật. Hệ thống ghi nhận quy tắc được thiết lập.
2. Quản trị hệ thống có thể cấu hình kiểm tra tính hợp lệ của dữ liệu về Nội dung của văn bản quy phạm pháp luật. Hệ thống ghi nhận quy tắc được thiết lập.
3. Quản trị hệ thống có thể cấu hình xử lý giá trị thiếu dữ liệu về Nội dung của văn bản quy phạm pháp luật. Hệ thống ghi nhận quy tắc được thiết lập.
4. Quản trị hệ thống có thể cấu hình xử lý loại bỏ hoặc thay thế giá trị ngoại lệ về Nội dung của văn bản quy phạm pháp luật. Hệ thống ghi nhận quy tắc được thiết lập</v>
      </c>
      <c r="H331" s="36" t="s">
        <v>5</v>
      </c>
      <c r="I331" s="36" t="s">
        <v>7</v>
      </c>
    </row>
    <row r="332" spans="1:9" ht="132">
      <c r="A332" s="36">
        <f>COUNTA($D$4:D332)</f>
        <v>277</v>
      </c>
      <c r="B332" s="38" t="str">
        <f>"Thiết lập quy tắc chuẩn hóa " &amp;C332</f>
        <v>Thiết lập quy tắc chuẩn hóa Nội dung của văn bản quy phạm pháp luật</v>
      </c>
      <c r="C332" s="47" t="s">
        <v>109</v>
      </c>
      <c r="D332" s="34" t="s">
        <v>28</v>
      </c>
      <c r="E332" s="35"/>
      <c r="F332" s="38"/>
      <c r="G332" s="38" t="str">
        <f>"1. "&amp;D332&amp; " thực hiện cấu hình kiểm tra đối sánh tồn tại dựa trên trường khóa của " &amp;C332&amp; ". Hệ thống ghi nhận quy tắc được thiết lập.
2. " &amp;D332&amp;" có thể cấu hình xử lý trùng lặp về "&amp;C332&amp;". Hệ thống ghi nhận quy tắc được thiết lập.
3. " &amp;D332&amp;" có thể cấu hình xử lý vi phạm về ràng buộc thuộc tính tham chiếu "&amp;C332&amp;". Hệ thống ghi nhận quy tắc được thiết lập."</f>
        <v>1. Quản trị hệ thống thực hiện cấu hình kiểm tra đối sánh tồn tại dựa trên trường khóa của Nội dung của văn bản quy phạm pháp luật. Hệ thống ghi nhận quy tắc được thiết lập.
2. Quản trị hệ thống có thể cấu hình xử lý trùng lặp về Nội dung của văn bản quy phạm pháp luật. Hệ thống ghi nhận quy tắc được thiết lập.
3. Quản trị hệ thống có thể cấu hình xử lý vi phạm về ràng buộc thuộc tính tham chiếu Nội dung của văn bản quy phạm pháp luật. Hệ thống ghi nhận quy tắc được thiết lập.</v>
      </c>
      <c r="H332" s="36" t="s">
        <v>5</v>
      </c>
      <c r="I332" s="36" t="s">
        <v>6</v>
      </c>
    </row>
    <row r="333" spans="1:9" ht="115.5">
      <c r="A333" s="36">
        <f>COUNTA($D$4:D333)</f>
        <v>278</v>
      </c>
      <c r="B333" s="38" t="str">
        <f>"Thiết lập quy tắc biến đổi " &amp;C333</f>
        <v>Thiết lập quy tắc biến đổi Nội dung của văn bản quy phạm pháp luật</v>
      </c>
      <c r="C333" s="47" t="s">
        <v>109</v>
      </c>
      <c r="D333" s="34" t="s">
        <v>28</v>
      </c>
      <c r="E333" s="35"/>
      <c r="F333" s="38"/>
      <c r="G333" s="38" t="str">
        <f>"1. "&amp;D333&amp; " thực hiện cấu hình kiểm tra quy tắc biến đổi định dạng dữ liệu về " &amp;C333&amp; ". Hệ thống ghi nhận quy tắc được thiết lập.
2. " &amp;D333&amp;" có thể cấu hình biến đổi gộp hoặc tách cột dữ liệu về "&amp;C333&amp;". Hệ thống ghi nhận quy tắc được thiết lập.
3. " &amp;D333&amp;" có thể cấu hình phân loại, gán nhãn dữ liệu về "&amp;C333&amp;". Hệ thống ghi nhận quy tắc được thiết lập."</f>
        <v>1. Quản trị hệ thống thực hiện cấu hình kiểm tra quy tắc biến đổi định dạng dữ liệu về Nội dung của văn bản quy phạm pháp luật. Hệ thống ghi nhận quy tắc được thiết lập.
2. Quản trị hệ thống có thể cấu hình biến đổi gộp hoặc tách cột dữ liệu về Nội dung của văn bản quy phạm pháp luật. Hệ thống ghi nhận quy tắc được thiết lập.
3. Quản trị hệ thống có thể cấu hình phân loại, gán nhãn dữ liệu về Nội dung của văn bản quy phạm pháp luật. Hệ thống ghi nhận quy tắc được thiết lập.</v>
      </c>
      <c r="H333" s="36" t="s">
        <v>5</v>
      </c>
      <c r="I333" s="36" t="s">
        <v>6</v>
      </c>
    </row>
    <row r="334" spans="1:9" ht="198">
      <c r="A334" s="36">
        <f>COUNTA($D$4:D334)</f>
        <v>279</v>
      </c>
      <c r="B334" s="38" t="str">
        <f t="shared" ref="B334" si="60">"Thiết lập quy tắc làm sạch " &amp;C334</f>
        <v>Thiết lập quy tắc làm sạch Quan hệ giữa các điều khoản trong các văn bản quy phạm pháp luật</v>
      </c>
      <c r="C334" s="47" t="s">
        <v>110</v>
      </c>
      <c r="D334" s="34" t="s">
        <v>28</v>
      </c>
      <c r="E334" s="35"/>
      <c r="F334" s="38"/>
      <c r="G334" s="38" t="str">
        <f>"1. "&amp;D334&amp; " thực hiện cấu hình kiểm tra quy tắc về chuẩn định dạng " &amp;C334&amp; ". Hệ thống ghi nhận quy tắc được thiết lập.
2. " &amp;D334&amp;" có thể cấu hình kiểm tra tính hợp lệ của dữ liệu về "&amp;C334&amp;". Hệ thống ghi nhận quy tắc được thiết lập.
3. " &amp;D334&amp;" có thể cấu hình xử lý giá trị thiếu dữ liệu về "&amp;C334&amp;". Hệ thống ghi nhận quy tắc được thiết lập.
4. " &amp;D334&amp;" có thể cấu hình xử lý loại bỏ hoặc thay thế giá trị ngoại lệ về "&amp;C334&amp;". Hệ thống ghi nhận quy tắc được thiết lập"</f>
        <v>1. Quản trị hệ thống thực hiện cấu hình kiểm tra quy tắc về chuẩn định dạng Quan hệ giữa các điều khoản trong các văn bản quy phạm pháp luật. Hệ thống ghi nhận quy tắc được thiết lập.
2. Quản trị hệ thống có thể cấu hình kiểm tra tính hợp lệ của dữ liệu về Quan hệ giữa các điều khoản trong các văn bản quy phạm pháp luật. Hệ thống ghi nhận quy tắc được thiết lập.
3. Quản trị hệ thống có thể cấu hình xử lý giá trị thiếu dữ liệu về Quan hệ giữa các điều khoản trong các văn bản quy phạm pháp luật. Hệ thống ghi nhận quy tắc được thiết lập.
4. Quản trị hệ thống có thể cấu hình xử lý loại bỏ hoặc thay thế giá trị ngoại lệ về Quan hệ giữa các điều khoản trong các văn bản quy phạm pháp luật. Hệ thống ghi nhận quy tắc được thiết lập</v>
      </c>
      <c r="H334" s="36" t="s">
        <v>5</v>
      </c>
      <c r="I334" s="36" t="s">
        <v>7</v>
      </c>
    </row>
    <row r="335" spans="1:9" ht="132">
      <c r="A335" s="36">
        <f>COUNTA($D$4:D335)</f>
        <v>280</v>
      </c>
      <c r="B335" s="38" t="str">
        <f>"Thiết lập quy tắc chuẩn hóa " &amp;C335</f>
        <v>Thiết lập quy tắc chuẩn hóa Quan hệ giữa các điều khoản trong các văn bản quy phạm pháp luật</v>
      </c>
      <c r="C335" s="47" t="s">
        <v>110</v>
      </c>
      <c r="D335" s="34" t="s">
        <v>28</v>
      </c>
      <c r="E335" s="35"/>
      <c r="F335" s="38"/>
      <c r="G335" s="38" t="str">
        <f>"1. "&amp;D335&amp; " thực hiện cấu hình kiểm tra đối sánh tồn tại dựa trên trường khóa của " &amp;C335&amp; ". Hệ thống ghi nhận quy tắc được thiết lập.
2. " &amp;D335&amp;" có thể cấu hình xử lý trùng lặp về "&amp;C335&amp;". Hệ thống ghi nhận quy tắc được thiết lập.
3. " &amp;D335&amp;" có thể cấu hình xử lý vi phạm về ràng buộc thuộc tính tham chiếu "&amp;C335&amp;". Hệ thống ghi nhận quy tắc được thiết lập."</f>
        <v>1. Quản trị hệ thống thực hiện cấu hình kiểm tra đối sánh tồn tại dựa trên trường khóa của Quan hệ giữa các điều khoản trong các văn bản quy phạm pháp luật. Hệ thống ghi nhận quy tắc được thiết lập.
2. Quản trị hệ thống có thể cấu hình xử lý trùng lặp về Quan hệ giữa các điều khoản trong các văn bản quy phạm pháp luật. Hệ thống ghi nhận quy tắc được thiết lập.
3. Quản trị hệ thống có thể cấu hình xử lý vi phạm về ràng buộc thuộc tính tham chiếu Quan hệ giữa các điều khoản trong các văn bản quy phạm pháp luật. Hệ thống ghi nhận quy tắc được thiết lập.</v>
      </c>
      <c r="H335" s="36" t="s">
        <v>5</v>
      </c>
      <c r="I335" s="36" t="s">
        <v>6</v>
      </c>
    </row>
    <row r="336" spans="1:9" ht="148.5">
      <c r="A336" s="36">
        <f>COUNTA($D$4:D336)</f>
        <v>281</v>
      </c>
      <c r="B336" s="38" t="str">
        <f>"Thiết lập quy tắc biến đổi " &amp;C336</f>
        <v>Thiết lập quy tắc biến đổi Quan hệ giữa các điều khoản trong các văn bản quy phạm pháp luật</v>
      </c>
      <c r="C336" s="47" t="s">
        <v>110</v>
      </c>
      <c r="D336" s="34" t="s">
        <v>28</v>
      </c>
      <c r="E336" s="35"/>
      <c r="F336" s="38"/>
      <c r="G336" s="38" t="str">
        <f>"1. "&amp;D336&amp; " thực hiện cấu hình kiểm tra quy tắc biến đổi định dạng dữ liệu về " &amp;C336&amp; ". Hệ thống ghi nhận quy tắc được thiết lập.
2. " &amp;D336&amp;" có thể cấu hình biến đổi gộp hoặc tách cột dữ liệu về "&amp;C336&amp;". Hệ thống ghi nhận quy tắc được thiết lập.
3. " &amp;D336&amp;" có thể cấu hình phân loại, gán nhãn dữ liệu về "&amp;C336&amp;". Hệ thống ghi nhận quy tắc được thiết lập."</f>
        <v>1. Quản trị hệ thống thực hiện cấu hình kiểm tra quy tắc biến đổi định dạng dữ liệu về Quan hệ giữa các điều khoản trong các văn bản quy phạm pháp luật. Hệ thống ghi nhận quy tắc được thiết lập.
2. Quản trị hệ thống có thể cấu hình biến đổi gộp hoặc tách cột dữ liệu về Quan hệ giữa các điều khoản trong các văn bản quy phạm pháp luật. Hệ thống ghi nhận quy tắc được thiết lập.
3. Quản trị hệ thống có thể cấu hình phân loại, gán nhãn dữ liệu về Quan hệ giữa các điều khoản trong các văn bản quy phạm pháp luật. Hệ thống ghi nhận quy tắc được thiết lập.</v>
      </c>
      <c r="H336" s="36" t="s">
        <v>5</v>
      </c>
      <c r="I336" s="36" t="s">
        <v>6</v>
      </c>
    </row>
    <row r="337" spans="1:9" ht="132">
      <c r="A337" s="36">
        <f>COUNTA($D$4:D337)</f>
        <v>282</v>
      </c>
      <c r="B337" s="38" t="str">
        <f t="shared" ref="B337" si="61">"Thiết lập quy tắc làm sạch " &amp;C337</f>
        <v>Thiết lập quy tắc làm sạch Văn bản hợp nhất</v>
      </c>
      <c r="C337" s="47" t="s">
        <v>111</v>
      </c>
      <c r="D337" s="34" t="s">
        <v>28</v>
      </c>
      <c r="E337" s="35"/>
      <c r="F337" s="38"/>
      <c r="G337" s="38" t="str">
        <f>"1. "&amp;D337&amp; " thực hiện cấu hình kiểm tra quy tắc về chuẩn định dạng " &amp;C337&amp; ". Hệ thống ghi nhận quy tắc được thiết lập.
2. " &amp;D337&amp;" có thể cấu hình kiểm tra tính hợp lệ của dữ liệu về "&amp;C337&amp;". Hệ thống ghi nhận quy tắc được thiết lập.
3. " &amp;D337&amp;" có thể cấu hình xử lý giá trị thiếu dữ liệu về "&amp;C337&amp;". Hệ thống ghi nhận quy tắc được thiết lập.
4. " &amp;D337&amp;" có thể cấu hình xử lý loại bỏ hoặc thay thế giá trị ngoại lệ về "&amp;C337&amp;". Hệ thống ghi nhận quy tắc được thiết lập"</f>
        <v>1. Quản trị hệ thống thực hiện cấu hình kiểm tra quy tắc về chuẩn định dạng Văn bản hợp nhất. Hệ thống ghi nhận quy tắc được thiết lập.
2. Quản trị hệ thống có thể cấu hình kiểm tra tính hợp lệ của dữ liệu về Văn bản hợp nhất. Hệ thống ghi nhận quy tắc được thiết lập.
3. Quản trị hệ thống có thể cấu hình xử lý giá trị thiếu dữ liệu về Văn bản hợp nhất. Hệ thống ghi nhận quy tắc được thiết lập.
4. Quản trị hệ thống có thể cấu hình xử lý loại bỏ hoặc thay thế giá trị ngoại lệ về Văn bản hợp nhất. Hệ thống ghi nhận quy tắc được thiết lập</v>
      </c>
      <c r="H337" s="36" t="s">
        <v>5</v>
      </c>
      <c r="I337" s="36" t="s">
        <v>7</v>
      </c>
    </row>
    <row r="338" spans="1:9" ht="99">
      <c r="A338" s="36">
        <f>COUNTA($D$4:D338)</f>
        <v>283</v>
      </c>
      <c r="B338" s="38" t="str">
        <f>"Thiết lập quy tắc chuẩn hóa " &amp;C338</f>
        <v>Thiết lập quy tắc chuẩn hóa Văn bản hợp nhất</v>
      </c>
      <c r="C338" s="47" t="s">
        <v>111</v>
      </c>
      <c r="D338" s="34" t="s">
        <v>28</v>
      </c>
      <c r="E338" s="35"/>
      <c r="F338" s="38"/>
      <c r="G338" s="38" t="str">
        <f>"1. "&amp;D338&amp; " thực hiện cấu hình kiểm tra đối sánh tồn tại dựa trên trường khóa của " &amp;C338&amp; ". Hệ thống ghi nhận quy tắc được thiết lập.
2. " &amp;D338&amp;" có thể cấu hình xử lý trùng lặp về "&amp;C338&amp;". Hệ thống ghi nhận quy tắc được thiết lập.
3. " &amp;D338&amp;" có thể cấu hình xử lý vi phạm về ràng buộc thuộc tính tham chiếu "&amp;C338&amp;". Hệ thống ghi nhận quy tắc được thiết lập."</f>
        <v>1. Quản trị hệ thống thực hiện cấu hình kiểm tra đối sánh tồn tại dựa trên trường khóa của Văn bản hợp nhất. Hệ thống ghi nhận quy tắc được thiết lập.
2. Quản trị hệ thống có thể cấu hình xử lý trùng lặp về Văn bản hợp nhất. Hệ thống ghi nhận quy tắc được thiết lập.
3. Quản trị hệ thống có thể cấu hình xử lý vi phạm về ràng buộc thuộc tính tham chiếu Văn bản hợp nhất. Hệ thống ghi nhận quy tắc được thiết lập.</v>
      </c>
      <c r="H338" s="36" t="s">
        <v>5</v>
      </c>
      <c r="I338" s="36" t="s">
        <v>6</v>
      </c>
    </row>
    <row r="339" spans="1:9" ht="99">
      <c r="A339" s="36">
        <f>COUNTA($D$4:D339)</f>
        <v>284</v>
      </c>
      <c r="B339" s="38" t="str">
        <f>"Thiết lập quy tắc biến đổi " &amp;C339</f>
        <v>Thiết lập quy tắc biến đổi Văn bản hợp nhất</v>
      </c>
      <c r="C339" s="47" t="s">
        <v>111</v>
      </c>
      <c r="D339" s="34" t="s">
        <v>28</v>
      </c>
      <c r="E339" s="35"/>
      <c r="F339" s="38"/>
      <c r="G339" s="38" t="str">
        <f>"1. "&amp;D339&amp; " thực hiện cấu hình kiểm tra quy tắc biến đổi định dạng dữ liệu về " &amp;C339&amp; ". Hệ thống ghi nhận quy tắc được thiết lập.
2. " &amp;D339&amp;" có thể cấu hình biến đổi gộp hoặc tách cột dữ liệu về "&amp;C339&amp;". Hệ thống ghi nhận quy tắc được thiết lập.
3. " &amp;D339&amp;" có thể cấu hình phân loại, gán nhãn dữ liệu về "&amp;C339&amp;". Hệ thống ghi nhận quy tắc được thiết lập."</f>
        <v>1. Quản trị hệ thống thực hiện cấu hình kiểm tra quy tắc biến đổi định dạng dữ liệu về Văn bản hợp nhất. Hệ thống ghi nhận quy tắc được thiết lập.
2. Quản trị hệ thống có thể cấu hình biến đổi gộp hoặc tách cột dữ liệu về Văn bản hợp nhất. Hệ thống ghi nhận quy tắc được thiết lập.
3. Quản trị hệ thống có thể cấu hình phân loại, gán nhãn dữ liệu về Văn bản hợp nhất. Hệ thống ghi nhận quy tắc được thiết lập.</v>
      </c>
      <c r="H339" s="36" t="s">
        <v>5</v>
      </c>
      <c r="I339" s="36" t="s">
        <v>6</v>
      </c>
    </row>
    <row r="340" spans="1:9" ht="132">
      <c r="A340" s="36">
        <f>COUNTA($D$4:D340)</f>
        <v>285</v>
      </c>
      <c r="B340" s="38" t="str">
        <f t="shared" ref="B340" si="62">"Thiết lập quy tắc làm sạch " &amp;C340</f>
        <v>Thiết lập quy tắc làm sạch Hệ thống hóa văn bản quy phạm pháp luật</v>
      </c>
      <c r="C340" s="47" t="s">
        <v>112</v>
      </c>
      <c r="D340" s="34" t="s">
        <v>28</v>
      </c>
      <c r="E340" s="35"/>
      <c r="F340" s="38"/>
      <c r="G340" s="38" t="str">
        <f>"1. "&amp;D340&amp; " thực hiện cấu hình kiểm tra quy tắc về chuẩn định dạng " &amp;C340&amp; ". Hệ thống ghi nhận quy tắc được thiết lập.
2. " &amp;D340&amp;" có thể cấu hình kiểm tra tính hợp lệ của dữ liệu về "&amp;C340&amp;". Hệ thống ghi nhận quy tắc được thiết lập.
3. " &amp;D340&amp;" có thể cấu hình xử lý giá trị thiếu dữ liệu về "&amp;C340&amp;". Hệ thống ghi nhận quy tắc được thiết lập.
4. " &amp;D340&amp;" có thể cấu hình xử lý loại bỏ hoặc thay thế giá trị ngoại lệ về "&amp;C340&amp;". Hệ thống ghi nhận quy tắc được thiết lập"</f>
        <v>1. Quản trị hệ thống thực hiện cấu hình kiểm tra quy tắc về chuẩn định dạng Hệ thống hóa văn bản quy phạm pháp luật. Hệ thống ghi nhận quy tắc được thiết lập.
2. Quản trị hệ thống có thể cấu hình kiểm tra tính hợp lệ của dữ liệu về Hệ thống hóa văn bản quy phạm pháp luật. Hệ thống ghi nhận quy tắc được thiết lập.
3. Quản trị hệ thống có thể cấu hình xử lý giá trị thiếu dữ liệu về Hệ thống hóa văn bản quy phạm pháp luật. Hệ thống ghi nhận quy tắc được thiết lập.
4. Quản trị hệ thống có thể cấu hình xử lý loại bỏ hoặc thay thế giá trị ngoại lệ về Hệ thống hóa văn bản quy phạm pháp luật. Hệ thống ghi nhận quy tắc được thiết lập</v>
      </c>
      <c r="H340" s="36" t="s">
        <v>5</v>
      </c>
      <c r="I340" s="36" t="s">
        <v>7</v>
      </c>
    </row>
    <row r="341" spans="1:9" ht="132">
      <c r="A341" s="36">
        <f>COUNTA($D$4:D341)</f>
        <v>286</v>
      </c>
      <c r="B341" s="38" t="str">
        <f>"Thiết lập quy tắc chuẩn hóa " &amp;C341</f>
        <v>Thiết lập quy tắc chuẩn hóa Hệ thống hóa văn bản quy phạm pháp luật</v>
      </c>
      <c r="C341" s="47" t="s">
        <v>112</v>
      </c>
      <c r="D341" s="34" t="s">
        <v>28</v>
      </c>
      <c r="E341" s="35"/>
      <c r="F341" s="38"/>
      <c r="G341" s="38" t="str">
        <f>"1. "&amp;D341&amp; " thực hiện cấu hình kiểm tra đối sánh tồn tại dựa trên trường khóa của " &amp;C341&amp; ". Hệ thống ghi nhận quy tắc được thiết lập.
2. " &amp;D341&amp;" có thể cấu hình xử lý trùng lặp về "&amp;C341&amp;". Hệ thống ghi nhận quy tắc được thiết lập.
3. " &amp;D341&amp;" có thể cấu hình xử lý vi phạm về ràng buộc thuộc tính tham chiếu "&amp;C341&amp;". Hệ thống ghi nhận quy tắc được thiết lập."</f>
        <v>1. Quản trị hệ thống thực hiện cấu hình kiểm tra đối sánh tồn tại dựa trên trường khóa của Hệ thống hóa văn bản quy phạm pháp luật. Hệ thống ghi nhận quy tắc được thiết lập.
2. Quản trị hệ thống có thể cấu hình xử lý trùng lặp về Hệ thống hóa văn bản quy phạm pháp luật. Hệ thống ghi nhận quy tắc được thiết lập.
3. Quản trị hệ thống có thể cấu hình xử lý vi phạm về ràng buộc thuộc tính tham chiếu Hệ thống hóa văn bản quy phạm pháp luật. Hệ thống ghi nhận quy tắc được thiết lập.</v>
      </c>
      <c r="H341" s="36" t="s">
        <v>5</v>
      </c>
      <c r="I341" s="36" t="s">
        <v>6</v>
      </c>
    </row>
    <row r="342" spans="1:9" ht="115.5">
      <c r="A342" s="36">
        <f>COUNTA($D$4:D342)</f>
        <v>287</v>
      </c>
      <c r="B342" s="38" t="str">
        <f>"Thiết lập quy tắc biến đổi " &amp;C342</f>
        <v>Thiết lập quy tắc biến đổi Hệ thống hóa văn bản quy phạm pháp luật</v>
      </c>
      <c r="C342" s="47" t="s">
        <v>112</v>
      </c>
      <c r="D342" s="34" t="s">
        <v>28</v>
      </c>
      <c r="E342" s="35"/>
      <c r="F342" s="38"/>
      <c r="G342" s="38" t="str">
        <f>"1. "&amp;D342&amp; " thực hiện cấu hình kiểm tra quy tắc biến đổi định dạng dữ liệu về " &amp;C342&amp; ". Hệ thống ghi nhận quy tắc được thiết lập.
2. " &amp;D342&amp;" có thể cấu hình biến đổi gộp hoặc tách cột dữ liệu về "&amp;C342&amp;". Hệ thống ghi nhận quy tắc được thiết lập.
3. " &amp;D342&amp;" có thể cấu hình phân loại, gán nhãn dữ liệu về "&amp;C342&amp;". Hệ thống ghi nhận quy tắc được thiết lập."</f>
        <v>1. Quản trị hệ thống thực hiện cấu hình kiểm tra quy tắc biến đổi định dạng dữ liệu về Hệ thống hóa văn bản quy phạm pháp luật. Hệ thống ghi nhận quy tắc được thiết lập.
2. Quản trị hệ thống có thể cấu hình biến đổi gộp hoặc tách cột dữ liệu về Hệ thống hóa văn bản quy phạm pháp luật. Hệ thống ghi nhận quy tắc được thiết lập.
3. Quản trị hệ thống có thể cấu hình phân loại, gán nhãn dữ liệu về Hệ thống hóa văn bản quy phạm pháp luật. Hệ thống ghi nhận quy tắc được thiết lập.</v>
      </c>
      <c r="H342" s="36" t="s">
        <v>5</v>
      </c>
      <c r="I342" s="36" t="s">
        <v>6</v>
      </c>
    </row>
    <row r="343" spans="1:9" ht="33">
      <c r="A343" s="41" t="s">
        <v>178</v>
      </c>
      <c r="B343" s="42" t="s">
        <v>114</v>
      </c>
      <c r="C343" s="42"/>
      <c r="D343" s="34"/>
      <c r="E343" s="35"/>
      <c r="F343" s="35"/>
      <c r="G343" s="35"/>
      <c r="H343" s="36"/>
      <c r="I343" s="36"/>
    </row>
    <row r="344" spans="1:9" ht="132">
      <c r="A344" s="36">
        <f>COUNTA($D$4:D344)</f>
        <v>288</v>
      </c>
      <c r="B344" s="38" t="str">
        <f t="shared" ref="B344" si="63">"Thiết lập quy tắc làm sạch " &amp;C344</f>
        <v>Thiết lập quy tắc làm sạch Hồ sơ ủy thác tư pháp đến</v>
      </c>
      <c r="C344" s="38" t="s">
        <v>115</v>
      </c>
      <c r="D344" s="34" t="s">
        <v>28</v>
      </c>
      <c r="E344" s="35"/>
      <c r="F344" s="38"/>
      <c r="G344" s="38" t="str">
        <f>"1. "&amp;D344&amp; " thực hiện cấu hình kiểm tra quy tắc về chuẩn định dạng " &amp;C344&amp; ". Hệ thống ghi nhận quy tắc được thiết lập.
2. " &amp;D344&amp;" có thể cấu hình kiểm tra tính hợp lệ của dữ liệu về "&amp;C344&amp;". Hệ thống ghi nhận quy tắc được thiết lập.
3. " &amp;D344&amp;" có thể cấu hình xử lý giá trị thiếu dữ liệu về "&amp;C344&amp;". Hệ thống ghi nhận quy tắc được thiết lập.
4. " &amp;D344&amp;" có thể cấu hình xử lý loại bỏ hoặc thay thế giá trị ngoại lệ về "&amp;C344&amp;". Hệ thống ghi nhận quy tắc được thiết lập"</f>
        <v>1. Quản trị hệ thống thực hiện cấu hình kiểm tra quy tắc về chuẩn định dạng Hồ sơ ủy thác tư pháp đến. Hệ thống ghi nhận quy tắc được thiết lập.
2. Quản trị hệ thống có thể cấu hình kiểm tra tính hợp lệ của dữ liệu về Hồ sơ ủy thác tư pháp đến. Hệ thống ghi nhận quy tắc được thiết lập.
3. Quản trị hệ thống có thể cấu hình xử lý giá trị thiếu dữ liệu về Hồ sơ ủy thác tư pháp đến. Hệ thống ghi nhận quy tắc được thiết lập.
4. Quản trị hệ thống có thể cấu hình xử lý loại bỏ hoặc thay thế giá trị ngoại lệ về Hồ sơ ủy thác tư pháp đến. Hệ thống ghi nhận quy tắc được thiết lập</v>
      </c>
      <c r="H344" s="36" t="s">
        <v>5</v>
      </c>
      <c r="I344" s="36" t="s">
        <v>7</v>
      </c>
    </row>
    <row r="345" spans="1:9" ht="99">
      <c r="A345" s="36">
        <f>COUNTA($D$4:D345)</f>
        <v>289</v>
      </c>
      <c r="B345" s="38" t="str">
        <f>"Thiết lập quy tắc chuẩn hóa " &amp;C345</f>
        <v>Thiết lập quy tắc chuẩn hóa Hồ sơ ủy thác tư pháp đến</v>
      </c>
      <c r="C345" s="38" t="s">
        <v>115</v>
      </c>
      <c r="D345" s="34" t="s">
        <v>28</v>
      </c>
      <c r="E345" s="35"/>
      <c r="F345" s="38"/>
      <c r="G345" s="38" t="str">
        <f>"1. "&amp;D345&amp; " thực hiện cấu hình kiểm tra đối sánh tồn tại dựa trên trường khóa của " &amp;C345&amp; ". Hệ thống ghi nhận quy tắc được thiết lập.
2. " &amp;D345&amp;" có thể cấu hình xử lý trùng lặp về "&amp;C345&amp;". Hệ thống ghi nhận quy tắc được thiết lập.
3. " &amp;D345&amp;" có thể cấu hình xử lý vi phạm về ràng buộc thuộc tính tham chiếu "&amp;C345&amp;". Hệ thống ghi nhận quy tắc được thiết lập."</f>
        <v>1. Quản trị hệ thống thực hiện cấu hình kiểm tra đối sánh tồn tại dựa trên trường khóa của Hồ sơ ủy thác tư pháp đến. Hệ thống ghi nhận quy tắc được thiết lập.
2. Quản trị hệ thống có thể cấu hình xử lý trùng lặp về Hồ sơ ủy thác tư pháp đến. Hệ thống ghi nhận quy tắc được thiết lập.
3. Quản trị hệ thống có thể cấu hình xử lý vi phạm về ràng buộc thuộc tính tham chiếu Hồ sơ ủy thác tư pháp đến. Hệ thống ghi nhận quy tắc được thiết lập.</v>
      </c>
      <c r="H345" s="36" t="s">
        <v>5</v>
      </c>
      <c r="I345" s="36" t="s">
        <v>6</v>
      </c>
    </row>
    <row r="346" spans="1:9" ht="99">
      <c r="A346" s="36">
        <f>COUNTA($D$4:D346)</f>
        <v>290</v>
      </c>
      <c r="B346" s="38" t="str">
        <f>"Thiết lập quy tắc biến đổi " &amp;C346</f>
        <v>Thiết lập quy tắc biến đổi Hồ sơ ủy thác tư pháp đến</v>
      </c>
      <c r="C346" s="38" t="s">
        <v>115</v>
      </c>
      <c r="D346" s="34" t="s">
        <v>28</v>
      </c>
      <c r="E346" s="35"/>
      <c r="F346" s="38"/>
      <c r="G346" s="38" t="str">
        <f>"1. "&amp;D346&amp; " thực hiện cấu hình kiểm tra quy tắc biến đổi định dạng dữ liệu về " &amp;C346&amp; ". Hệ thống ghi nhận quy tắc được thiết lập.
2. " &amp;D346&amp;" có thể cấu hình biến đổi gộp hoặc tách cột dữ liệu về "&amp;C346&amp;". Hệ thống ghi nhận quy tắc được thiết lập.
3. " &amp;D346&amp;" có thể cấu hình phân loại, gán nhãn dữ liệu về "&amp;C346&amp;". Hệ thống ghi nhận quy tắc được thiết lập."</f>
        <v>1. Quản trị hệ thống thực hiện cấu hình kiểm tra quy tắc biến đổi định dạng dữ liệu về Hồ sơ ủy thác tư pháp đến. Hệ thống ghi nhận quy tắc được thiết lập.
2. Quản trị hệ thống có thể cấu hình biến đổi gộp hoặc tách cột dữ liệu về Hồ sơ ủy thác tư pháp đến. Hệ thống ghi nhận quy tắc được thiết lập.
3. Quản trị hệ thống có thể cấu hình phân loại, gán nhãn dữ liệu về Hồ sơ ủy thác tư pháp đến. Hệ thống ghi nhận quy tắc được thiết lập.</v>
      </c>
      <c r="H346" s="36" t="s">
        <v>5</v>
      </c>
      <c r="I346" s="36" t="s">
        <v>6</v>
      </c>
    </row>
    <row r="347" spans="1:9" ht="132">
      <c r="A347" s="36">
        <f>COUNTA($D$4:D347)</f>
        <v>291</v>
      </c>
      <c r="B347" s="38" t="str">
        <f t="shared" ref="B347" si="64">"Thiết lập quy tắc làm sạch " &amp;C347</f>
        <v>Thiết lập quy tắc làm sạch Hồ sơ ủy thác tư pháp đi</v>
      </c>
      <c r="C347" s="38" t="s">
        <v>117</v>
      </c>
      <c r="D347" s="34" t="s">
        <v>28</v>
      </c>
      <c r="E347" s="35"/>
      <c r="F347" s="38"/>
      <c r="G347" s="38" t="str">
        <f>"1. "&amp;D347&amp; " thực hiện cấu hình kiểm tra quy tắc về chuẩn định dạng " &amp;C347&amp; ". Hệ thống ghi nhận quy tắc được thiết lập.
2. " &amp;D347&amp;" có thể cấu hình kiểm tra tính hợp lệ của dữ liệu về "&amp;C347&amp;". Hệ thống ghi nhận quy tắc được thiết lập.
3. " &amp;D347&amp;" có thể cấu hình xử lý giá trị thiếu dữ liệu về "&amp;C347&amp;". Hệ thống ghi nhận quy tắc được thiết lập.
4. " &amp;D347&amp;" có thể cấu hình xử lý loại bỏ hoặc thay thế giá trị ngoại lệ về "&amp;C347&amp;". Hệ thống ghi nhận quy tắc được thiết lập"</f>
        <v>1. Quản trị hệ thống thực hiện cấu hình kiểm tra quy tắc về chuẩn định dạng Hồ sơ ủy thác tư pháp đi. Hệ thống ghi nhận quy tắc được thiết lập.
2. Quản trị hệ thống có thể cấu hình kiểm tra tính hợp lệ của dữ liệu về Hồ sơ ủy thác tư pháp đi. Hệ thống ghi nhận quy tắc được thiết lập.
3. Quản trị hệ thống có thể cấu hình xử lý giá trị thiếu dữ liệu về Hồ sơ ủy thác tư pháp đi. Hệ thống ghi nhận quy tắc được thiết lập.
4. Quản trị hệ thống có thể cấu hình xử lý loại bỏ hoặc thay thế giá trị ngoại lệ về Hồ sơ ủy thác tư pháp đi. Hệ thống ghi nhận quy tắc được thiết lập</v>
      </c>
      <c r="H347" s="36" t="s">
        <v>5</v>
      </c>
      <c r="I347" s="36" t="s">
        <v>7</v>
      </c>
    </row>
    <row r="348" spans="1:9" ht="99">
      <c r="A348" s="36">
        <f>COUNTA($D$4:D348)</f>
        <v>292</v>
      </c>
      <c r="B348" s="38" t="str">
        <f>"Thiết lập quy tắc chuẩn hóa " &amp;C348</f>
        <v>Thiết lập quy tắc chuẩn hóa Hồ sơ ủy thác tư pháp đi</v>
      </c>
      <c r="C348" s="38" t="s">
        <v>117</v>
      </c>
      <c r="D348" s="34" t="s">
        <v>28</v>
      </c>
      <c r="E348" s="35"/>
      <c r="F348" s="38"/>
      <c r="G348" s="38" t="str">
        <f>"1. "&amp;D348&amp; " thực hiện cấu hình kiểm tra đối sánh tồn tại dựa trên trường khóa của " &amp;C348&amp; ". Hệ thống ghi nhận quy tắc được thiết lập.
2. " &amp;D348&amp;" có thể cấu hình xử lý trùng lặp về "&amp;C348&amp;". Hệ thống ghi nhận quy tắc được thiết lập.
3. " &amp;D348&amp;" có thể cấu hình xử lý vi phạm về ràng buộc thuộc tính tham chiếu "&amp;C348&amp;". Hệ thống ghi nhận quy tắc được thiết lập."</f>
        <v>1. Quản trị hệ thống thực hiện cấu hình kiểm tra đối sánh tồn tại dựa trên trường khóa của Hồ sơ ủy thác tư pháp đi. Hệ thống ghi nhận quy tắc được thiết lập.
2. Quản trị hệ thống có thể cấu hình xử lý trùng lặp về Hồ sơ ủy thác tư pháp đi. Hệ thống ghi nhận quy tắc được thiết lập.
3. Quản trị hệ thống có thể cấu hình xử lý vi phạm về ràng buộc thuộc tính tham chiếu Hồ sơ ủy thác tư pháp đi. Hệ thống ghi nhận quy tắc được thiết lập.</v>
      </c>
      <c r="H348" s="36" t="s">
        <v>5</v>
      </c>
      <c r="I348" s="36" t="s">
        <v>6</v>
      </c>
    </row>
    <row r="349" spans="1:9" ht="99">
      <c r="A349" s="36">
        <f>COUNTA($D$4:D349)</f>
        <v>293</v>
      </c>
      <c r="B349" s="38" t="str">
        <f>"Thiết lập quy tắc biến đổi " &amp;C349</f>
        <v>Thiết lập quy tắc biến đổi Hồ sơ ủy thác tư pháp đi</v>
      </c>
      <c r="C349" s="38" t="s">
        <v>117</v>
      </c>
      <c r="D349" s="34" t="s">
        <v>28</v>
      </c>
      <c r="E349" s="35"/>
      <c r="F349" s="38"/>
      <c r="G349" s="38" t="str">
        <f>"1. "&amp;D349&amp; " thực hiện cấu hình kiểm tra quy tắc biến đổi định dạng dữ liệu về " &amp;C349&amp; ". Hệ thống ghi nhận quy tắc được thiết lập.
2. " &amp;D349&amp;" có thể cấu hình biến đổi gộp hoặc tách cột dữ liệu về "&amp;C349&amp;". Hệ thống ghi nhận quy tắc được thiết lập.
3. " &amp;D349&amp;" có thể cấu hình phân loại, gán nhãn dữ liệu về "&amp;C349&amp;". Hệ thống ghi nhận quy tắc được thiết lập."</f>
        <v>1. Quản trị hệ thống thực hiện cấu hình kiểm tra quy tắc biến đổi định dạng dữ liệu về Hồ sơ ủy thác tư pháp đi. Hệ thống ghi nhận quy tắc được thiết lập.
2. Quản trị hệ thống có thể cấu hình biến đổi gộp hoặc tách cột dữ liệu về Hồ sơ ủy thác tư pháp đi. Hệ thống ghi nhận quy tắc được thiết lập.
3. Quản trị hệ thống có thể cấu hình phân loại, gán nhãn dữ liệu về Hồ sơ ủy thác tư pháp đi. Hệ thống ghi nhận quy tắc được thiết lập.</v>
      </c>
      <c r="H349" s="36" t="s">
        <v>5</v>
      </c>
      <c r="I349" s="36" t="s">
        <v>6</v>
      </c>
    </row>
    <row r="350" spans="1:9" ht="33">
      <c r="A350" s="41" t="s">
        <v>179</v>
      </c>
      <c r="B350" s="42" t="s">
        <v>119</v>
      </c>
      <c r="C350" s="42"/>
      <c r="D350" s="34"/>
      <c r="E350" s="35"/>
      <c r="F350" s="35"/>
      <c r="G350" s="35"/>
      <c r="H350" s="36"/>
      <c r="I350" s="36"/>
    </row>
    <row r="351" spans="1:9" ht="132">
      <c r="A351" s="36">
        <f>COUNTA($D$4:D351)</f>
        <v>294</v>
      </c>
      <c r="B351" s="38" t="str">
        <f t="shared" ref="B351" si="65">"Thiết lập quy tắc làm sạch " &amp;C351</f>
        <v>Thiết lập quy tắc làm sạch Tổ chức thực hiện trợ giúp pháp lý</v>
      </c>
      <c r="C351" s="38" t="s">
        <v>120</v>
      </c>
      <c r="D351" s="34" t="s">
        <v>28</v>
      </c>
      <c r="E351" s="35"/>
      <c r="F351" s="38"/>
      <c r="G351" s="38" t="str">
        <f>"1. "&amp;D351&amp; " thực hiện cấu hình kiểm tra quy tắc về chuẩn định dạng " &amp;C351&amp; ". Hệ thống ghi nhận quy tắc được thiết lập.
2. " &amp;D351&amp;" có thể cấu hình kiểm tra tính hợp lệ của dữ liệu về "&amp;C351&amp;". Hệ thống ghi nhận quy tắc được thiết lập.
3. " &amp;D351&amp;" có thể cấu hình xử lý giá trị thiếu dữ liệu về "&amp;C351&amp;". Hệ thống ghi nhận quy tắc được thiết lập.
4. " &amp;D351&amp;" có thể cấu hình xử lý loại bỏ hoặc thay thế giá trị ngoại lệ về "&amp;C351&amp;". Hệ thống ghi nhận quy tắc được thiết lập"</f>
        <v>1. Quản trị hệ thống thực hiện cấu hình kiểm tra quy tắc về chuẩn định dạng Tổ chức thực hiện trợ giúp pháp lý. Hệ thống ghi nhận quy tắc được thiết lập.
2. Quản trị hệ thống có thể cấu hình kiểm tra tính hợp lệ của dữ liệu về Tổ chức thực hiện trợ giúp pháp lý. Hệ thống ghi nhận quy tắc được thiết lập.
3. Quản trị hệ thống có thể cấu hình xử lý giá trị thiếu dữ liệu về Tổ chức thực hiện trợ giúp pháp lý. Hệ thống ghi nhận quy tắc được thiết lập.
4. Quản trị hệ thống có thể cấu hình xử lý loại bỏ hoặc thay thế giá trị ngoại lệ về Tổ chức thực hiện trợ giúp pháp lý. Hệ thống ghi nhận quy tắc được thiết lập</v>
      </c>
      <c r="H351" s="36" t="s">
        <v>5</v>
      </c>
      <c r="I351" s="36" t="s">
        <v>7</v>
      </c>
    </row>
    <row r="352" spans="1:9" ht="115.5">
      <c r="A352" s="36">
        <f>COUNTA($D$4:D352)</f>
        <v>295</v>
      </c>
      <c r="B352" s="38" t="str">
        <f>"Thiết lập quy tắc chuẩn hóa " &amp;C352</f>
        <v>Thiết lập quy tắc chuẩn hóa Tổ chức thực hiện trợ giúp pháp lý</v>
      </c>
      <c r="C352" s="38" t="s">
        <v>120</v>
      </c>
      <c r="D352" s="34" t="s">
        <v>28</v>
      </c>
      <c r="E352" s="35"/>
      <c r="F352" s="38"/>
      <c r="G352" s="38" t="str">
        <f>"1. "&amp;D352&amp; " thực hiện cấu hình kiểm tra đối sánh tồn tại dựa trên trường khóa của " &amp;C352&amp; ". Hệ thống ghi nhận quy tắc được thiết lập.
2. " &amp;D352&amp;" có thể cấu hình xử lý trùng lặp về "&amp;C352&amp;". Hệ thống ghi nhận quy tắc được thiết lập.
3. " &amp;D352&amp;" có thể cấu hình xử lý vi phạm về ràng buộc thuộc tính tham chiếu "&amp;C352&amp;". Hệ thống ghi nhận quy tắc được thiết lập."</f>
        <v>1. Quản trị hệ thống thực hiện cấu hình kiểm tra đối sánh tồn tại dựa trên trường khóa của Tổ chức thực hiện trợ giúp pháp lý. Hệ thống ghi nhận quy tắc được thiết lập.
2. Quản trị hệ thống có thể cấu hình xử lý trùng lặp về Tổ chức thực hiện trợ giúp pháp lý. Hệ thống ghi nhận quy tắc được thiết lập.
3. Quản trị hệ thống có thể cấu hình xử lý vi phạm về ràng buộc thuộc tính tham chiếu Tổ chức thực hiện trợ giúp pháp lý. Hệ thống ghi nhận quy tắc được thiết lập.</v>
      </c>
      <c r="H352" s="36" t="s">
        <v>5</v>
      </c>
      <c r="I352" s="36" t="s">
        <v>6</v>
      </c>
    </row>
    <row r="353" spans="1:9" ht="99">
      <c r="A353" s="36">
        <f>COUNTA($D$4:D353)</f>
        <v>296</v>
      </c>
      <c r="B353" s="38" t="str">
        <f>"Thiết lập quy tắc biến đổi " &amp;C353</f>
        <v>Thiết lập quy tắc biến đổi Tổ chức thực hiện trợ giúp pháp lý</v>
      </c>
      <c r="C353" s="38" t="s">
        <v>120</v>
      </c>
      <c r="D353" s="34" t="s">
        <v>28</v>
      </c>
      <c r="E353" s="35"/>
      <c r="F353" s="38"/>
      <c r="G353" s="38" t="str">
        <f>"1. "&amp;D353&amp; " thực hiện cấu hình kiểm tra quy tắc biến đổi định dạng dữ liệu về " &amp;C353&amp; ". Hệ thống ghi nhận quy tắc được thiết lập.
2. " &amp;D353&amp;" có thể cấu hình biến đổi gộp hoặc tách cột dữ liệu về "&amp;C353&amp;". Hệ thống ghi nhận quy tắc được thiết lập.
3. " &amp;D353&amp;" có thể cấu hình phân loại, gán nhãn dữ liệu về "&amp;C353&amp;". Hệ thống ghi nhận quy tắc được thiết lập."</f>
        <v>1. Quản trị hệ thống thực hiện cấu hình kiểm tra quy tắc biến đổi định dạng dữ liệu về Tổ chức thực hiện trợ giúp pháp lý. Hệ thống ghi nhận quy tắc được thiết lập.
2. Quản trị hệ thống có thể cấu hình biến đổi gộp hoặc tách cột dữ liệu về Tổ chức thực hiện trợ giúp pháp lý. Hệ thống ghi nhận quy tắc được thiết lập.
3. Quản trị hệ thống có thể cấu hình phân loại, gán nhãn dữ liệu về Tổ chức thực hiện trợ giúp pháp lý. Hệ thống ghi nhận quy tắc được thiết lập.</v>
      </c>
      <c r="H353" s="36" t="s">
        <v>5</v>
      </c>
      <c r="I353" s="36" t="s">
        <v>6</v>
      </c>
    </row>
    <row r="354" spans="1:9" ht="132">
      <c r="A354" s="36">
        <f>COUNTA($D$4:D354)</f>
        <v>297</v>
      </c>
      <c r="B354" s="38" t="str">
        <f t="shared" ref="B354" si="66">"Thiết lập quy tắc làm sạch " &amp;C354</f>
        <v>Thiết lập quy tắc làm sạch Tổ chức đăng ký tham gia trợ giúp pháp lý</v>
      </c>
      <c r="C354" s="48" t="s">
        <v>122</v>
      </c>
      <c r="D354" s="34" t="s">
        <v>28</v>
      </c>
      <c r="E354" s="35"/>
      <c r="F354" s="38"/>
      <c r="G354" s="38" t="str">
        <f>"1. "&amp;D354&amp; " thực hiện cấu hình kiểm tra quy tắc về chuẩn định dạng " &amp;C354&amp; ". Hệ thống ghi nhận quy tắc được thiết lập.
2. " &amp;D354&amp;" có thể cấu hình kiểm tra tính hợp lệ của dữ liệu về "&amp;C354&amp;". Hệ thống ghi nhận quy tắc được thiết lập.
3. " &amp;D354&amp;" có thể cấu hình xử lý giá trị thiếu dữ liệu về "&amp;C354&amp;". Hệ thống ghi nhận quy tắc được thiết lập.
4. " &amp;D354&amp;" có thể cấu hình xử lý loại bỏ hoặc thay thế giá trị ngoại lệ về "&amp;C354&amp;". Hệ thống ghi nhận quy tắc được thiết lập"</f>
        <v>1. Quản trị hệ thống thực hiện cấu hình kiểm tra quy tắc về chuẩn định dạng Tổ chức đăng ký tham gia trợ giúp pháp lý. Hệ thống ghi nhận quy tắc được thiết lập.
2. Quản trị hệ thống có thể cấu hình kiểm tra tính hợp lệ của dữ liệu về Tổ chức đăng ký tham gia trợ giúp pháp lý. Hệ thống ghi nhận quy tắc được thiết lập.
3. Quản trị hệ thống có thể cấu hình xử lý giá trị thiếu dữ liệu về Tổ chức đăng ký tham gia trợ giúp pháp lý. Hệ thống ghi nhận quy tắc được thiết lập.
4. Quản trị hệ thống có thể cấu hình xử lý loại bỏ hoặc thay thế giá trị ngoại lệ về Tổ chức đăng ký tham gia trợ giúp pháp lý. Hệ thống ghi nhận quy tắc được thiết lập</v>
      </c>
      <c r="H354" s="36" t="s">
        <v>5</v>
      </c>
      <c r="I354" s="36" t="s">
        <v>7</v>
      </c>
    </row>
    <row r="355" spans="1:9" ht="132">
      <c r="A355" s="36">
        <f>COUNTA($D$4:D355)</f>
        <v>298</v>
      </c>
      <c r="B355" s="38" t="str">
        <f>"Thiết lập quy tắc chuẩn hóa " &amp;C355</f>
        <v>Thiết lập quy tắc chuẩn hóa Tổ chức đăng ký tham gia trợ giúp pháp lý</v>
      </c>
      <c r="C355" s="48" t="s">
        <v>122</v>
      </c>
      <c r="D355" s="34" t="s">
        <v>28</v>
      </c>
      <c r="E355" s="35"/>
      <c r="F355" s="38"/>
      <c r="G355" s="38" t="str">
        <f>"1. "&amp;D355&amp; " thực hiện cấu hình kiểm tra đối sánh tồn tại dựa trên trường khóa của " &amp;C355&amp; ". Hệ thống ghi nhận quy tắc được thiết lập.
2. " &amp;D355&amp;" có thể cấu hình xử lý trùng lặp về "&amp;C355&amp;". Hệ thống ghi nhận quy tắc được thiết lập.
3. " &amp;D355&amp;" có thể cấu hình xử lý vi phạm về ràng buộc thuộc tính tham chiếu "&amp;C355&amp;". Hệ thống ghi nhận quy tắc được thiết lập."</f>
        <v>1. Quản trị hệ thống thực hiện cấu hình kiểm tra đối sánh tồn tại dựa trên trường khóa của Tổ chức đăng ký tham gia trợ giúp pháp lý. Hệ thống ghi nhận quy tắc được thiết lập.
2. Quản trị hệ thống có thể cấu hình xử lý trùng lặp về Tổ chức đăng ký tham gia trợ giúp pháp lý. Hệ thống ghi nhận quy tắc được thiết lập.
3. Quản trị hệ thống có thể cấu hình xử lý vi phạm về ràng buộc thuộc tính tham chiếu Tổ chức đăng ký tham gia trợ giúp pháp lý. Hệ thống ghi nhận quy tắc được thiết lập.</v>
      </c>
      <c r="H355" s="36" t="s">
        <v>5</v>
      </c>
      <c r="I355" s="36" t="s">
        <v>6</v>
      </c>
    </row>
    <row r="356" spans="1:9" ht="115.5">
      <c r="A356" s="36">
        <f>COUNTA($D$4:D356)</f>
        <v>299</v>
      </c>
      <c r="B356" s="38" t="str">
        <f>"Thiết lập quy tắc biến đổi " &amp;C356</f>
        <v>Thiết lập quy tắc biến đổi Tổ chức đăng ký tham gia trợ giúp pháp lý</v>
      </c>
      <c r="C356" s="48" t="s">
        <v>122</v>
      </c>
      <c r="D356" s="34" t="s">
        <v>28</v>
      </c>
      <c r="E356" s="35"/>
      <c r="F356" s="38"/>
      <c r="G356" s="38" t="str">
        <f>"1. "&amp;D356&amp; " thực hiện cấu hình kiểm tra quy tắc biến đổi định dạng dữ liệu về " &amp;C356&amp; ". Hệ thống ghi nhận quy tắc được thiết lập.
2. " &amp;D356&amp;" có thể cấu hình biến đổi gộp hoặc tách cột dữ liệu về "&amp;C356&amp;". Hệ thống ghi nhận quy tắc được thiết lập.
3. " &amp;D356&amp;" có thể cấu hình phân loại, gán nhãn dữ liệu về "&amp;C356&amp;". Hệ thống ghi nhận quy tắc được thiết lập."</f>
        <v>1. Quản trị hệ thống thực hiện cấu hình kiểm tra quy tắc biến đổi định dạng dữ liệu về Tổ chức đăng ký tham gia trợ giúp pháp lý. Hệ thống ghi nhận quy tắc được thiết lập.
2. Quản trị hệ thống có thể cấu hình biến đổi gộp hoặc tách cột dữ liệu về Tổ chức đăng ký tham gia trợ giúp pháp lý. Hệ thống ghi nhận quy tắc được thiết lập.
3. Quản trị hệ thống có thể cấu hình phân loại, gán nhãn dữ liệu về Tổ chức đăng ký tham gia trợ giúp pháp lý. Hệ thống ghi nhận quy tắc được thiết lập.</v>
      </c>
      <c r="H356" s="36" t="s">
        <v>5</v>
      </c>
      <c r="I356" s="36" t="s">
        <v>6</v>
      </c>
    </row>
    <row r="357" spans="1:9" ht="165">
      <c r="A357" s="36">
        <f>COUNTA($D$4:D357)</f>
        <v>300</v>
      </c>
      <c r="B357" s="38" t="str">
        <f t="shared" ref="B357" si="67">"Thiết lập quy tắc làm sạch " &amp;C357</f>
        <v>Thiết lập quy tắc làm sạch Thông tin văn bản cử người thực hiện trợ giúp pháp lý</v>
      </c>
      <c r="C357" s="48" t="s">
        <v>123</v>
      </c>
      <c r="D357" s="34" t="s">
        <v>28</v>
      </c>
      <c r="E357" s="35"/>
      <c r="F357" s="38"/>
      <c r="G357" s="38" t="str">
        <f>"1. "&amp;D357&amp; " thực hiện cấu hình kiểm tra quy tắc về chuẩn định dạng " &amp;C357&amp; ". Hệ thống ghi nhận quy tắc được thiết lập.
2. " &amp;D357&amp;" có thể cấu hình kiểm tra tính hợp lệ của dữ liệu về "&amp;C357&amp;". Hệ thống ghi nhận quy tắc được thiết lập.
3. " &amp;D357&amp;" có thể cấu hình xử lý giá trị thiếu dữ liệu về "&amp;C357&amp;". Hệ thống ghi nhận quy tắc được thiết lập.
4. " &amp;D357&amp;" có thể cấu hình xử lý loại bỏ hoặc thay thế giá trị ngoại lệ về "&amp;C357&amp;". Hệ thống ghi nhận quy tắc được thiết lập"</f>
        <v>1. Quản trị hệ thống thực hiện cấu hình kiểm tra quy tắc về chuẩn định dạng Thông tin văn bản cử người thực hiện trợ giúp pháp lý. Hệ thống ghi nhận quy tắc được thiết lập.
2. Quản trị hệ thống có thể cấu hình kiểm tra tính hợp lệ của dữ liệu về Thông tin văn bản cử người thực hiện trợ giúp pháp lý. Hệ thống ghi nhận quy tắc được thiết lập.
3. Quản trị hệ thống có thể cấu hình xử lý giá trị thiếu dữ liệu về Thông tin văn bản cử người thực hiện trợ giúp pháp lý. Hệ thống ghi nhận quy tắc được thiết lập.
4. Quản trị hệ thống có thể cấu hình xử lý loại bỏ hoặc thay thế giá trị ngoại lệ về Thông tin văn bản cử người thực hiện trợ giúp pháp lý. Hệ thống ghi nhận quy tắc được thiết lập</v>
      </c>
      <c r="H357" s="36" t="s">
        <v>5</v>
      </c>
      <c r="I357" s="36" t="s">
        <v>7</v>
      </c>
    </row>
    <row r="358" spans="1:9" ht="132">
      <c r="A358" s="36">
        <f>COUNTA($D$4:D358)</f>
        <v>301</v>
      </c>
      <c r="B358" s="38" t="str">
        <f>"Thiết lập quy tắc chuẩn hóa " &amp;C358</f>
        <v>Thiết lập quy tắc chuẩn hóa Thông tin văn bản cử người thực hiện trợ giúp pháp lý</v>
      </c>
      <c r="C358" s="48" t="s">
        <v>123</v>
      </c>
      <c r="D358" s="34" t="s">
        <v>28</v>
      </c>
      <c r="E358" s="35"/>
      <c r="F358" s="38"/>
      <c r="G358" s="38" t="str">
        <f>"1. "&amp;D358&amp; " thực hiện cấu hình kiểm tra đối sánh tồn tại dựa trên trường khóa của " &amp;C358&amp; ". Hệ thống ghi nhận quy tắc được thiết lập.
2. " &amp;D358&amp;" có thể cấu hình xử lý trùng lặp về "&amp;C358&amp;". Hệ thống ghi nhận quy tắc được thiết lập.
3. " &amp;D358&amp;" có thể cấu hình xử lý vi phạm về ràng buộc thuộc tính tham chiếu "&amp;C358&amp;". Hệ thống ghi nhận quy tắc được thiết lập."</f>
        <v>1. Quản trị hệ thống thực hiện cấu hình kiểm tra đối sánh tồn tại dựa trên trường khóa của Thông tin văn bản cử người thực hiện trợ giúp pháp lý. Hệ thống ghi nhận quy tắc được thiết lập.
2. Quản trị hệ thống có thể cấu hình xử lý trùng lặp về Thông tin văn bản cử người thực hiện trợ giúp pháp lý. Hệ thống ghi nhận quy tắc được thiết lập.
3. Quản trị hệ thống có thể cấu hình xử lý vi phạm về ràng buộc thuộc tính tham chiếu Thông tin văn bản cử người thực hiện trợ giúp pháp lý. Hệ thống ghi nhận quy tắc được thiết lập.</v>
      </c>
      <c r="H358" s="36" t="s">
        <v>5</v>
      </c>
      <c r="I358" s="36" t="s">
        <v>6</v>
      </c>
    </row>
    <row r="359" spans="1:9" ht="132">
      <c r="A359" s="36">
        <f>COUNTA($D$4:D359)</f>
        <v>302</v>
      </c>
      <c r="B359" s="38" t="str">
        <f>"Thiết lập quy tắc biến đổi " &amp;C359</f>
        <v>Thiết lập quy tắc biến đổi Thông tin văn bản cử người thực hiện trợ giúp pháp lý</v>
      </c>
      <c r="C359" s="48" t="s">
        <v>123</v>
      </c>
      <c r="D359" s="34" t="s">
        <v>28</v>
      </c>
      <c r="E359" s="35"/>
      <c r="F359" s="38"/>
      <c r="G359" s="38" t="str">
        <f>"1. "&amp;D359&amp; " thực hiện cấu hình kiểm tra quy tắc biến đổi định dạng dữ liệu về " &amp;C359&amp; ". Hệ thống ghi nhận quy tắc được thiết lập.
2. " &amp;D359&amp;" có thể cấu hình biến đổi gộp hoặc tách cột dữ liệu về "&amp;C359&amp;". Hệ thống ghi nhận quy tắc được thiết lập.
3. " &amp;D359&amp;" có thể cấu hình phân loại, gán nhãn dữ liệu về "&amp;C359&amp;". Hệ thống ghi nhận quy tắc được thiết lập."</f>
        <v>1. Quản trị hệ thống thực hiện cấu hình kiểm tra quy tắc biến đổi định dạng dữ liệu về Thông tin văn bản cử người thực hiện trợ giúp pháp lý. Hệ thống ghi nhận quy tắc được thiết lập.
2. Quản trị hệ thống có thể cấu hình biến đổi gộp hoặc tách cột dữ liệu về Thông tin văn bản cử người thực hiện trợ giúp pháp lý. Hệ thống ghi nhận quy tắc được thiết lập.
3. Quản trị hệ thống có thể cấu hình phân loại, gán nhãn dữ liệu về Thông tin văn bản cử người thực hiện trợ giúp pháp lý. Hệ thống ghi nhận quy tắc được thiết lập.</v>
      </c>
      <c r="H359" s="36" t="s">
        <v>5</v>
      </c>
      <c r="I359" s="36" t="s">
        <v>6</v>
      </c>
    </row>
    <row r="360" spans="1:9" ht="132">
      <c r="A360" s="36">
        <f>COUNTA($D$4:D360)</f>
        <v>303</v>
      </c>
      <c r="B360" s="38" t="str">
        <f t="shared" ref="B360" si="68">"Thiết lập quy tắc làm sạch " &amp;C360</f>
        <v>Thiết lập quy tắc làm sạch Trung tâm TGPL nhà nước</v>
      </c>
      <c r="C360" s="38" t="s">
        <v>124</v>
      </c>
      <c r="D360" s="34" t="s">
        <v>28</v>
      </c>
      <c r="E360" s="35"/>
      <c r="F360" s="38"/>
      <c r="G360" s="38" t="str">
        <f>"1. "&amp;D360&amp; " thực hiện cấu hình kiểm tra quy tắc về chuẩn định dạng " &amp;C360&amp; ". Hệ thống ghi nhận quy tắc được thiết lập.
2. " &amp;D360&amp;" có thể cấu hình kiểm tra tính hợp lệ của dữ liệu về "&amp;C360&amp;". Hệ thống ghi nhận quy tắc được thiết lập.
3. " &amp;D360&amp;" có thể cấu hình xử lý giá trị thiếu dữ liệu về "&amp;C360&amp;". Hệ thống ghi nhận quy tắc được thiết lập.
4. " &amp;D360&amp;" có thể cấu hình xử lý loại bỏ hoặc thay thế giá trị ngoại lệ về "&amp;C360&amp;". Hệ thống ghi nhận quy tắc được thiết lập"</f>
        <v>1. Quản trị hệ thống thực hiện cấu hình kiểm tra quy tắc về chuẩn định dạng Trung tâm TGPL nhà nước. Hệ thống ghi nhận quy tắc được thiết lập.
2. Quản trị hệ thống có thể cấu hình kiểm tra tính hợp lệ của dữ liệu về Trung tâm TGPL nhà nước. Hệ thống ghi nhận quy tắc được thiết lập.
3. Quản trị hệ thống có thể cấu hình xử lý giá trị thiếu dữ liệu về Trung tâm TGPL nhà nước. Hệ thống ghi nhận quy tắc được thiết lập.
4. Quản trị hệ thống có thể cấu hình xử lý loại bỏ hoặc thay thế giá trị ngoại lệ về Trung tâm TGPL nhà nước. Hệ thống ghi nhận quy tắc được thiết lập</v>
      </c>
      <c r="H360" s="36" t="s">
        <v>5</v>
      </c>
      <c r="I360" s="36" t="s">
        <v>7</v>
      </c>
    </row>
    <row r="361" spans="1:9" ht="99">
      <c r="A361" s="36">
        <f>COUNTA($D$4:D361)</f>
        <v>304</v>
      </c>
      <c r="B361" s="38" t="str">
        <f>"Thiết lập quy tắc chuẩn hóa " &amp;C361</f>
        <v>Thiết lập quy tắc chuẩn hóa Trung tâm TGPL nhà nước</v>
      </c>
      <c r="C361" s="38" t="s">
        <v>124</v>
      </c>
      <c r="D361" s="34" t="s">
        <v>28</v>
      </c>
      <c r="E361" s="35"/>
      <c r="F361" s="38"/>
      <c r="G361" s="38" t="str">
        <f>"1. "&amp;D361&amp; " thực hiện cấu hình kiểm tra đối sánh tồn tại dựa trên trường khóa của " &amp;C361&amp; ". Hệ thống ghi nhận quy tắc được thiết lập.
2. " &amp;D361&amp;" có thể cấu hình xử lý trùng lặp về "&amp;C361&amp;". Hệ thống ghi nhận quy tắc được thiết lập.
3. " &amp;D361&amp;" có thể cấu hình xử lý vi phạm về ràng buộc thuộc tính tham chiếu "&amp;C361&amp;". Hệ thống ghi nhận quy tắc được thiết lập."</f>
        <v>1. Quản trị hệ thống thực hiện cấu hình kiểm tra đối sánh tồn tại dựa trên trường khóa của Trung tâm TGPL nhà nước. Hệ thống ghi nhận quy tắc được thiết lập.
2. Quản trị hệ thống có thể cấu hình xử lý trùng lặp về Trung tâm TGPL nhà nước. Hệ thống ghi nhận quy tắc được thiết lập.
3. Quản trị hệ thống có thể cấu hình xử lý vi phạm về ràng buộc thuộc tính tham chiếu Trung tâm TGPL nhà nước. Hệ thống ghi nhận quy tắc được thiết lập.</v>
      </c>
      <c r="H361" s="36" t="s">
        <v>5</v>
      </c>
      <c r="I361" s="36" t="s">
        <v>6</v>
      </c>
    </row>
    <row r="362" spans="1:9" ht="99">
      <c r="A362" s="36">
        <f>COUNTA($D$4:D362)</f>
        <v>305</v>
      </c>
      <c r="B362" s="38" t="str">
        <f>"Thiết lập quy tắc biến đổi " &amp;C362</f>
        <v>Thiết lập quy tắc biến đổi Trung tâm TGPL nhà nước</v>
      </c>
      <c r="C362" s="38" t="s">
        <v>124</v>
      </c>
      <c r="D362" s="34" t="s">
        <v>28</v>
      </c>
      <c r="E362" s="35"/>
      <c r="F362" s="38"/>
      <c r="G362" s="38" t="str">
        <f>"1. "&amp;D362&amp; " thực hiện cấu hình kiểm tra quy tắc biến đổi định dạng dữ liệu về " &amp;C362&amp; ". Hệ thống ghi nhận quy tắc được thiết lập.
2. " &amp;D362&amp;" có thể cấu hình biến đổi gộp hoặc tách cột dữ liệu về "&amp;C362&amp;". Hệ thống ghi nhận quy tắc được thiết lập.
3. " &amp;D362&amp;" có thể cấu hình phân loại, gán nhãn dữ liệu về "&amp;C362&amp;". Hệ thống ghi nhận quy tắc được thiết lập."</f>
        <v>1. Quản trị hệ thống thực hiện cấu hình kiểm tra quy tắc biến đổi định dạng dữ liệu về Trung tâm TGPL nhà nước. Hệ thống ghi nhận quy tắc được thiết lập.
2. Quản trị hệ thống có thể cấu hình biến đổi gộp hoặc tách cột dữ liệu về Trung tâm TGPL nhà nước. Hệ thống ghi nhận quy tắc được thiết lập.
3. Quản trị hệ thống có thể cấu hình phân loại, gán nhãn dữ liệu về Trung tâm TGPL nhà nước. Hệ thống ghi nhận quy tắc được thiết lập.</v>
      </c>
      <c r="H362" s="36" t="s">
        <v>5</v>
      </c>
      <c r="I362" s="36" t="s">
        <v>6</v>
      </c>
    </row>
    <row r="363" spans="1:9" ht="132">
      <c r="A363" s="36">
        <f>COUNTA($D$4:D363)</f>
        <v>306</v>
      </c>
      <c r="B363" s="38" t="str">
        <f t="shared" ref="B363" si="69">"Thiết lập quy tắc làm sạch " &amp;C363</f>
        <v>Thiết lập quy tắc làm sạch Chi nhánh TGPL</v>
      </c>
      <c r="C363" s="50" t="s">
        <v>650</v>
      </c>
      <c r="D363" s="34" t="s">
        <v>28</v>
      </c>
      <c r="E363" s="35"/>
      <c r="F363" s="38"/>
      <c r="G363" s="38" t="str">
        <f>"1. "&amp;D363&amp; " thực hiện cấu hình kiểm tra quy tắc về chuẩn định dạng " &amp;C363&amp; ". Hệ thống ghi nhận quy tắc được thiết lập.
2. " &amp;D363&amp;" có thể cấu hình kiểm tra tính hợp lệ của dữ liệu về "&amp;C363&amp;". Hệ thống ghi nhận quy tắc được thiết lập.
3. " &amp;D363&amp;" có thể cấu hình xử lý giá trị thiếu dữ liệu về "&amp;C363&amp;". Hệ thống ghi nhận quy tắc được thiết lập.
4. " &amp;D363&amp;" có thể cấu hình xử lý loại bỏ hoặc thay thế giá trị ngoại lệ về "&amp;C363&amp;". Hệ thống ghi nhận quy tắc được thiết lập"</f>
        <v>1. Quản trị hệ thống thực hiện cấu hình kiểm tra quy tắc về chuẩn định dạng Chi nhánh TGPL. Hệ thống ghi nhận quy tắc được thiết lập.
2. Quản trị hệ thống có thể cấu hình kiểm tra tính hợp lệ của dữ liệu về Chi nhánh TGPL. Hệ thống ghi nhận quy tắc được thiết lập.
3. Quản trị hệ thống có thể cấu hình xử lý giá trị thiếu dữ liệu về Chi nhánh TGPL. Hệ thống ghi nhận quy tắc được thiết lập.
4. Quản trị hệ thống có thể cấu hình xử lý loại bỏ hoặc thay thế giá trị ngoại lệ về Chi nhánh TGPL. Hệ thống ghi nhận quy tắc được thiết lập</v>
      </c>
      <c r="H363" s="36" t="s">
        <v>5</v>
      </c>
      <c r="I363" s="36" t="s">
        <v>7</v>
      </c>
    </row>
    <row r="364" spans="1:9" ht="99">
      <c r="A364" s="36">
        <f>COUNTA($D$4:D364)</f>
        <v>307</v>
      </c>
      <c r="B364" s="38" t="str">
        <f>"Thiết lập quy tắc chuẩn hóa " &amp;C364</f>
        <v>Thiết lập quy tắc chuẩn hóa Chi nhánh TGPL</v>
      </c>
      <c r="C364" s="50" t="s">
        <v>650</v>
      </c>
      <c r="D364" s="34" t="s">
        <v>28</v>
      </c>
      <c r="E364" s="35"/>
      <c r="F364" s="38"/>
      <c r="G364" s="38" t="str">
        <f>"1. "&amp;D364&amp; " thực hiện cấu hình kiểm tra đối sánh tồn tại dựa trên trường khóa của " &amp;C364&amp; ". Hệ thống ghi nhận quy tắc được thiết lập.
2. " &amp;D364&amp;" có thể cấu hình xử lý trùng lặp về "&amp;C364&amp;". Hệ thống ghi nhận quy tắc được thiết lập.
3. " &amp;D364&amp;" có thể cấu hình xử lý vi phạm về ràng buộc thuộc tính tham chiếu "&amp;C364&amp;". Hệ thống ghi nhận quy tắc được thiết lập."</f>
        <v>1. Quản trị hệ thống thực hiện cấu hình kiểm tra đối sánh tồn tại dựa trên trường khóa của Chi nhánh TGPL. Hệ thống ghi nhận quy tắc được thiết lập.
2. Quản trị hệ thống có thể cấu hình xử lý trùng lặp về Chi nhánh TGPL. Hệ thống ghi nhận quy tắc được thiết lập.
3. Quản trị hệ thống có thể cấu hình xử lý vi phạm về ràng buộc thuộc tính tham chiếu Chi nhánh TGPL. Hệ thống ghi nhận quy tắc được thiết lập.</v>
      </c>
      <c r="H364" s="36" t="s">
        <v>5</v>
      </c>
      <c r="I364" s="36" t="s">
        <v>6</v>
      </c>
    </row>
    <row r="365" spans="1:9" ht="99">
      <c r="A365" s="36">
        <f>COUNTA($D$4:D365)</f>
        <v>308</v>
      </c>
      <c r="B365" s="38" t="str">
        <f>"Thiết lập quy tắc biến đổi " &amp;C365</f>
        <v>Thiết lập quy tắc biến đổi Chi nhánh TGPL</v>
      </c>
      <c r="C365" s="50" t="s">
        <v>650</v>
      </c>
      <c r="D365" s="34" t="s">
        <v>28</v>
      </c>
      <c r="E365" s="35"/>
      <c r="F365" s="38"/>
      <c r="G365" s="38" t="str">
        <f>"1. "&amp;D365&amp; " thực hiện cấu hình kiểm tra quy tắc biến đổi định dạng dữ liệu về " &amp;C365&amp; ". Hệ thống ghi nhận quy tắc được thiết lập.
2. " &amp;D365&amp;" có thể cấu hình biến đổi gộp hoặc tách cột dữ liệu về "&amp;C365&amp;". Hệ thống ghi nhận quy tắc được thiết lập.
3. " &amp;D365&amp;" có thể cấu hình phân loại, gán nhãn dữ liệu về "&amp;C365&amp;". Hệ thống ghi nhận quy tắc được thiết lập."</f>
        <v>1. Quản trị hệ thống thực hiện cấu hình kiểm tra quy tắc biến đổi định dạng dữ liệu về Chi nhánh TGPL. Hệ thống ghi nhận quy tắc được thiết lập.
2. Quản trị hệ thống có thể cấu hình biến đổi gộp hoặc tách cột dữ liệu về Chi nhánh TGPL. Hệ thống ghi nhận quy tắc được thiết lập.
3. Quản trị hệ thống có thể cấu hình phân loại, gán nhãn dữ liệu về Chi nhánh TGPL. Hệ thống ghi nhận quy tắc được thiết lập.</v>
      </c>
      <c r="H365" s="36" t="s">
        <v>5</v>
      </c>
      <c r="I365" s="36" t="s">
        <v>6</v>
      </c>
    </row>
    <row r="366" spans="1:9" ht="132">
      <c r="A366" s="36">
        <f>COUNTA($D$4:D366)</f>
        <v>309</v>
      </c>
      <c r="B366" s="38" t="str">
        <f t="shared" ref="B366" si="70">"Thiết lập quy tắc làm sạch " &amp;C366</f>
        <v>Thiết lập quy tắc làm sạch Người thực hiện TGPL</v>
      </c>
      <c r="C366" s="38" t="s">
        <v>29</v>
      </c>
      <c r="D366" s="34" t="s">
        <v>28</v>
      </c>
      <c r="E366" s="35"/>
      <c r="F366" s="38"/>
      <c r="G366" s="38" t="str">
        <f>"1. "&amp;D366&amp; " thực hiện cấu hình kiểm tra quy tắc về chuẩn định dạng " &amp;C366&amp; ". Hệ thống ghi nhận quy tắc được thiết lập.
2. " &amp;D366&amp;" có thể cấu hình kiểm tra tính hợp lệ của dữ liệu về "&amp;C366&amp;". Hệ thống ghi nhận quy tắc được thiết lập.
3. " &amp;D366&amp;" có thể cấu hình xử lý giá trị thiếu dữ liệu về "&amp;C366&amp;". Hệ thống ghi nhận quy tắc được thiết lập.
4. " &amp;D366&amp;" có thể cấu hình xử lý loại bỏ hoặc thay thế giá trị ngoại lệ về "&amp;C366&amp;". Hệ thống ghi nhận quy tắc được thiết lập"</f>
        <v>1. Quản trị hệ thống thực hiện cấu hình kiểm tra quy tắc về chuẩn định dạng Người thực hiện TGPL. Hệ thống ghi nhận quy tắc được thiết lập.
2. Quản trị hệ thống có thể cấu hình kiểm tra tính hợp lệ của dữ liệu về Người thực hiện TGPL. Hệ thống ghi nhận quy tắc được thiết lập.
3. Quản trị hệ thống có thể cấu hình xử lý giá trị thiếu dữ liệu về Người thực hiện TGPL. Hệ thống ghi nhận quy tắc được thiết lập.
4. Quản trị hệ thống có thể cấu hình xử lý loại bỏ hoặc thay thế giá trị ngoại lệ về Người thực hiện TGPL. Hệ thống ghi nhận quy tắc được thiết lập</v>
      </c>
      <c r="H366" s="36" t="s">
        <v>5</v>
      </c>
      <c r="I366" s="36" t="s">
        <v>7</v>
      </c>
    </row>
    <row r="367" spans="1:9" ht="99">
      <c r="A367" s="36">
        <f>COUNTA($D$4:D367)</f>
        <v>310</v>
      </c>
      <c r="B367" s="38" t="str">
        <f>"Thiết lập quy tắc chuẩn hóa " &amp;C367</f>
        <v>Thiết lập quy tắc chuẩn hóa Người thực hiện TGPL</v>
      </c>
      <c r="C367" s="38" t="s">
        <v>29</v>
      </c>
      <c r="D367" s="34" t="s">
        <v>28</v>
      </c>
      <c r="E367" s="35"/>
      <c r="F367" s="38"/>
      <c r="G367" s="38" t="str">
        <f>"1. "&amp;D367&amp; " thực hiện cấu hình kiểm tra đối sánh tồn tại dựa trên trường khóa của " &amp;C367&amp; ". Hệ thống ghi nhận quy tắc được thiết lập.
2. " &amp;D367&amp;" có thể cấu hình xử lý trùng lặp về "&amp;C367&amp;". Hệ thống ghi nhận quy tắc được thiết lập.
3. " &amp;D367&amp;" có thể cấu hình xử lý vi phạm về ràng buộc thuộc tính tham chiếu "&amp;C367&amp;". Hệ thống ghi nhận quy tắc được thiết lập."</f>
        <v>1. Quản trị hệ thống thực hiện cấu hình kiểm tra đối sánh tồn tại dựa trên trường khóa của Người thực hiện TGPL. Hệ thống ghi nhận quy tắc được thiết lập.
2. Quản trị hệ thống có thể cấu hình xử lý trùng lặp về Người thực hiện TGPL. Hệ thống ghi nhận quy tắc được thiết lập.
3. Quản trị hệ thống có thể cấu hình xử lý vi phạm về ràng buộc thuộc tính tham chiếu Người thực hiện TGPL. Hệ thống ghi nhận quy tắc được thiết lập.</v>
      </c>
      <c r="H367" s="36" t="s">
        <v>5</v>
      </c>
      <c r="I367" s="36" t="s">
        <v>6</v>
      </c>
    </row>
    <row r="368" spans="1:9" ht="99">
      <c r="A368" s="36">
        <f>COUNTA($D$4:D368)</f>
        <v>311</v>
      </c>
      <c r="B368" s="38" t="str">
        <f>"Thiết lập quy tắc biến đổi " &amp;C368</f>
        <v>Thiết lập quy tắc biến đổi Người thực hiện TGPL</v>
      </c>
      <c r="C368" s="38" t="s">
        <v>29</v>
      </c>
      <c r="D368" s="34" t="s">
        <v>28</v>
      </c>
      <c r="E368" s="35"/>
      <c r="F368" s="38"/>
      <c r="G368" s="38" t="str">
        <f>"1. "&amp;D368&amp; " thực hiện cấu hình kiểm tra quy tắc biến đổi định dạng dữ liệu về " &amp;C368&amp; ". Hệ thống ghi nhận quy tắc được thiết lập.
2. " &amp;D368&amp;" có thể cấu hình biến đổi gộp hoặc tách cột dữ liệu về "&amp;C368&amp;". Hệ thống ghi nhận quy tắc được thiết lập.
3. " &amp;D368&amp;" có thể cấu hình phân loại, gán nhãn dữ liệu về "&amp;C368&amp;". Hệ thống ghi nhận quy tắc được thiết lập."</f>
        <v>1. Quản trị hệ thống thực hiện cấu hình kiểm tra quy tắc biến đổi định dạng dữ liệu về Người thực hiện TGPL. Hệ thống ghi nhận quy tắc được thiết lập.
2. Quản trị hệ thống có thể cấu hình biến đổi gộp hoặc tách cột dữ liệu về Người thực hiện TGPL. Hệ thống ghi nhận quy tắc được thiết lập.
3. Quản trị hệ thống có thể cấu hình phân loại, gán nhãn dữ liệu về Người thực hiện TGPL. Hệ thống ghi nhận quy tắc được thiết lập.</v>
      </c>
      <c r="H368" s="36" t="s">
        <v>5</v>
      </c>
      <c r="I368" s="36" t="s">
        <v>6</v>
      </c>
    </row>
    <row r="369" spans="1:9" ht="33">
      <c r="A369" s="41" t="s">
        <v>609</v>
      </c>
      <c r="B369" s="42" t="s">
        <v>610</v>
      </c>
      <c r="C369" s="42"/>
      <c r="D369" s="34"/>
      <c r="E369" s="35"/>
      <c r="F369" s="35"/>
      <c r="G369" s="35"/>
      <c r="H369" s="36"/>
      <c r="I369" s="36"/>
    </row>
    <row r="370" spans="1:9" ht="132">
      <c r="A370" s="36">
        <f>COUNTA($D$4:D370)</f>
        <v>312</v>
      </c>
      <c r="B370" s="38" t="str">
        <f t="shared" ref="B370" si="71">"Thiết lập quy tắc làm sạch " &amp;C370</f>
        <v>Thiết lập quy tắc làm sạch Báo cáo viên pháp luật</v>
      </c>
      <c r="C370" s="50" t="s">
        <v>428</v>
      </c>
      <c r="D370" s="51" t="s">
        <v>28</v>
      </c>
      <c r="E370" s="52"/>
      <c r="F370" s="50"/>
      <c r="G370" s="38" t="str">
        <f>"1. "&amp;D370&amp; " thực hiện cấu hình kiểm tra quy tắc về chuẩn định dạng " &amp;C370&amp; ". Hệ thống ghi nhận quy tắc được thiết lập.
2. " &amp;D370&amp;" có thể cấu hình kiểm tra tính hợp lệ của dữ liệu về "&amp;C370&amp;". Hệ thống ghi nhận quy tắc được thiết lập.
3. " &amp;D370&amp;" có thể cấu hình xử lý giá trị thiếu dữ liệu về "&amp;C370&amp;". Hệ thống ghi nhận quy tắc được thiết lập.
4. " &amp;D370&amp;" có thể cấu hình xử lý loại bỏ hoặc thay thế giá trị ngoại lệ về "&amp;C370&amp;". Hệ thống ghi nhận quy tắc được thiết lập"</f>
        <v>1. Quản trị hệ thống thực hiện cấu hình kiểm tra quy tắc về chuẩn định dạng Báo cáo viên pháp luật. Hệ thống ghi nhận quy tắc được thiết lập.
2. Quản trị hệ thống có thể cấu hình kiểm tra tính hợp lệ của dữ liệu về Báo cáo viên pháp luật. Hệ thống ghi nhận quy tắc được thiết lập.
3. Quản trị hệ thống có thể cấu hình xử lý giá trị thiếu dữ liệu về Báo cáo viên pháp luật. Hệ thống ghi nhận quy tắc được thiết lập.
4. Quản trị hệ thống có thể cấu hình xử lý loại bỏ hoặc thay thế giá trị ngoại lệ về Báo cáo viên pháp luật. Hệ thống ghi nhận quy tắc được thiết lập</v>
      </c>
      <c r="H370" s="36" t="s">
        <v>5</v>
      </c>
      <c r="I370" s="36" t="s">
        <v>7</v>
      </c>
    </row>
    <row r="371" spans="1:9" ht="99">
      <c r="A371" s="36">
        <f>COUNTA($D$4:D371)</f>
        <v>313</v>
      </c>
      <c r="B371" s="38" t="str">
        <f>"Thiết lập quy tắc chuẩn hóa " &amp;C371</f>
        <v>Thiết lập quy tắc chuẩn hóa Báo cáo viên pháp luật</v>
      </c>
      <c r="C371" s="50" t="s">
        <v>428</v>
      </c>
      <c r="D371" s="51" t="s">
        <v>28</v>
      </c>
      <c r="E371" s="52"/>
      <c r="F371" s="50"/>
      <c r="G371" s="38" t="str">
        <f>"1. "&amp;D371&amp; " thực hiện cấu hình kiểm tra đối sánh tồn tại dựa trên trường khóa của " &amp;C371&amp; ". Hệ thống ghi nhận quy tắc được thiết lập.
2. " &amp;D371&amp;" có thể cấu hình xử lý trùng lặp về "&amp;C371&amp;". Hệ thống ghi nhận quy tắc được thiết lập.
3. " &amp;D371&amp;" có thể cấu hình xử lý vi phạm về ràng buộc thuộc tính tham chiếu "&amp;C371&amp;". Hệ thống ghi nhận quy tắc được thiết lập."</f>
        <v>1. Quản trị hệ thống thực hiện cấu hình kiểm tra đối sánh tồn tại dựa trên trường khóa của Báo cáo viên pháp luật. Hệ thống ghi nhận quy tắc được thiết lập.
2. Quản trị hệ thống có thể cấu hình xử lý trùng lặp về Báo cáo viên pháp luật. Hệ thống ghi nhận quy tắc được thiết lập.
3. Quản trị hệ thống có thể cấu hình xử lý vi phạm về ràng buộc thuộc tính tham chiếu Báo cáo viên pháp luật. Hệ thống ghi nhận quy tắc được thiết lập.</v>
      </c>
      <c r="H371" s="36" t="s">
        <v>5</v>
      </c>
      <c r="I371" s="36" t="s">
        <v>6</v>
      </c>
    </row>
    <row r="372" spans="1:9" ht="99">
      <c r="A372" s="36">
        <f>COUNTA($D$4:D372)</f>
        <v>314</v>
      </c>
      <c r="B372" s="38" t="str">
        <f>"Thiết lập quy tắc biến đổi " &amp;C372</f>
        <v>Thiết lập quy tắc biến đổi Báo cáo viên pháp luật</v>
      </c>
      <c r="C372" s="50" t="s">
        <v>428</v>
      </c>
      <c r="D372" s="51" t="s">
        <v>28</v>
      </c>
      <c r="E372" s="52"/>
      <c r="F372" s="50"/>
      <c r="G372" s="38" t="str">
        <f>"1. "&amp;D372&amp; " thực hiện cấu hình kiểm tra quy tắc biến đổi định dạng dữ liệu về " &amp;C372&amp; ". Hệ thống ghi nhận quy tắc được thiết lập.
2. " &amp;D372&amp;" có thể cấu hình biến đổi gộp hoặc tách cột dữ liệu về "&amp;C372&amp;". Hệ thống ghi nhận quy tắc được thiết lập.
3. " &amp;D372&amp;" có thể cấu hình phân loại, gán nhãn dữ liệu về "&amp;C372&amp;". Hệ thống ghi nhận quy tắc được thiết lập."</f>
        <v>1. Quản trị hệ thống thực hiện cấu hình kiểm tra quy tắc biến đổi định dạng dữ liệu về Báo cáo viên pháp luật. Hệ thống ghi nhận quy tắc được thiết lập.
2. Quản trị hệ thống có thể cấu hình biến đổi gộp hoặc tách cột dữ liệu về Báo cáo viên pháp luật. Hệ thống ghi nhận quy tắc được thiết lập.
3. Quản trị hệ thống có thể cấu hình phân loại, gán nhãn dữ liệu về Báo cáo viên pháp luật. Hệ thống ghi nhận quy tắc được thiết lập.</v>
      </c>
      <c r="H372" s="36" t="s">
        <v>5</v>
      </c>
      <c r="I372" s="36" t="s">
        <v>6</v>
      </c>
    </row>
    <row r="373" spans="1:9" ht="132">
      <c r="A373" s="36">
        <f>COUNTA($D$4:D373)</f>
        <v>315</v>
      </c>
      <c r="B373" s="38" t="str">
        <f t="shared" ref="B373" si="72">"Thiết lập quy tắc làm sạch " &amp;C373</f>
        <v>Thiết lập quy tắc làm sạch Tuyên truyền viên pháp luật</v>
      </c>
      <c r="C373" s="50" t="s">
        <v>585</v>
      </c>
      <c r="D373" s="51" t="s">
        <v>28</v>
      </c>
      <c r="E373" s="52"/>
      <c r="F373" s="50"/>
      <c r="G373" s="38" t="str">
        <f>"1. "&amp;D373&amp; " thực hiện cấu hình kiểm tra quy tắc về chuẩn định dạng " &amp;C373&amp; ". Hệ thống ghi nhận quy tắc được thiết lập.
2. " &amp;D373&amp;" có thể cấu hình kiểm tra tính hợp lệ của dữ liệu về "&amp;C373&amp;". Hệ thống ghi nhận quy tắc được thiết lập.
3. " &amp;D373&amp;" có thể cấu hình xử lý giá trị thiếu dữ liệu về "&amp;C373&amp;". Hệ thống ghi nhận quy tắc được thiết lập.
4. " &amp;D373&amp;" có thể cấu hình xử lý loại bỏ hoặc thay thế giá trị ngoại lệ về "&amp;C373&amp;". Hệ thống ghi nhận quy tắc được thiết lập"</f>
        <v>1. Quản trị hệ thống thực hiện cấu hình kiểm tra quy tắc về chuẩn định dạng Tuyên truyền viên pháp luật. Hệ thống ghi nhận quy tắc được thiết lập.
2. Quản trị hệ thống có thể cấu hình kiểm tra tính hợp lệ của dữ liệu về Tuyên truyền viên pháp luật. Hệ thống ghi nhận quy tắc được thiết lập.
3. Quản trị hệ thống có thể cấu hình xử lý giá trị thiếu dữ liệu về Tuyên truyền viên pháp luật. Hệ thống ghi nhận quy tắc được thiết lập.
4. Quản trị hệ thống có thể cấu hình xử lý loại bỏ hoặc thay thế giá trị ngoại lệ về Tuyên truyền viên pháp luật. Hệ thống ghi nhận quy tắc được thiết lập</v>
      </c>
      <c r="H373" s="36" t="s">
        <v>5</v>
      </c>
      <c r="I373" s="36" t="s">
        <v>7</v>
      </c>
    </row>
    <row r="374" spans="1:9" ht="99">
      <c r="A374" s="36">
        <f>COUNTA($D$4:D374)</f>
        <v>316</v>
      </c>
      <c r="B374" s="38" t="str">
        <f>"Thiết lập quy tắc chuẩn hóa " &amp;C374</f>
        <v>Thiết lập quy tắc chuẩn hóa Tuyên truyền viên pháp luật</v>
      </c>
      <c r="C374" s="50" t="s">
        <v>585</v>
      </c>
      <c r="D374" s="51" t="s">
        <v>28</v>
      </c>
      <c r="E374" s="52"/>
      <c r="F374" s="50"/>
      <c r="G374" s="38" t="str">
        <f>"1. "&amp;D374&amp; " thực hiện cấu hình kiểm tra đối sánh tồn tại dựa trên trường khóa của " &amp;C374&amp; ". Hệ thống ghi nhận quy tắc được thiết lập.
2. " &amp;D374&amp;" có thể cấu hình xử lý trùng lặp về "&amp;C374&amp;". Hệ thống ghi nhận quy tắc được thiết lập.
3. " &amp;D374&amp;" có thể cấu hình xử lý vi phạm về ràng buộc thuộc tính tham chiếu "&amp;C374&amp;". Hệ thống ghi nhận quy tắc được thiết lập."</f>
        <v>1. Quản trị hệ thống thực hiện cấu hình kiểm tra đối sánh tồn tại dựa trên trường khóa của Tuyên truyền viên pháp luật. Hệ thống ghi nhận quy tắc được thiết lập.
2. Quản trị hệ thống có thể cấu hình xử lý trùng lặp về Tuyên truyền viên pháp luật. Hệ thống ghi nhận quy tắc được thiết lập.
3. Quản trị hệ thống có thể cấu hình xử lý vi phạm về ràng buộc thuộc tính tham chiếu Tuyên truyền viên pháp luật. Hệ thống ghi nhận quy tắc được thiết lập.</v>
      </c>
      <c r="H374" s="36" t="s">
        <v>5</v>
      </c>
      <c r="I374" s="36" t="s">
        <v>6</v>
      </c>
    </row>
    <row r="375" spans="1:9" ht="99">
      <c r="A375" s="36">
        <f>COUNTA($D$4:D375)</f>
        <v>317</v>
      </c>
      <c r="B375" s="38" t="str">
        <f>"Thiết lập quy tắc biến đổi " &amp;C375</f>
        <v>Thiết lập quy tắc biến đổi Tuyên truyền viên pháp luật</v>
      </c>
      <c r="C375" s="50" t="s">
        <v>585</v>
      </c>
      <c r="D375" s="51" t="s">
        <v>28</v>
      </c>
      <c r="E375" s="52"/>
      <c r="F375" s="50"/>
      <c r="G375" s="38" t="str">
        <f>"1. "&amp;D375&amp; " thực hiện cấu hình kiểm tra quy tắc biến đổi định dạng dữ liệu về " &amp;C375&amp; ". Hệ thống ghi nhận quy tắc được thiết lập.
2. " &amp;D375&amp;" có thể cấu hình biến đổi gộp hoặc tách cột dữ liệu về "&amp;C375&amp;". Hệ thống ghi nhận quy tắc được thiết lập.
3. " &amp;D375&amp;" có thể cấu hình phân loại, gán nhãn dữ liệu về "&amp;C375&amp;". Hệ thống ghi nhận quy tắc được thiết lập."</f>
        <v>1. Quản trị hệ thống thực hiện cấu hình kiểm tra quy tắc biến đổi định dạng dữ liệu về Tuyên truyền viên pháp luật. Hệ thống ghi nhận quy tắc được thiết lập.
2. Quản trị hệ thống có thể cấu hình biến đổi gộp hoặc tách cột dữ liệu về Tuyên truyền viên pháp luật. Hệ thống ghi nhận quy tắc được thiết lập.
3. Quản trị hệ thống có thể cấu hình phân loại, gán nhãn dữ liệu về Tuyên truyền viên pháp luật. Hệ thống ghi nhận quy tắc được thiết lập.</v>
      </c>
      <c r="H375" s="36" t="s">
        <v>5</v>
      </c>
      <c r="I375" s="36" t="s">
        <v>6</v>
      </c>
    </row>
    <row r="376" spans="1:9" ht="181.5">
      <c r="A376" s="36">
        <f>COUNTA($D$4:D376)</f>
        <v>318</v>
      </c>
      <c r="B376" s="38" t="str">
        <f t="shared" ref="B376" si="73">"Thiết lập quy tắc làm sạch " &amp;C376</f>
        <v>Thiết lập quy tắc làm sạch Chương trình, kế hoạch về phổ biến, giáo dục pháp luật</v>
      </c>
      <c r="C376" s="38" t="s">
        <v>586</v>
      </c>
      <c r="D376" s="51" t="s">
        <v>28</v>
      </c>
      <c r="E376" s="52"/>
      <c r="F376" s="50"/>
      <c r="G376" s="38" t="str">
        <f>"1. "&amp;D376&amp; " thực hiện cấu hình kiểm tra quy tắc về chuẩn định dạng " &amp;C376&amp; ". Hệ thống ghi nhận quy tắc được thiết lập.
2. " &amp;D376&amp;" có thể cấu hình kiểm tra tính hợp lệ của dữ liệu về "&amp;C376&amp;". Hệ thống ghi nhận quy tắc được thiết lập.
3. " &amp;D376&amp;" có thể cấu hình xử lý giá trị thiếu dữ liệu về "&amp;C376&amp;". Hệ thống ghi nhận quy tắc được thiết lập.
4. " &amp;D376&amp;" có thể cấu hình xử lý loại bỏ hoặc thay thế giá trị ngoại lệ về "&amp;C376&amp;". Hệ thống ghi nhận quy tắc được thiết lập"</f>
        <v>1. Quản trị hệ thống thực hiện cấu hình kiểm tra quy tắc về chuẩn định dạng Chương trình, kế hoạch về phổ biến, giáo dục pháp luật. Hệ thống ghi nhận quy tắc được thiết lập.
2. Quản trị hệ thống có thể cấu hình kiểm tra tính hợp lệ của dữ liệu về Chương trình, kế hoạch về phổ biến, giáo dục pháp luật. Hệ thống ghi nhận quy tắc được thiết lập.
3. Quản trị hệ thống có thể cấu hình xử lý giá trị thiếu dữ liệu về Chương trình, kế hoạch về phổ biến, giáo dục pháp luật. Hệ thống ghi nhận quy tắc được thiết lập.
4. Quản trị hệ thống có thể cấu hình xử lý loại bỏ hoặc thay thế giá trị ngoại lệ về Chương trình, kế hoạch về phổ biến, giáo dục pháp luật. Hệ thống ghi nhận quy tắc được thiết lập</v>
      </c>
      <c r="H376" s="36" t="s">
        <v>5</v>
      </c>
      <c r="I376" s="36" t="s">
        <v>7</v>
      </c>
    </row>
    <row r="377" spans="1:9" ht="132">
      <c r="A377" s="36">
        <f>COUNTA($D$4:D377)</f>
        <v>319</v>
      </c>
      <c r="B377" s="38" t="str">
        <f>"Thiết lập quy tắc chuẩn hóa " &amp;C377</f>
        <v>Thiết lập quy tắc chuẩn hóa Chương trình, kế hoạch về phổ biến, giáo dục pháp luật</v>
      </c>
      <c r="C377" s="38" t="s">
        <v>586</v>
      </c>
      <c r="D377" s="51" t="s">
        <v>28</v>
      </c>
      <c r="E377" s="52"/>
      <c r="F377" s="50"/>
      <c r="G377" s="38" t="str">
        <f>"1. "&amp;D377&amp; " thực hiện cấu hình kiểm tra đối sánh tồn tại dựa trên trường khóa của " &amp;C377&amp; ". Hệ thống ghi nhận quy tắc được thiết lập.
2. " &amp;D377&amp;" có thể cấu hình xử lý trùng lặp về "&amp;C377&amp;". Hệ thống ghi nhận quy tắc được thiết lập.
3. " &amp;D377&amp;" có thể cấu hình xử lý vi phạm về ràng buộc thuộc tính tham chiếu "&amp;C377&amp;". Hệ thống ghi nhận quy tắc được thiết lập."</f>
        <v>1. Quản trị hệ thống thực hiện cấu hình kiểm tra đối sánh tồn tại dựa trên trường khóa của Chương trình, kế hoạch về phổ biến, giáo dục pháp luật. Hệ thống ghi nhận quy tắc được thiết lập.
2. Quản trị hệ thống có thể cấu hình xử lý trùng lặp về Chương trình, kế hoạch về phổ biến, giáo dục pháp luật. Hệ thống ghi nhận quy tắc được thiết lập.
3. Quản trị hệ thống có thể cấu hình xử lý vi phạm về ràng buộc thuộc tính tham chiếu Chương trình, kế hoạch về phổ biến, giáo dục pháp luật. Hệ thống ghi nhận quy tắc được thiết lập.</v>
      </c>
      <c r="H377" s="36" t="s">
        <v>5</v>
      </c>
      <c r="I377" s="36" t="s">
        <v>6</v>
      </c>
    </row>
    <row r="378" spans="1:9" ht="132">
      <c r="A378" s="36">
        <f>COUNTA($D$4:D378)</f>
        <v>320</v>
      </c>
      <c r="B378" s="38" t="str">
        <f>"Thiết lập quy tắc biến đổi " &amp;C378</f>
        <v>Thiết lập quy tắc biến đổi Chương trình, kế hoạch về phổ biến, giáo dục pháp luật</v>
      </c>
      <c r="C378" s="38" t="s">
        <v>586</v>
      </c>
      <c r="D378" s="51" t="s">
        <v>28</v>
      </c>
      <c r="E378" s="52"/>
      <c r="F378" s="50"/>
      <c r="G378" s="38" t="str">
        <f>"1. "&amp;D378&amp; " thực hiện cấu hình kiểm tra quy tắc biến đổi định dạng dữ liệu về " &amp;C378&amp; ". Hệ thống ghi nhận quy tắc được thiết lập.
2. " &amp;D378&amp;" có thể cấu hình biến đổi gộp hoặc tách cột dữ liệu về "&amp;C378&amp;". Hệ thống ghi nhận quy tắc được thiết lập.
3. " &amp;D378&amp;" có thể cấu hình phân loại, gán nhãn dữ liệu về "&amp;C378&amp;". Hệ thống ghi nhận quy tắc được thiết lập."</f>
        <v>1. Quản trị hệ thống thực hiện cấu hình kiểm tra quy tắc biến đổi định dạng dữ liệu về Chương trình, kế hoạch về phổ biến, giáo dục pháp luật. Hệ thống ghi nhận quy tắc được thiết lập.
2. Quản trị hệ thống có thể cấu hình biến đổi gộp hoặc tách cột dữ liệu về Chương trình, kế hoạch về phổ biến, giáo dục pháp luật. Hệ thống ghi nhận quy tắc được thiết lập.
3. Quản trị hệ thống có thể cấu hình phân loại, gán nhãn dữ liệu về Chương trình, kế hoạch về phổ biến, giáo dục pháp luật. Hệ thống ghi nhận quy tắc được thiết lập.</v>
      </c>
      <c r="H378" s="36" t="s">
        <v>5</v>
      </c>
      <c r="I378" s="36" t="s">
        <v>6</v>
      </c>
    </row>
    <row r="379" spans="1:9" ht="165">
      <c r="A379" s="36">
        <f>COUNTA($D$4:D379)</f>
        <v>321</v>
      </c>
      <c r="B379" s="38" t="str">
        <f t="shared" ref="B379" si="74">"Thiết lập quy tắc làm sạch " &amp;C379</f>
        <v>Thiết lập quy tắc làm sạch Hội đồng phối hợp phổ biến, giáo dục pháp luật</v>
      </c>
      <c r="C379" s="38" t="s">
        <v>587</v>
      </c>
      <c r="D379" s="51" t="s">
        <v>28</v>
      </c>
      <c r="E379" s="52"/>
      <c r="F379" s="50"/>
      <c r="G379" s="38" t="str">
        <f>"1. "&amp;D379&amp; " thực hiện cấu hình kiểm tra quy tắc về chuẩn định dạng " &amp;C379&amp; ". Hệ thống ghi nhận quy tắc được thiết lập.
2. " &amp;D379&amp;" có thể cấu hình kiểm tra tính hợp lệ của dữ liệu về "&amp;C379&amp;". Hệ thống ghi nhận quy tắc được thiết lập.
3. " &amp;D379&amp;" có thể cấu hình xử lý giá trị thiếu dữ liệu về "&amp;C379&amp;". Hệ thống ghi nhận quy tắc được thiết lập.
4. " &amp;D379&amp;" có thể cấu hình xử lý loại bỏ hoặc thay thế giá trị ngoại lệ về "&amp;C379&amp;". Hệ thống ghi nhận quy tắc được thiết lập"</f>
        <v>1. Quản trị hệ thống thực hiện cấu hình kiểm tra quy tắc về chuẩn định dạng Hội đồng phối hợp phổ biến, giáo dục pháp luật. Hệ thống ghi nhận quy tắc được thiết lập.
2. Quản trị hệ thống có thể cấu hình kiểm tra tính hợp lệ của dữ liệu về Hội đồng phối hợp phổ biến, giáo dục pháp luật. Hệ thống ghi nhận quy tắc được thiết lập.
3. Quản trị hệ thống có thể cấu hình xử lý giá trị thiếu dữ liệu về Hội đồng phối hợp phổ biến, giáo dục pháp luật. Hệ thống ghi nhận quy tắc được thiết lập.
4. Quản trị hệ thống có thể cấu hình xử lý loại bỏ hoặc thay thế giá trị ngoại lệ về Hội đồng phối hợp phổ biến, giáo dục pháp luật. Hệ thống ghi nhận quy tắc được thiết lập</v>
      </c>
      <c r="H379" s="36" t="s">
        <v>5</v>
      </c>
      <c r="I379" s="36" t="s">
        <v>7</v>
      </c>
    </row>
    <row r="380" spans="1:9" ht="132">
      <c r="A380" s="36">
        <f>COUNTA($D$4:D380)</f>
        <v>322</v>
      </c>
      <c r="B380" s="38" t="str">
        <f>"Thiết lập quy tắc chuẩn hóa " &amp;C380</f>
        <v>Thiết lập quy tắc chuẩn hóa Hội đồng phối hợp phổ biến, giáo dục pháp luật</v>
      </c>
      <c r="C380" s="38" t="s">
        <v>587</v>
      </c>
      <c r="D380" s="51" t="s">
        <v>28</v>
      </c>
      <c r="E380" s="52"/>
      <c r="F380" s="50"/>
      <c r="G380" s="38" t="str">
        <f>"1. "&amp;D380&amp; " thực hiện cấu hình kiểm tra đối sánh tồn tại dựa trên trường khóa của " &amp;C380&amp; ". Hệ thống ghi nhận quy tắc được thiết lập.
2. " &amp;D380&amp;" có thể cấu hình xử lý trùng lặp về "&amp;C380&amp;". Hệ thống ghi nhận quy tắc được thiết lập.
3. " &amp;D380&amp;" có thể cấu hình xử lý vi phạm về ràng buộc thuộc tính tham chiếu "&amp;C380&amp;". Hệ thống ghi nhận quy tắc được thiết lập."</f>
        <v>1. Quản trị hệ thống thực hiện cấu hình kiểm tra đối sánh tồn tại dựa trên trường khóa của Hội đồng phối hợp phổ biến, giáo dục pháp luật. Hệ thống ghi nhận quy tắc được thiết lập.
2. Quản trị hệ thống có thể cấu hình xử lý trùng lặp về Hội đồng phối hợp phổ biến, giáo dục pháp luật. Hệ thống ghi nhận quy tắc được thiết lập.
3. Quản trị hệ thống có thể cấu hình xử lý vi phạm về ràng buộc thuộc tính tham chiếu Hội đồng phối hợp phổ biến, giáo dục pháp luật. Hệ thống ghi nhận quy tắc được thiết lập.</v>
      </c>
      <c r="H380" s="36" t="s">
        <v>5</v>
      </c>
      <c r="I380" s="36" t="s">
        <v>6</v>
      </c>
    </row>
    <row r="381" spans="1:9" ht="115.5">
      <c r="A381" s="36">
        <f>COUNTA($D$4:D381)</f>
        <v>323</v>
      </c>
      <c r="B381" s="38" t="str">
        <f>"Thiết lập quy tắc biến đổi " &amp;C381</f>
        <v>Thiết lập quy tắc biến đổi Hội đồng phối hợp phổ biến, giáo dục pháp luật</v>
      </c>
      <c r="C381" s="38" t="s">
        <v>587</v>
      </c>
      <c r="D381" s="51" t="s">
        <v>28</v>
      </c>
      <c r="E381" s="52"/>
      <c r="F381" s="50"/>
      <c r="G381" s="38" t="str">
        <f>"1. "&amp;D381&amp; " thực hiện cấu hình kiểm tra quy tắc biến đổi định dạng dữ liệu về " &amp;C381&amp; ". Hệ thống ghi nhận quy tắc được thiết lập.
2. " &amp;D381&amp;" có thể cấu hình biến đổi gộp hoặc tách cột dữ liệu về "&amp;C381&amp;". Hệ thống ghi nhận quy tắc được thiết lập.
3. " &amp;D381&amp;" có thể cấu hình phân loại, gán nhãn dữ liệu về "&amp;C381&amp;". Hệ thống ghi nhận quy tắc được thiết lập."</f>
        <v>1. Quản trị hệ thống thực hiện cấu hình kiểm tra quy tắc biến đổi định dạng dữ liệu về Hội đồng phối hợp phổ biến, giáo dục pháp luật. Hệ thống ghi nhận quy tắc được thiết lập.
2. Quản trị hệ thống có thể cấu hình biến đổi gộp hoặc tách cột dữ liệu về Hội đồng phối hợp phổ biến, giáo dục pháp luật. Hệ thống ghi nhận quy tắc được thiết lập.
3. Quản trị hệ thống có thể cấu hình phân loại, gán nhãn dữ liệu về Hội đồng phối hợp phổ biến, giáo dục pháp luật. Hệ thống ghi nhận quy tắc được thiết lập.</v>
      </c>
      <c r="H381" s="36" t="s">
        <v>5</v>
      </c>
      <c r="I381" s="36" t="s">
        <v>6</v>
      </c>
    </row>
    <row r="382" spans="1:9" ht="132">
      <c r="A382" s="36">
        <f>COUNTA($D$4:D382)</f>
        <v>324</v>
      </c>
      <c r="B382" s="38" t="str">
        <f t="shared" ref="B382" si="75">"Thiết lập quy tắc làm sạch " &amp;C382</f>
        <v>Thiết lập quy tắc làm sạch Đề án</v>
      </c>
      <c r="C382" s="38" t="s">
        <v>588</v>
      </c>
      <c r="D382" s="51" t="s">
        <v>28</v>
      </c>
      <c r="E382" s="52"/>
      <c r="F382" s="50"/>
      <c r="G382" s="38" t="str">
        <f>"1. "&amp;D382&amp; " thực hiện cấu hình kiểm tra quy tắc về chuẩn định dạng " &amp;C382&amp; ". Hệ thống ghi nhận quy tắc được thiết lập.
2. " &amp;D382&amp;" có thể cấu hình kiểm tra tính hợp lệ của dữ liệu về "&amp;C382&amp;". Hệ thống ghi nhận quy tắc được thiết lập.
3. " &amp;D382&amp;" có thể cấu hình xử lý giá trị thiếu dữ liệu về "&amp;C382&amp;". Hệ thống ghi nhận quy tắc được thiết lập.
4. " &amp;D382&amp;" có thể cấu hình xử lý loại bỏ hoặc thay thế giá trị ngoại lệ về "&amp;C382&amp;". Hệ thống ghi nhận quy tắc được thiết lập"</f>
        <v>1. Quản trị hệ thống thực hiện cấu hình kiểm tra quy tắc về chuẩn định dạng Đề án. Hệ thống ghi nhận quy tắc được thiết lập.
2. Quản trị hệ thống có thể cấu hình kiểm tra tính hợp lệ của dữ liệu về Đề án. Hệ thống ghi nhận quy tắc được thiết lập.
3. Quản trị hệ thống có thể cấu hình xử lý giá trị thiếu dữ liệu về Đề án. Hệ thống ghi nhận quy tắc được thiết lập.
4. Quản trị hệ thống có thể cấu hình xử lý loại bỏ hoặc thay thế giá trị ngoại lệ về Đề án. Hệ thống ghi nhận quy tắc được thiết lập</v>
      </c>
      <c r="H382" s="36" t="s">
        <v>5</v>
      </c>
      <c r="I382" s="36" t="s">
        <v>7</v>
      </c>
    </row>
    <row r="383" spans="1:9" ht="99">
      <c r="A383" s="36">
        <f>COUNTA($D$4:D383)</f>
        <v>325</v>
      </c>
      <c r="B383" s="38" t="str">
        <f>"Thiết lập quy tắc chuẩn hóa " &amp;C383</f>
        <v>Thiết lập quy tắc chuẩn hóa Đề án</v>
      </c>
      <c r="C383" s="38" t="s">
        <v>588</v>
      </c>
      <c r="D383" s="51" t="s">
        <v>28</v>
      </c>
      <c r="E383" s="52"/>
      <c r="F383" s="50"/>
      <c r="G383" s="38" t="str">
        <f>"1. "&amp;D383&amp; " thực hiện cấu hình kiểm tra đối sánh tồn tại dựa trên trường khóa của " &amp;C383&amp; ". Hệ thống ghi nhận quy tắc được thiết lập.
2. " &amp;D383&amp;" có thể cấu hình xử lý trùng lặp về "&amp;C383&amp;". Hệ thống ghi nhận quy tắc được thiết lập.
3. " &amp;D383&amp;" có thể cấu hình xử lý vi phạm về ràng buộc thuộc tính tham chiếu "&amp;C383&amp;". Hệ thống ghi nhận quy tắc được thiết lập."</f>
        <v>1. Quản trị hệ thống thực hiện cấu hình kiểm tra đối sánh tồn tại dựa trên trường khóa của Đề án. Hệ thống ghi nhận quy tắc được thiết lập.
2. Quản trị hệ thống có thể cấu hình xử lý trùng lặp về Đề án. Hệ thống ghi nhận quy tắc được thiết lập.
3. Quản trị hệ thống có thể cấu hình xử lý vi phạm về ràng buộc thuộc tính tham chiếu Đề án. Hệ thống ghi nhận quy tắc được thiết lập.</v>
      </c>
      <c r="H383" s="36" t="s">
        <v>5</v>
      </c>
      <c r="I383" s="36" t="s">
        <v>6</v>
      </c>
    </row>
    <row r="384" spans="1:9" ht="99">
      <c r="A384" s="36">
        <f>COUNTA($D$4:D384)</f>
        <v>326</v>
      </c>
      <c r="B384" s="38" t="str">
        <f>"Thiết lập quy tắc biến đổi " &amp;C384</f>
        <v>Thiết lập quy tắc biến đổi Đề án</v>
      </c>
      <c r="C384" s="38" t="s">
        <v>588</v>
      </c>
      <c r="D384" s="51" t="s">
        <v>28</v>
      </c>
      <c r="E384" s="52"/>
      <c r="F384" s="50"/>
      <c r="G384" s="38" t="str">
        <f>"1. "&amp;D384&amp; " thực hiện cấu hình kiểm tra quy tắc biến đổi định dạng dữ liệu về " &amp;C384&amp; ". Hệ thống ghi nhận quy tắc được thiết lập.
2. " &amp;D384&amp;" có thể cấu hình biến đổi gộp hoặc tách cột dữ liệu về "&amp;C384&amp;". Hệ thống ghi nhận quy tắc được thiết lập.
3. " &amp;D384&amp;" có thể cấu hình phân loại, gán nhãn dữ liệu về "&amp;C384&amp;". Hệ thống ghi nhận quy tắc được thiết lập."</f>
        <v>1. Quản trị hệ thống thực hiện cấu hình kiểm tra quy tắc biến đổi định dạng dữ liệu về Đề án. Hệ thống ghi nhận quy tắc được thiết lập.
2. Quản trị hệ thống có thể cấu hình biến đổi gộp hoặc tách cột dữ liệu về Đề án. Hệ thống ghi nhận quy tắc được thiết lập.
3. Quản trị hệ thống có thể cấu hình phân loại, gán nhãn dữ liệu về Đề án. Hệ thống ghi nhận quy tắc được thiết lập.</v>
      </c>
      <c r="H384" s="36" t="s">
        <v>5</v>
      </c>
      <c r="I384" s="36" t="s">
        <v>6</v>
      </c>
    </row>
    <row r="385" spans="1:9" ht="132">
      <c r="A385" s="36">
        <f>COUNTA($D$4:D385)</f>
        <v>327</v>
      </c>
      <c r="B385" s="38" t="str">
        <f t="shared" ref="B385" si="76">"Thiết lập quy tắc làm sạch " &amp;C385</f>
        <v>Thiết lập quy tắc làm sạch Hội nghị tập huấn (trực tuyến, trực tiếp)</v>
      </c>
      <c r="C385" s="38" t="s">
        <v>589</v>
      </c>
      <c r="D385" s="51" t="s">
        <v>28</v>
      </c>
      <c r="E385" s="52"/>
      <c r="F385" s="50"/>
      <c r="G385" s="38" t="str">
        <f>"1. "&amp;D385&amp; " thực hiện cấu hình kiểm tra quy tắc về chuẩn định dạng " &amp;C385&amp; ". Hệ thống ghi nhận quy tắc được thiết lập.
2. " &amp;D385&amp;" có thể cấu hình kiểm tra tính hợp lệ của dữ liệu về "&amp;C385&amp;". Hệ thống ghi nhận quy tắc được thiết lập.
3. " &amp;D385&amp;" có thể cấu hình xử lý giá trị thiếu dữ liệu về "&amp;C385&amp;". Hệ thống ghi nhận quy tắc được thiết lập.
4. " &amp;D385&amp;" có thể cấu hình xử lý loại bỏ hoặc thay thế giá trị ngoại lệ về "&amp;C385&amp;". Hệ thống ghi nhận quy tắc được thiết lập"</f>
        <v>1. Quản trị hệ thống thực hiện cấu hình kiểm tra quy tắc về chuẩn định dạng Hội nghị tập huấn (trực tuyến, trực tiếp). Hệ thống ghi nhận quy tắc được thiết lập.
2. Quản trị hệ thống có thể cấu hình kiểm tra tính hợp lệ của dữ liệu về Hội nghị tập huấn (trực tuyến, trực tiếp). Hệ thống ghi nhận quy tắc được thiết lập.
3. Quản trị hệ thống có thể cấu hình xử lý giá trị thiếu dữ liệu về Hội nghị tập huấn (trực tuyến, trực tiếp). Hệ thống ghi nhận quy tắc được thiết lập.
4. Quản trị hệ thống có thể cấu hình xử lý loại bỏ hoặc thay thế giá trị ngoại lệ về Hội nghị tập huấn (trực tuyến, trực tiếp). Hệ thống ghi nhận quy tắc được thiết lập</v>
      </c>
      <c r="H385" s="36" t="s">
        <v>5</v>
      </c>
      <c r="I385" s="36" t="s">
        <v>7</v>
      </c>
    </row>
    <row r="386" spans="1:9" ht="132">
      <c r="A386" s="36">
        <f>COUNTA($D$4:D386)</f>
        <v>328</v>
      </c>
      <c r="B386" s="38" t="str">
        <f>"Thiết lập quy tắc chuẩn hóa " &amp;C386</f>
        <v>Thiết lập quy tắc chuẩn hóa Hội nghị tập huấn (trực tuyến, trực tiếp)</v>
      </c>
      <c r="C386" s="38" t="s">
        <v>589</v>
      </c>
      <c r="D386" s="51" t="s">
        <v>28</v>
      </c>
      <c r="E386" s="52"/>
      <c r="F386" s="50"/>
      <c r="G386" s="38" t="str">
        <f>"1. "&amp;D386&amp; " thực hiện cấu hình kiểm tra đối sánh tồn tại dựa trên trường khóa của " &amp;C386&amp; ". Hệ thống ghi nhận quy tắc được thiết lập.
2. " &amp;D386&amp;" có thể cấu hình xử lý trùng lặp về "&amp;C386&amp;". Hệ thống ghi nhận quy tắc được thiết lập.
3. " &amp;D386&amp;" có thể cấu hình xử lý vi phạm về ràng buộc thuộc tính tham chiếu "&amp;C386&amp;". Hệ thống ghi nhận quy tắc được thiết lập."</f>
        <v>1. Quản trị hệ thống thực hiện cấu hình kiểm tra đối sánh tồn tại dựa trên trường khóa của Hội nghị tập huấn (trực tuyến, trực tiếp). Hệ thống ghi nhận quy tắc được thiết lập.
2. Quản trị hệ thống có thể cấu hình xử lý trùng lặp về Hội nghị tập huấn (trực tuyến, trực tiếp). Hệ thống ghi nhận quy tắc được thiết lập.
3. Quản trị hệ thống có thể cấu hình xử lý vi phạm về ràng buộc thuộc tính tham chiếu Hội nghị tập huấn (trực tuyến, trực tiếp). Hệ thống ghi nhận quy tắc được thiết lập.</v>
      </c>
      <c r="H386" s="36" t="s">
        <v>5</v>
      </c>
      <c r="I386" s="36" t="s">
        <v>6</v>
      </c>
    </row>
    <row r="387" spans="1:9" ht="115.5">
      <c r="A387" s="36">
        <f>COUNTA($D$4:D387)</f>
        <v>329</v>
      </c>
      <c r="B387" s="38" t="str">
        <f>"Thiết lập quy tắc biến đổi " &amp;C387</f>
        <v>Thiết lập quy tắc biến đổi Hội nghị tập huấn (trực tuyến, trực tiếp)</v>
      </c>
      <c r="C387" s="38" t="s">
        <v>589</v>
      </c>
      <c r="D387" s="51" t="s">
        <v>28</v>
      </c>
      <c r="E387" s="52"/>
      <c r="F387" s="50"/>
      <c r="G387" s="38" t="str">
        <f>"1. "&amp;D387&amp; " thực hiện cấu hình kiểm tra quy tắc biến đổi định dạng dữ liệu về " &amp;C387&amp; ". Hệ thống ghi nhận quy tắc được thiết lập.
2. " &amp;D387&amp;" có thể cấu hình biến đổi gộp hoặc tách cột dữ liệu về "&amp;C387&amp;". Hệ thống ghi nhận quy tắc được thiết lập.
3. " &amp;D387&amp;" có thể cấu hình phân loại, gán nhãn dữ liệu về "&amp;C387&amp;". Hệ thống ghi nhận quy tắc được thiết lập."</f>
        <v>1. Quản trị hệ thống thực hiện cấu hình kiểm tra quy tắc biến đổi định dạng dữ liệu về Hội nghị tập huấn (trực tuyến, trực tiếp). Hệ thống ghi nhận quy tắc được thiết lập.
2. Quản trị hệ thống có thể cấu hình biến đổi gộp hoặc tách cột dữ liệu về Hội nghị tập huấn (trực tuyến, trực tiếp). Hệ thống ghi nhận quy tắc được thiết lập.
3. Quản trị hệ thống có thể cấu hình phân loại, gán nhãn dữ liệu về Hội nghị tập huấn (trực tuyến, trực tiếp). Hệ thống ghi nhận quy tắc được thiết lập.</v>
      </c>
      <c r="H387" s="36" t="s">
        <v>5</v>
      </c>
      <c r="I387" s="36" t="s">
        <v>6</v>
      </c>
    </row>
    <row r="388" spans="1:9" ht="132">
      <c r="A388" s="36">
        <f>COUNTA($D$4:D388)</f>
        <v>330</v>
      </c>
      <c r="B388" s="38" t="str">
        <f t="shared" ref="B388" si="77">"Thiết lập quy tắc làm sạch " &amp;C388</f>
        <v>Thiết lập quy tắc làm sạch Hội thảo</v>
      </c>
      <c r="C388" s="38" t="s">
        <v>590</v>
      </c>
      <c r="D388" s="51" t="s">
        <v>28</v>
      </c>
      <c r="E388" s="52"/>
      <c r="F388" s="50"/>
      <c r="G388" s="38" t="str">
        <f>"1. "&amp;D388&amp; " thực hiện cấu hình kiểm tra quy tắc về chuẩn định dạng " &amp;C388&amp; ". Hệ thống ghi nhận quy tắc được thiết lập.
2. " &amp;D388&amp;" có thể cấu hình kiểm tra tính hợp lệ của dữ liệu về "&amp;C388&amp;". Hệ thống ghi nhận quy tắc được thiết lập.
3. " &amp;D388&amp;" có thể cấu hình xử lý giá trị thiếu dữ liệu về "&amp;C388&amp;". Hệ thống ghi nhận quy tắc được thiết lập.
4. " &amp;D388&amp;" có thể cấu hình xử lý loại bỏ hoặc thay thế giá trị ngoại lệ về "&amp;C388&amp;". Hệ thống ghi nhận quy tắc được thiết lập"</f>
        <v>1. Quản trị hệ thống thực hiện cấu hình kiểm tra quy tắc về chuẩn định dạng Hội thảo. Hệ thống ghi nhận quy tắc được thiết lập.
2. Quản trị hệ thống có thể cấu hình kiểm tra tính hợp lệ của dữ liệu về Hội thảo. Hệ thống ghi nhận quy tắc được thiết lập.
3. Quản trị hệ thống có thể cấu hình xử lý giá trị thiếu dữ liệu về Hội thảo. Hệ thống ghi nhận quy tắc được thiết lập.
4. Quản trị hệ thống có thể cấu hình xử lý loại bỏ hoặc thay thế giá trị ngoại lệ về Hội thảo. Hệ thống ghi nhận quy tắc được thiết lập</v>
      </c>
      <c r="H388" s="36" t="s">
        <v>5</v>
      </c>
      <c r="I388" s="36" t="s">
        <v>7</v>
      </c>
    </row>
    <row r="389" spans="1:9" ht="99">
      <c r="A389" s="36">
        <f>COUNTA($D$4:D389)</f>
        <v>331</v>
      </c>
      <c r="B389" s="38" t="str">
        <f>"Thiết lập quy tắc chuẩn hóa " &amp;C389</f>
        <v>Thiết lập quy tắc chuẩn hóa Hội thảo</v>
      </c>
      <c r="C389" s="38" t="s">
        <v>590</v>
      </c>
      <c r="D389" s="51" t="s">
        <v>28</v>
      </c>
      <c r="E389" s="52"/>
      <c r="F389" s="50"/>
      <c r="G389" s="38" t="str">
        <f>"1. "&amp;D389&amp; " thực hiện cấu hình kiểm tra đối sánh tồn tại dựa trên trường khóa của " &amp;C389&amp; ". Hệ thống ghi nhận quy tắc được thiết lập.
2. " &amp;D389&amp;" có thể cấu hình xử lý trùng lặp về "&amp;C389&amp;". Hệ thống ghi nhận quy tắc được thiết lập.
3. " &amp;D389&amp;" có thể cấu hình xử lý vi phạm về ràng buộc thuộc tính tham chiếu "&amp;C389&amp;". Hệ thống ghi nhận quy tắc được thiết lập."</f>
        <v>1. Quản trị hệ thống thực hiện cấu hình kiểm tra đối sánh tồn tại dựa trên trường khóa của Hội thảo. Hệ thống ghi nhận quy tắc được thiết lập.
2. Quản trị hệ thống có thể cấu hình xử lý trùng lặp về Hội thảo. Hệ thống ghi nhận quy tắc được thiết lập.
3. Quản trị hệ thống có thể cấu hình xử lý vi phạm về ràng buộc thuộc tính tham chiếu Hội thảo. Hệ thống ghi nhận quy tắc được thiết lập.</v>
      </c>
      <c r="H389" s="36" t="s">
        <v>5</v>
      </c>
      <c r="I389" s="36" t="s">
        <v>6</v>
      </c>
    </row>
    <row r="390" spans="1:9" ht="99">
      <c r="A390" s="36">
        <f>COUNTA($D$4:D390)</f>
        <v>332</v>
      </c>
      <c r="B390" s="38" t="str">
        <f>"Thiết lập quy tắc biến đổi " &amp;C390</f>
        <v>Thiết lập quy tắc biến đổi Hội thảo</v>
      </c>
      <c r="C390" s="38" t="s">
        <v>590</v>
      </c>
      <c r="D390" s="51" t="s">
        <v>28</v>
      </c>
      <c r="E390" s="52"/>
      <c r="F390" s="50"/>
      <c r="G390" s="38" t="str">
        <f>"1. "&amp;D390&amp; " thực hiện cấu hình kiểm tra quy tắc biến đổi định dạng dữ liệu về " &amp;C390&amp; ". Hệ thống ghi nhận quy tắc được thiết lập.
2. " &amp;D390&amp;" có thể cấu hình biến đổi gộp hoặc tách cột dữ liệu về "&amp;C390&amp;". Hệ thống ghi nhận quy tắc được thiết lập.
3. " &amp;D390&amp;" có thể cấu hình phân loại, gán nhãn dữ liệu về "&amp;C390&amp;". Hệ thống ghi nhận quy tắc được thiết lập."</f>
        <v>1. Quản trị hệ thống thực hiện cấu hình kiểm tra quy tắc biến đổi định dạng dữ liệu về Hội thảo. Hệ thống ghi nhận quy tắc được thiết lập.
2. Quản trị hệ thống có thể cấu hình biến đổi gộp hoặc tách cột dữ liệu về Hội thảo. Hệ thống ghi nhận quy tắc được thiết lập.
3. Quản trị hệ thống có thể cấu hình phân loại, gán nhãn dữ liệu về Hội thảo. Hệ thống ghi nhận quy tắc được thiết lập.</v>
      </c>
      <c r="H390" s="36" t="s">
        <v>5</v>
      </c>
      <c r="I390" s="36" t="s">
        <v>6</v>
      </c>
    </row>
    <row r="391" spans="1:9" ht="132">
      <c r="A391" s="36">
        <f>COUNTA($D$4:D391)</f>
        <v>333</v>
      </c>
      <c r="B391" s="38" t="str">
        <f t="shared" ref="B391" si="78">"Thiết lập quy tắc làm sạch " &amp;C391</f>
        <v>Thiết lập quy tắc làm sạch Tổ hoà giải</v>
      </c>
      <c r="C391" s="38" t="s">
        <v>591</v>
      </c>
      <c r="D391" s="51" t="s">
        <v>28</v>
      </c>
      <c r="E391" s="52"/>
      <c r="F391" s="50"/>
      <c r="G391" s="38" t="str">
        <f>"1. "&amp;D391&amp; " thực hiện cấu hình kiểm tra quy tắc về chuẩn định dạng " &amp;C391&amp; ". Hệ thống ghi nhận quy tắc được thiết lập.
2. " &amp;D391&amp;" có thể cấu hình kiểm tra tính hợp lệ của dữ liệu về "&amp;C391&amp;". Hệ thống ghi nhận quy tắc được thiết lập.
3. " &amp;D391&amp;" có thể cấu hình xử lý giá trị thiếu dữ liệu về "&amp;C391&amp;". Hệ thống ghi nhận quy tắc được thiết lập.
4. " &amp;D391&amp;" có thể cấu hình xử lý loại bỏ hoặc thay thế giá trị ngoại lệ về "&amp;C391&amp;". Hệ thống ghi nhận quy tắc được thiết lập"</f>
        <v>1. Quản trị hệ thống thực hiện cấu hình kiểm tra quy tắc về chuẩn định dạng Tổ hoà giải. Hệ thống ghi nhận quy tắc được thiết lập.
2. Quản trị hệ thống có thể cấu hình kiểm tra tính hợp lệ của dữ liệu về Tổ hoà giải. Hệ thống ghi nhận quy tắc được thiết lập.
3. Quản trị hệ thống có thể cấu hình xử lý giá trị thiếu dữ liệu về Tổ hoà giải. Hệ thống ghi nhận quy tắc được thiết lập.
4. Quản trị hệ thống có thể cấu hình xử lý loại bỏ hoặc thay thế giá trị ngoại lệ về Tổ hoà giải. Hệ thống ghi nhận quy tắc được thiết lập</v>
      </c>
      <c r="H391" s="36" t="s">
        <v>5</v>
      </c>
      <c r="I391" s="36" t="s">
        <v>7</v>
      </c>
    </row>
    <row r="392" spans="1:9" ht="99">
      <c r="A392" s="36">
        <f>COUNTA($D$4:D392)</f>
        <v>334</v>
      </c>
      <c r="B392" s="38" t="str">
        <f>"Thiết lập quy tắc chuẩn hóa " &amp;C392</f>
        <v>Thiết lập quy tắc chuẩn hóa Tổ hoà giải</v>
      </c>
      <c r="C392" s="38" t="s">
        <v>591</v>
      </c>
      <c r="D392" s="51" t="s">
        <v>28</v>
      </c>
      <c r="E392" s="52"/>
      <c r="F392" s="50"/>
      <c r="G392" s="38" t="str">
        <f>"1. "&amp;D392&amp; " thực hiện cấu hình kiểm tra đối sánh tồn tại dựa trên trường khóa của " &amp;C392&amp; ". Hệ thống ghi nhận quy tắc được thiết lập.
2. " &amp;D392&amp;" có thể cấu hình xử lý trùng lặp về "&amp;C392&amp;". Hệ thống ghi nhận quy tắc được thiết lập.
3. " &amp;D392&amp;" có thể cấu hình xử lý vi phạm về ràng buộc thuộc tính tham chiếu "&amp;C392&amp;". Hệ thống ghi nhận quy tắc được thiết lập."</f>
        <v>1. Quản trị hệ thống thực hiện cấu hình kiểm tra đối sánh tồn tại dựa trên trường khóa của Tổ hoà giải. Hệ thống ghi nhận quy tắc được thiết lập.
2. Quản trị hệ thống có thể cấu hình xử lý trùng lặp về Tổ hoà giải. Hệ thống ghi nhận quy tắc được thiết lập.
3. Quản trị hệ thống có thể cấu hình xử lý vi phạm về ràng buộc thuộc tính tham chiếu Tổ hoà giải. Hệ thống ghi nhận quy tắc được thiết lập.</v>
      </c>
      <c r="H392" s="36" t="s">
        <v>5</v>
      </c>
      <c r="I392" s="36" t="s">
        <v>6</v>
      </c>
    </row>
    <row r="393" spans="1:9" ht="99">
      <c r="A393" s="36">
        <f>COUNTA($D$4:D393)</f>
        <v>335</v>
      </c>
      <c r="B393" s="38" t="str">
        <f>"Thiết lập quy tắc biến đổi " &amp;C393</f>
        <v>Thiết lập quy tắc biến đổi Tổ hoà giải</v>
      </c>
      <c r="C393" s="38" t="s">
        <v>591</v>
      </c>
      <c r="D393" s="51" t="s">
        <v>28</v>
      </c>
      <c r="E393" s="52"/>
      <c r="F393" s="50"/>
      <c r="G393" s="38" t="str">
        <f>"1. "&amp;D393&amp; " thực hiện cấu hình kiểm tra quy tắc biến đổi định dạng dữ liệu về " &amp;C393&amp; ". Hệ thống ghi nhận quy tắc được thiết lập.
2. " &amp;D393&amp;" có thể cấu hình biến đổi gộp hoặc tách cột dữ liệu về "&amp;C393&amp;". Hệ thống ghi nhận quy tắc được thiết lập.
3. " &amp;D393&amp;" có thể cấu hình phân loại, gán nhãn dữ liệu về "&amp;C393&amp;". Hệ thống ghi nhận quy tắc được thiết lập."</f>
        <v>1. Quản trị hệ thống thực hiện cấu hình kiểm tra quy tắc biến đổi định dạng dữ liệu về Tổ hoà giải. Hệ thống ghi nhận quy tắc được thiết lập.
2. Quản trị hệ thống có thể cấu hình biến đổi gộp hoặc tách cột dữ liệu về Tổ hoà giải. Hệ thống ghi nhận quy tắc được thiết lập.
3. Quản trị hệ thống có thể cấu hình phân loại, gán nhãn dữ liệu về Tổ hoà giải. Hệ thống ghi nhận quy tắc được thiết lập.</v>
      </c>
      <c r="H393" s="36" t="s">
        <v>5</v>
      </c>
      <c r="I393" s="36" t="s">
        <v>6</v>
      </c>
    </row>
    <row r="394" spans="1:9" ht="132">
      <c r="A394" s="36">
        <f>COUNTA($D$4:D394)</f>
        <v>336</v>
      </c>
      <c r="B394" s="38" t="str">
        <f t="shared" ref="B394" si="79">"Thiết lập quy tắc làm sạch " &amp;C394</f>
        <v>Thiết lập quy tắc làm sạch Hoà giải viên</v>
      </c>
      <c r="C394" s="38" t="s">
        <v>592</v>
      </c>
      <c r="D394" s="51" t="s">
        <v>28</v>
      </c>
      <c r="E394" s="52"/>
      <c r="F394" s="50"/>
      <c r="G394" s="38" t="str">
        <f>"1. "&amp;D394&amp; " thực hiện cấu hình kiểm tra quy tắc về chuẩn định dạng " &amp;C394&amp; ". Hệ thống ghi nhận quy tắc được thiết lập.
2. " &amp;D394&amp;" có thể cấu hình kiểm tra tính hợp lệ của dữ liệu về "&amp;C394&amp;". Hệ thống ghi nhận quy tắc được thiết lập.
3. " &amp;D394&amp;" có thể cấu hình xử lý giá trị thiếu dữ liệu về "&amp;C394&amp;". Hệ thống ghi nhận quy tắc được thiết lập.
4. " &amp;D394&amp;" có thể cấu hình xử lý loại bỏ hoặc thay thế giá trị ngoại lệ về "&amp;C394&amp;". Hệ thống ghi nhận quy tắc được thiết lập"</f>
        <v>1. Quản trị hệ thống thực hiện cấu hình kiểm tra quy tắc về chuẩn định dạng Hoà giải viên. Hệ thống ghi nhận quy tắc được thiết lập.
2. Quản trị hệ thống có thể cấu hình kiểm tra tính hợp lệ của dữ liệu về Hoà giải viên. Hệ thống ghi nhận quy tắc được thiết lập.
3. Quản trị hệ thống có thể cấu hình xử lý giá trị thiếu dữ liệu về Hoà giải viên. Hệ thống ghi nhận quy tắc được thiết lập.
4. Quản trị hệ thống có thể cấu hình xử lý loại bỏ hoặc thay thế giá trị ngoại lệ về Hoà giải viên. Hệ thống ghi nhận quy tắc được thiết lập</v>
      </c>
      <c r="H394" s="36" t="s">
        <v>5</v>
      </c>
      <c r="I394" s="36" t="s">
        <v>7</v>
      </c>
    </row>
    <row r="395" spans="1:9" ht="99">
      <c r="A395" s="36">
        <f>COUNTA($D$4:D395)</f>
        <v>337</v>
      </c>
      <c r="B395" s="38" t="str">
        <f>"Thiết lập quy tắc chuẩn hóa " &amp;C395</f>
        <v>Thiết lập quy tắc chuẩn hóa Hoà giải viên</v>
      </c>
      <c r="C395" s="38" t="s">
        <v>592</v>
      </c>
      <c r="D395" s="51" t="s">
        <v>28</v>
      </c>
      <c r="E395" s="52"/>
      <c r="F395" s="50"/>
      <c r="G395" s="38" t="str">
        <f>"1. "&amp;D395&amp; " thực hiện cấu hình kiểm tra đối sánh tồn tại dựa trên trường khóa của " &amp;C395&amp; ". Hệ thống ghi nhận quy tắc được thiết lập.
2. " &amp;D395&amp;" có thể cấu hình xử lý trùng lặp về "&amp;C395&amp;". Hệ thống ghi nhận quy tắc được thiết lập.
3. " &amp;D395&amp;" có thể cấu hình xử lý vi phạm về ràng buộc thuộc tính tham chiếu "&amp;C395&amp;". Hệ thống ghi nhận quy tắc được thiết lập."</f>
        <v>1. Quản trị hệ thống thực hiện cấu hình kiểm tra đối sánh tồn tại dựa trên trường khóa của Hoà giải viên. Hệ thống ghi nhận quy tắc được thiết lập.
2. Quản trị hệ thống có thể cấu hình xử lý trùng lặp về Hoà giải viên. Hệ thống ghi nhận quy tắc được thiết lập.
3. Quản trị hệ thống có thể cấu hình xử lý vi phạm về ràng buộc thuộc tính tham chiếu Hoà giải viên. Hệ thống ghi nhận quy tắc được thiết lập.</v>
      </c>
      <c r="H395" s="36" t="s">
        <v>5</v>
      </c>
      <c r="I395" s="36" t="s">
        <v>6</v>
      </c>
    </row>
    <row r="396" spans="1:9" ht="99">
      <c r="A396" s="36">
        <f>COUNTA($D$4:D396)</f>
        <v>338</v>
      </c>
      <c r="B396" s="38" t="str">
        <f>"Thiết lập quy tắc biến đổi " &amp;C396</f>
        <v>Thiết lập quy tắc biến đổi Hoà giải viên</v>
      </c>
      <c r="C396" s="38" t="s">
        <v>592</v>
      </c>
      <c r="D396" s="51" t="s">
        <v>28</v>
      </c>
      <c r="E396" s="52"/>
      <c r="F396" s="50"/>
      <c r="G396" s="38" t="str">
        <f>"1. "&amp;D396&amp; " thực hiện cấu hình kiểm tra quy tắc biến đổi định dạng dữ liệu về " &amp;C396&amp; ". Hệ thống ghi nhận quy tắc được thiết lập.
2. " &amp;D396&amp;" có thể cấu hình biến đổi gộp hoặc tách cột dữ liệu về "&amp;C396&amp;". Hệ thống ghi nhận quy tắc được thiết lập.
3. " &amp;D396&amp;" có thể cấu hình phân loại, gán nhãn dữ liệu về "&amp;C396&amp;". Hệ thống ghi nhận quy tắc được thiết lập."</f>
        <v>1. Quản trị hệ thống thực hiện cấu hình kiểm tra quy tắc biến đổi định dạng dữ liệu về Hoà giải viên. Hệ thống ghi nhận quy tắc được thiết lập.
2. Quản trị hệ thống có thể cấu hình biến đổi gộp hoặc tách cột dữ liệu về Hoà giải viên. Hệ thống ghi nhận quy tắc được thiết lập.
3. Quản trị hệ thống có thể cấu hình phân loại, gán nhãn dữ liệu về Hoà giải viên. Hệ thống ghi nhận quy tắc được thiết lập.</v>
      </c>
      <c r="H396" s="36" t="s">
        <v>5</v>
      </c>
      <c r="I396" s="36" t="s">
        <v>6</v>
      </c>
    </row>
    <row r="397" spans="1:9" ht="132">
      <c r="A397" s="36">
        <f>COUNTA($D$4:D397)</f>
        <v>339</v>
      </c>
      <c r="B397" s="38" t="str">
        <f t="shared" ref="B397" si="80">"Thiết lập quy tắc làm sạch " &amp;C397</f>
        <v>Thiết lập quy tắc làm sạch Vụ việc hoà giải</v>
      </c>
      <c r="C397" s="38" t="s">
        <v>593</v>
      </c>
      <c r="D397" s="51" t="s">
        <v>28</v>
      </c>
      <c r="E397" s="52"/>
      <c r="F397" s="50"/>
      <c r="G397" s="38" t="str">
        <f>"1. "&amp;D397&amp; " thực hiện cấu hình kiểm tra quy tắc về chuẩn định dạng " &amp;C397&amp; ". Hệ thống ghi nhận quy tắc được thiết lập.
2. " &amp;D397&amp;" có thể cấu hình kiểm tra tính hợp lệ của dữ liệu về "&amp;C397&amp;". Hệ thống ghi nhận quy tắc được thiết lập.
3. " &amp;D397&amp;" có thể cấu hình xử lý giá trị thiếu dữ liệu về "&amp;C397&amp;". Hệ thống ghi nhận quy tắc được thiết lập.
4. " &amp;D397&amp;" có thể cấu hình xử lý loại bỏ hoặc thay thế giá trị ngoại lệ về "&amp;C397&amp;". Hệ thống ghi nhận quy tắc được thiết lập"</f>
        <v>1. Quản trị hệ thống thực hiện cấu hình kiểm tra quy tắc về chuẩn định dạng Vụ việc hoà giải. Hệ thống ghi nhận quy tắc được thiết lập.
2. Quản trị hệ thống có thể cấu hình kiểm tra tính hợp lệ của dữ liệu về Vụ việc hoà giải. Hệ thống ghi nhận quy tắc được thiết lập.
3. Quản trị hệ thống có thể cấu hình xử lý giá trị thiếu dữ liệu về Vụ việc hoà giải. Hệ thống ghi nhận quy tắc được thiết lập.
4. Quản trị hệ thống có thể cấu hình xử lý loại bỏ hoặc thay thế giá trị ngoại lệ về Vụ việc hoà giải. Hệ thống ghi nhận quy tắc được thiết lập</v>
      </c>
      <c r="H397" s="36" t="s">
        <v>5</v>
      </c>
      <c r="I397" s="36" t="s">
        <v>7</v>
      </c>
    </row>
    <row r="398" spans="1:9" ht="99">
      <c r="A398" s="36">
        <f>COUNTA($D$4:D398)</f>
        <v>340</v>
      </c>
      <c r="B398" s="38" t="str">
        <f>"Thiết lập quy tắc chuẩn hóa " &amp;C398</f>
        <v>Thiết lập quy tắc chuẩn hóa Vụ việc hoà giải</v>
      </c>
      <c r="C398" s="38" t="s">
        <v>593</v>
      </c>
      <c r="D398" s="51" t="s">
        <v>28</v>
      </c>
      <c r="E398" s="52"/>
      <c r="F398" s="50"/>
      <c r="G398" s="38" t="str">
        <f>"1. "&amp;D398&amp; " thực hiện cấu hình kiểm tra đối sánh tồn tại dựa trên trường khóa của " &amp;C398&amp; ". Hệ thống ghi nhận quy tắc được thiết lập.
2. " &amp;D398&amp;" có thể cấu hình xử lý trùng lặp về "&amp;C398&amp;". Hệ thống ghi nhận quy tắc được thiết lập.
3. " &amp;D398&amp;" có thể cấu hình xử lý vi phạm về ràng buộc thuộc tính tham chiếu "&amp;C398&amp;". Hệ thống ghi nhận quy tắc được thiết lập."</f>
        <v>1. Quản trị hệ thống thực hiện cấu hình kiểm tra đối sánh tồn tại dựa trên trường khóa của Vụ việc hoà giải. Hệ thống ghi nhận quy tắc được thiết lập.
2. Quản trị hệ thống có thể cấu hình xử lý trùng lặp về Vụ việc hoà giải. Hệ thống ghi nhận quy tắc được thiết lập.
3. Quản trị hệ thống có thể cấu hình xử lý vi phạm về ràng buộc thuộc tính tham chiếu Vụ việc hoà giải. Hệ thống ghi nhận quy tắc được thiết lập.</v>
      </c>
      <c r="H398" s="36" t="s">
        <v>5</v>
      </c>
      <c r="I398" s="36" t="s">
        <v>6</v>
      </c>
    </row>
    <row r="399" spans="1:9" ht="99">
      <c r="A399" s="36">
        <f>COUNTA($D$4:D399)</f>
        <v>341</v>
      </c>
      <c r="B399" s="38" t="str">
        <f>"Thiết lập quy tắc biến đổi " &amp;C399</f>
        <v>Thiết lập quy tắc biến đổi Vụ việc hoà giải</v>
      </c>
      <c r="C399" s="38" t="s">
        <v>593</v>
      </c>
      <c r="D399" s="51" t="s">
        <v>28</v>
      </c>
      <c r="E399" s="52"/>
      <c r="F399" s="50"/>
      <c r="G399" s="38" t="str">
        <f>"1. "&amp;D399&amp; " thực hiện cấu hình kiểm tra quy tắc biến đổi định dạng dữ liệu về " &amp;C399&amp; ". Hệ thống ghi nhận quy tắc được thiết lập.
2. " &amp;D399&amp;" có thể cấu hình biến đổi gộp hoặc tách cột dữ liệu về "&amp;C399&amp;". Hệ thống ghi nhận quy tắc được thiết lập.
3. " &amp;D399&amp;" có thể cấu hình phân loại, gán nhãn dữ liệu về "&amp;C399&amp;". Hệ thống ghi nhận quy tắc được thiết lập."</f>
        <v>1. Quản trị hệ thống thực hiện cấu hình kiểm tra quy tắc biến đổi định dạng dữ liệu về Vụ việc hoà giải. Hệ thống ghi nhận quy tắc được thiết lập.
2. Quản trị hệ thống có thể cấu hình biến đổi gộp hoặc tách cột dữ liệu về Vụ việc hoà giải. Hệ thống ghi nhận quy tắc được thiết lập.
3. Quản trị hệ thống có thể cấu hình phân loại, gán nhãn dữ liệu về Vụ việc hoà giải. Hệ thống ghi nhận quy tắc được thiết lập.</v>
      </c>
      <c r="H399" s="36" t="s">
        <v>5</v>
      </c>
      <c r="I399" s="36" t="s">
        <v>6</v>
      </c>
    </row>
    <row r="400" spans="1:9" ht="132">
      <c r="A400" s="36">
        <f>COUNTA($D$4:D400)</f>
        <v>342</v>
      </c>
      <c r="B400" s="38" t="str">
        <f t="shared" ref="B400" si="81">"Thiết lập quy tắc làm sạch " &amp;C400</f>
        <v>Thiết lập quy tắc làm sạch Tập huấn viên</v>
      </c>
      <c r="C400" s="38" t="s">
        <v>594</v>
      </c>
      <c r="D400" s="51" t="s">
        <v>28</v>
      </c>
      <c r="E400" s="52"/>
      <c r="F400" s="50"/>
      <c r="G400" s="38" t="str">
        <f>"1. "&amp;D400&amp; " thực hiện cấu hình kiểm tra quy tắc về chuẩn định dạng " &amp;C400&amp; ". Hệ thống ghi nhận quy tắc được thiết lập.
2. " &amp;D400&amp;" có thể cấu hình kiểm tra tính hợp lệ của dữ liệu về "&amp;C400&amp;". Hệ thống ghi nhận quy tắc được thiết lập.
3. " &amp;D400&amp;" có thể cấu hình xử lý giá trị thiếu dữ liệu về "&amp;C400&amp;". Hệ thống ghi nhận quy tắc được thiết lập.
4. " &amp;D400&amp;" có thể cấu hình xử lý loại bỏ hoặc thay thế giá trị ngoại lệ về "&amp;C400&amp;". Hệ thống ghi nhận quy tắc được thiết lập"</f>
        <v>1. Quản trị hệ thống thực hiện cấu hình kiểm tra quy tắc về chuẩn định dạng Tập huấn viên. Hệ thống ghi nhận quy tắc được thiết lập.
2. Quản trị hệ thống có thể cấu hình kiểm tra tính hợp lệ của dữ liệu về Tập huấn viên. Hệ thống ghi nhận quy tắc được thiết lập.
3. Quản trị hệ thống có thể cấu hình xử lý giá trị thiếu dữ liệu về Tập huấn viên. Hệ thống ghi nhận quy tắc được thiết lập.
4. Quản trị hệ thống có thể cấu hình xử lý loại bỏ hoặc thay thế giá trị ngoại lệ về Tập huấn viên. Hệ thống ghi nhận quy tắc được thiết lập</v>
      </c>
      <c r="H400" s="36" t="s">
        <v>5</v>
      </c>
      <c r="I400" s="36" t="s">
        <v>7</v>
      </c>
    </row>
    <row r="401" spans="1:9" ht="99">
      <c r="A401" s="36">
        <f>COUNTA($D$4:D401)</f>
        <v>343</v>
      </c>
      <c r="B401" s="38" t="str">
        <f>"Thiết lập quy tắc chuẩn hóa " &amp;C401</f>
        <v>Thiết lập quy tắc chuẩn hóa Tập huấn viên</v>
      </c>
      <c r="C401" s="38" t="s">
        <v>594</v>
      </c>
      <c r="D401" s="51" t="s">
        <v>28</v>
      </c>
      <c r="E401" s="52"/>
      <c r="F401" s="50"/>
      <c r="G401" s="38" t="str">
        <f>"1. "&amp;D401&amp; " thực hiện cấu hình kiểm tra đối sánh tồn tại dựa trên trường khóa của " &amp;C401&amp; ". Hệ thống ghi nhận quy tắc được thiết lập.
2. " &amp;D401&amp;" có thể cấu hình xử lý trùng lặp về "&amp;C401&amp;". Hệ thống ghi nhận quy tắc được thiết lập.
3. " &amp;D401&amp;" có thể cấu hình xử lý vi phạm về ràng buộc thuộc tính tham chiếu "&amp;C401&amp;". Hệ thống ghi nhận quy tắc được thiết lập."</f>
        <v>1. Quản trị hệ thống thực hiện cấu hình kiểm tra đối sánh tồn tại dựa trên trường khóa của Tập huấn viên. Hệ thống ghi nhận quy tắc được thiết lập.
2. Quản trị hệ thống có thể cấu hình xử lý trùng lặp về Tập huấn viên. Hệ thống ghi nhận quy tắc được thiết lập.
3. Quản trị hệ thống có thể cấu hình xử lý vi phạm về ràng buộc thuộc tính tham chiếu Tập huấn viên. Hệ thống ghi nhận quy tắc được thiết lập.</v>
      </c>
      <c r="H401" s="36" t="s">
        <v>5</v>
      </c>
      <c r="I401" s="36" t="s">
        <v>6</v>
      </c>
    </row>
    <row r="402" spans="1:9" ht="99">
      <c r="A402" s="36">
        <f>COUNTA($D$4:D402)</f>
        <v>344</v>
      </c>
      <c r="B402" s="38" t="str">
        <f>"Thiết lập quy tắc biến đổi " &amp;C402</f>
        <v>Thiết lập quy tắc biến đổi Tập huấn viên</v>
      </c>
      <c r="C402" s="38" t="s">
        <v>594</v>
      </c>
      <c r="D402" s="51" t="s">
        <v>28</v>
      </c>
      <c r="E402" s="52"/>
      <c r="F402" s="50"/>
      <c r="G402" s="38" t="str">
        <f>"1. "&amp;D402&amp; " thực hiện cấu hình kiểm tra quy tắc biến đổi định dạng dữ liệu về " &amp;C402&amp; ". Hệ thống ghi nhận quy tắc được thiết lập.
2. " &amp;D402&amp;" có thể cấu hình biến đổi gộp hoặc tách cột dữ liệu về "&amp;C402&amp;". Hệ thống ghi nhận quy tắc được thiết lập.
3. " &amp;D402&amp;" có thể cấu hình phân loại, gán nhãn dữ liệu về "&amp;C402&amp;". Hệ thống ghi nhận quy tắc được thiết lập."</f>
        <v>1. Quản trị hệ thống thực hiện cấu hình kiểm tra quy tắc biến đổi định dạng dữ liệu về Tập huấn viên. Hệ thống ghi nhận quy tắc được thiết lập.
2. Quản trị hệ thống có thể cấu hình biến đổi gộp hoặc tách cột dữ liệu về Tập huấn viên. Hệ thống ghi nhận quy tắc được thiết lập.
3. Quản trị hệ thống có thể cấu hình phân loại, gán nhãn dữ liệu về Tập huấn viên. Hệ thống ghi nhận quy tắc được thiết lập.</v>
      </c>
      <c r="H402" s="36" t="s">
        <v>5</v>
      </c>
      <c r="I402" s="36" t="s">
        <v>6</v>
      </c>
    </row>
    <row r="403" spans="1:9" ht="132">
      <c r="A403" s="36">
        <f>COUNTA($D$4:D403)</f>
        <v>345</v>
      </c>
      <c r="B403" s="38" t="str">
        <f t="shared" ref="B403" si="82">"Thiết lập quy tắc làm sạch " &amp;C403</f>
        <v>Thiết lập quy tắc làm sạch Kinh phí phổ biến giáo dục pháp luật</v>
      </c>
      <c r="C403" s="38" t="s">
        <v>595</v>
      </c>
      <c r="D403" s="51" t="s">
        <v>28</v>
      </c>
      <c r="E403" s="52"/>
      <c r="F403" s="50"/>
      <c r="G403" s="38" t="str">
        <f>"1. "&amp;D403&amp; " thực hiện cấu hình kiểm tra quy tắc về chuẩn định dạng " &amp;C403&amp; ". Hệ thống ghi nhận quy tắc được thiết lập.
2. " &amp;D403&amp;" có thể cấu hình kiểm tra tính hợp lệ của dữ liệu về "&amp;C403&amp;". Hệ thống ghi nhận quy tắc được thiết lập.
3. " &amp;D403&amp;" có thể cấu hình xử lý giá trị thiếu dữ liệu về "&amp;C403&amp;". Hệ thống ghi nhận quy tắc được thiết lập.
4. " &amp;D403&amp;" có thể cấu hình xử lý loại bỏ hoặc thay thế giá trị ngoại lệ về "&amp;C403&amp;". Hệ thống ghi nhận quy tắc được thiết lập"</f>
        <v>1. Quản trị hệ thống thực hiện cấu hình kiểm tra quy tắc về chuẩn định dạng Kinh phí phổ biến giáo dục pháp luật. Hệ thống ghi nhận quy tắc được thiết lập.
2. Quản trị hệ thống có thể cấu hình kiểm tra tính hợp lệ của dữ liệu về Kinh phí phổ biến giáo dục pháp luật. Hệ thống ghi nhận quy tắc được thiết lập.
3. Quản trị hệ thống có thể cấu hình xử lý giá trị thiếu dữ liệu về Kinh phí phổ biến giáo dục pháp luật. Hệ thống ghi nhận quy tắc được thiết lập.
4. Quản trị hệ thống có thể cấu hình xử lý loại bỏ hoặc thay thế giá trị ngoại lệ về Kinh phí phổ biến giáo dục pháp luật. Hệ thống ghi nhận quy tắc được thiết lập</v>
      </c>
      <c r="H403" s="36" t="s">
        <v>5</v>
      </c>
      <c r="I403" s="36" t="s">
        <v>7</v>
      </c>
    </row>
    <row r="404" spans="1:9" ht="115.5">
      <c r="A404" s="36">
        <f>COUNTA($D$4:D404)</f>
        <v>346</v>
      </c>
      <c r="B404" s="38" t="str">
        <f>"Thiết lập quy tắc chuẩn hóa " &amp;C404</f>
        <v>Thiết lập quy tắc chuẩn hóa Kinh phí phổ biến giáo dục pháp luật</v>
      </c>
      <c r="C404" s="38" t="s">
        <v>595</v>
      </c>
      <c r="D404" s="51" t="s">
        <v>28</v>
      </c>
      <c r="E404" s="52"/>
      <c r="F404" s="50"/>
      <c r="G404" s="38" t="str">
        <f>"1. "&amp;D404&amp; " thực hiện cấu hình kiểm tra đối sánh tồn tại dựa trên trường khóa của " &amp;C404&amp; ". Hệ thống ghi nhận quy tắc được thiết lập.
2. " &amp;D404&amp;" có thể cấu hình xử lý trùng lặp về "&amp;C404&amp;". Hệ thống ghi nhận quy tắc được thiết lập.
3. " &amp;D404&amp;" có thể cấu hình xử lý vi phạm về ràng buộc thuộc tính tham chiếu "&amp;C404&amp;". Hệ thống ghi nhận quy tắc được thiết lập."</f>
        <v>1. Quản trị hệ thống thực hiện cấu hình kiểm tra đối sánh tồn tại dựa trên trường khóa của Kinh phí phổ biến giáo dục pháp luật. Hệ thống ghi nhận quy tắc được thiết lập.
2. Quản trị hệ thống có thể cấu hình xử lý trùng lặp về Kinh phí phổ biến giáo dục pháp luật. Hệ thống ghi nhận quy tắc được thiết lập.
3. Quản trị hệ thống có thể cấu hình xử lý vi phạm về ràng buộc thuộc tính tham chiếu Kinh phí phổ biến giáo dục pháp luật. Hệ thống ghi nhận quy tắc được thiết lập.</v>
      </c>
      <c r="H404" s="36" t="s">
        <v>5</v>
      </c>
      <c r="I404" s="36" t="s">
        <v>6</v>
      </c>
    </row>
    <row r="405" spans="1:9" ht="99">
      <c r="A405" s="36">
        <f>COUNTA($D$4:D405)</f>
        <v>347</v>
      </c>
      <c r="B405" s="38" t="str">
        <f>"Thiết lập quy tắc biến đổi " &amp;C405</f>
        <v>Thiết lập quy tắc biến đổi Kinh phí phổ biến giáo dục pháp luật</v>
      </c>
      <c r="C405" s="38" t="s">
        <v>595</v>
      </c>
      <c r="D405" s="51" t="s">
        <v>28</v>
      </c>
      <c r="E405" s="52"/>
      <c r="F405" s="50"/>
      <c r="G405" s="38" t="str">
        <f>"1. "&amp;D405&amp; " thực hiện cấu hình kiểm tra quy tắc biến đổi định dạng dữ liệu về " &amp;C405&amp; ". Hệ thống ghi nhận quy tắc được thiết lập.
2. " &amp;D405&amp;" có thể cấu hình biến đổi gộp hoặc tách cột dữ liệu về "&amp;C405&amp;". Hệ thống ghi nhận quy tắc được thiết lập.
3. " &amp;D405&amp;" có thể cấu hình phân loại, gán nhãn dữ liệu về "&amp;C405&amp;". Hệ thống ghi nhận quy tắc được thiết lập."</f>
        <v>1. Quản trị hệ thống thực hiện cấu hình kiểm tra quy tắc biến đổi định dạng dữ liệu về Kinh phí phổ biến giáo dục pháp luật. Hệ thống ghi nhận quy tắc được thiết lập.
2. Quản trị hệ thống có thể cấu hình biến đổi gộp hoặc tách cột dữ liệu về Kinh phí phổ biến giáo dục pháp luật. Hệ thống ghi nhận quy tắc được thiết lập.
3. Quản trị hệ thống có thể cấu hình phân loại, gán nhãn dữ liệu về Kinh phí phổ biến giáo dục pháp luật. Hệ thống ghi nhận quy tắc được thiết lập.</v>
      </c>
      <c r="H405" s="36" t="s">
        <v>5</v>
      </c>
      <c r="I405" s="36" t="s">
        <v>6</v>
      </c>
    </row>
    <row r="406" spans="1:9" ht="132">
      <c r="A406" s="36">
        <f>COUNTA($D$4:D406)</f>
        <v>348</v>
      </c>
      <c r="B406" s="38" t="str">
        <f t="shared" ref="B406" si="83">"Thiết lập quy tắc làm sạch " &amp;C406</f>
        <v>Thiết lập quy tắc làm sạch Tiêu chí, chỉ tiêu tiếp cận pháp luật</v>
      </c>
      <c r="C406" s="38" t="s">
        <v>596</v>
      </c>
      <c r="D406" s="51" t="s">
        <v>28</v>
      </c>
      <c r="E406" s="52"/>
      <c r="F406" s="50"/>
      <c r="G406" s="38" t="str">
        <f>"1. "&amp;D406&amp; " thực hiện cấu hình kiểm tra quy tắc về chuẩn định dạng " &amp;C406&amp; ". Hệ thống ghi nhận quy tắc được thiết lập.
2. " &amp;D406&amp;" có thể cấu hình kiểm tra tính hợp lệ của dữ liệu về "&amp;C406&amp;". Hệ thống ghi nhận quy tắc được thiết lập.
3. " &amp;D406&amp;" có thể cấu hình xử lý giá trị thiếu dữ liệu về "&amp;C406&amp;". Hệ thống ghi nhận quy tắc được thiết lập.
4. " &amp;D406&amp;" có thể cấu hình xử lý loại bỏ hoặc thay thế giá trị ngoại lệ về "&amp;C406&amp;". Hệ thống ghi nhận quy tắc được thiết lập"</f>
        <v>1. Quản trị hệ thống thực hiện cấu hình kiểm tra quy tắc về chuẩn định dạng Tiêu chí, chỉ tiêu tiếp cận pháp luật. Hệ thống ghi nhận quy tắc được thiết lập.
2. Quản trị hệ thống có thể cấu hình kiểm tra tính hợp lệ của dữ liệu về Tiêu chí, chỉ tiêu tiếp cận pháp luật. Hệ thống ghi nhận quy tắc được thiết lập.
3. Quản trị hệ thống có thể cấu hình xử lý giá trị thiếu dữ liệu về Tiêu chí, chỉ tiêu tiếp cận pháp luật. Hệ thống ghi nhận quy tắc được thiết lập.
4. Quản trị hệ thống có thể cấu hình xử lý loại bỏ hoặc thay thế giá trị ngoại lệ về Tiêu chí, chỉ tiêu tiếp cận pháp luật. Hệ thống ghi nhận quy tắc được thiết lập</v>
      </c>
      <c r="H406" s="36" t="s">
        <v>5</v>
      </c>
      <c r="I406" s="36" t="s">
        <v>7</v>
      </c>
    </row>
    <row r="407" spans="1:9" ht="115.5">
      <c r="A407" s="36">
        <f>COUNTA($D$4:D407)</f>
        <v>349</v>
      </c>
      <c r="B407" s="38" t="str">
        <f>"Thiết lập quy tắc chuẩn hóa " &amp;C407</f>
        <v>Thiết lập quy tắc chuẩn hóa Tiêu chí, chỉ tiêu tiếp cận pháp luật</v>
      </c>
      <c r="C407" s="38" t="s">
        <v>596</v>
      </c>
      <c r="D407" s="51" t="s">
        <v>28</v>
      </c>
      <c r="E407" s="52"/>
      <c r="F407" s="50"/>
      <c r="G407" s="38" t="str">
        <f>"1. "&amp;D407&amp; " thực hiện cấu hình kiểm tra đối sánh tồn tại dựa trên trường khóa của " &amp;C407&amp; ". Hệ thống ghi nhận quy tắc được thiết lập.
2. " &amp;D407&amp;" có thể cấu hình xử lý trùng lặp về "&amp;C407&amp;". Hệ thống ghi nhận quy tắc được thiết lập.
3. " &amp;D407&amp;" có thể cấu hình xử lý vi phạm về ràng buộc thuộc tính tham chiếu "&amp;C407&amp;". Hệ thống ghi nhận quy tắc được thiết lập."</f>
        <v>1. Quản trị hệ thống thực hiện cấu hình kiểm tra đối sánh tồn tại dựa trên trường khóa của Tiêu chí, chỉ tiêu tiếp cận pháp luật. Hệ thống ghi nhận quy tắc được thiết lập.
2. Quản trị hệ thống có thể cấu hình xử lý trùng lặp về Tiêu chí, chỉ tiêu tiếp cận pháp luật. Hệ thống ghi nhận quy tắc được thiết lập.
3. Quản trị hệ thống có thể cấu hình xử lý vi phạm về ràng buộc thuộc tính tham chiếu Tiêu chí, chỉ tiêu tiếp cận pháp luật. Hệ thống ghi nhận quy tắc được thiết lập.</v>
      </c>
      <c r="H407" s="36" t="s">
        <v>5</v>
      </c>
      <c r="I407" s="36" t="s">
        <v>6</v>
      </c>
    </row>
    <row r="408" spans="1:9" ht="99">
      <c r="A408" s="36">
        <f>COUNTA($D$4:D408)</f>
        <v>350</v>
      </c>
      <c r="B408" s="38" t="str">
        <f>"Thiết lập quy tắc biến đổi " &amp;C408</f>
        <v>Thiết lập quy tắc biến đổi Tiêu chí, chỉ tiêu tiếp cận pháp luật</v>
      </c>
      <c r="C408" s="38" t="s">
        <v>596</v>
      </c>
      <c r="D408" s="51" t="s">
        <v>28</v>
      </c>
      <c r="E408" s="52"/>
      <c r="F408" s="50"/>
      <c r="G408" s="38" t="str">
        <f>"1. "&amp;D408&amp; " thực hiện cấu hình kiểm tra quy tắc biến đổi định dạng dữ liệu về " &amp;C408&amp; ". Hệ thống ghi nhận quy tắc được thiết lập.
2. " &amp;D408&amp;" có thể cấu hình biến đổi gộp hoặc tách cột dữ liệu về "&amp;C408&amp;". Hệ thống ghi nhận quy tắc được thiết lập.
3. " &amp;D408&amp;" có thể cấu hình phân loại, gán nhãn dữ liệu về "&amp;C408&amp;". Hệ thống ghi nhận quy tắc được thiết lập."</f>
        <v>1. Quản trị hệ thống thực hiện cấu hình kiểm tra quy tắc biến đổi định dạng dữ liệu về Tiêu chí, chỉ tiêu tiếp cận pháp luật. Hệ thống ghi nhận quy tắc được thiết lập.
2. Quản trị hệ thống có thể cấu hình biến đổi gộp hoặc tách cột dữ liệu về Tiêu chí, chỉ tiêu tiếp cận pháp luật. Hệ thống ghi nhận quy tắc được thiết lập.
3. Quản trị hệ thống có thể cấu hình phân loại, gán nhãn dữ liệu về Tiêu chí, chỉ tiêu tiếp cận pháp luật. Hệ thống ghi nhận quy tắc được thiết lập.</v>
      </c>
      <c r="H408" s="36" t="s">
        <v>5</v>
      </c>
      <c r="I408" s="36" t="s">
        <v>6</v>
      </c>
    </row>
    <row r="409" spans="1:9" ht="148.5">
      <c r="A409" s="36">
        <f>COUNTA($D$4:D409)</f>
        <v>351</v>
      </c>
      <c r="B409" s="38" t="str">
        <f t="shared" ref="B409" si="84">"Thiết lập quy tắc làm sạch " &amp;C409</f>
        <v>Thiết lập quy tắc làm sạch Đánh giá cấp xã đạt chuẩn tiếp cận pháp luật</v>
      </c>
      <c r="C409" s="38" t="s">
        <v>597</v>
      </c>
      <c r="D409" s="51" t="s">
        <v>28</v>
      </c>
      <c r="E409" s="52"/>
      <c r="F409" s="50"/>
      <c r="G409" s="38" t="str">
        <f>"1. "&amp;D409&amp; " thực hiện cấu hình kiểm tra quy tắc về chuẩn định dạng " &amp;C409&amp; ". Hệ thống ghi nhận quy tắc được thiết lập.
2. " &amp;D409&amp;" có thể cấu hình kiểm tra tính hợp lệ của dữ liệu về "&amp;C409&amp;". Hệ thống ghi nhận quy tắc được thiết lập.
3. " &amp;D409&amp;" có thể cấu hình xử lý giá trị thiếu dữ liệu về "&amp;C409&amp;". Hệ thống ghi nhận quy tắc được thiết lập.
4. " &amp;D409&amp;" có thể cấu hình xử lý loại bỏ hoặc thay thế giá trị ngoại lệ về "&amp;C409&amp;". Hệ thống ghi nhận quy tắc được thiết lập"</f>
        <v>1. Quản trị hệ thống thực hiện cấu hình kiểm tra quy tắc về chuẩn định dạng Đánh giá cấp xã đạt chuẩn tiếp cận pháp luật. Hệ thống ghi nhận quy tắc được thiết lập.
2. Quản trị hệ thống có thể cấu hình kiểm tra tính hợp lệ của dữ liệu về Đánh giá cấp xã đạt chuẩn tiếp cận pháp luật. Hệ thống ghi nhận quy tắc được thiết lập.
3. Quản trị hệ thống có thể cấu hình xử lý giá trị thiếu dữ liệu về Đánh giá cấp xã đạt chuẩn tiếp cận pháp luật. Hệ thống ghi nhận quy tắc được thiết lập.
4. Quản trị hệ thống có thể cấu hình xử lý loại bỏ hoặc thay thế giá trị ngoại lệ về Đánh giá cấp xã đạt chuẩn tiếp cận pháp luật. Hệ thống ghi nhận quy tắc được thiết lập</v>
      </c>
      <c r="H409" s="36" t="s">
        <v>5</v>
      </c>
      <c r="I409" s="36" t="s">
        <v>7</v>
      </c>
    </row>
    <row r="410" spans="1:9" ht="132">
      <c r="A410" s="36">
        <f>COUNTA($D$4:D410)</f>
        <v>352</v>
      </c>
      <c r="B410" s="38" t="str">
        <f>"Thiết lập quy tắc chuẩn hóa " &amp;C410</f>
        <v>Thiết lập quy tắc chuẩn hóa Đánh giá cấp xã đạt chuẩn tiếp cận pháp luật</v>
      </c>
      <c r="C410" s="38" t="s">
        <v>597</v>
      </c>
      <c r="D410" s="51" t="s">
        <v>28</v>
      </c>
      <c r="E410" s="52"/>
      <c r="F410" s="50"/>
      <c r="G410" s="38" t="str">
        <f>"1. "&amp;D410&amp; " thực hiện cấu hình kiểm tra đối sánh tồn tại dựa trên trường khóa của " &amp;C410&amp; ". Hệ thống ghi nhận quy tắc được thiết lập.
2. " &amp;D410&amp;" có thể cấu hình xử lý trùng lặp về "&amp;C410&amp;". Hệ thống ghi nhận quy tắc được thiết lập.
3. " &amp;D410&amp;" có thể cấu hình xử lý vi phạm về ràng buộc thuộc tính tham chiếu "&amp;C410&amp;". Hệ thống ghi nhận quy tắc được thiết lập."</f>
        <v>1. Quản trị hệ thống thực hiện cấu hình kiểm tra đối sánh tồn tại dựa trên trường khóa của Đánh giá cấp xã đạt chuẩn tiếp cận pháp luật. Hệ thống ghi nhận quy tắc được thiết lập.
2. Quản trị hệ thống có thể cấu hình xử lý trùng lặp về Đánh giá cấp xã đạt chuẩn tiếp cận pháp luật. Hệ thống ghi nhận quy tắc được thiết lập.
3. Quản trị hệ thống có thể cấu hình xử lý vi phạm về ràng buộc thuộc tính tham chiếu Đánh giá cấp xã đạt chuẩn tiếp cận pháp luật. Hệ thống ghi nhận quy tắc được thiết lập.</v>
      </c>
      <c r="H410" s="36" t="s">
        <v>5</v>
      </c>
      <c r="I410" s="36" t="s">
        <v>6</v>
      </c>
    </row>
    <row r="411" spans="1:9" ht="115.5">
      <c r="A411" s="36">
        <f>COUNTA($D$4:D411)</f>
        <v>353</v>
      </c>
      <c r="B411" s="38" t="str">
        <f>"Thiết lập quy tắc biến đổi " &amp;C411</f>
        <v>Thiết lập quy tắc biến đổi Đánh giá cấp xã đạt chuẩn tiếp cận pháp luật</v>
      </c>
      <c r="C411" s="38" t="s">
        <v>597</v>
      </c>
      <c r="D411" s="51" t="s">
        <v>28</v>
      </c>
      <c r="E411" s="52"/>
      <c r="F411" s="50"/>
      <c r="G411" s="38" t="str">
        <f>"1. "&amp;D411&amp; " thực hiện cấu hình kiểm tra quy tắc biến đổi định dạng dữ liệu về " &amp;C411&amp; ". Hệ thống ghi nhận quy tắc được thiết lập.
2. " &amp;D411&amp;" có thể cấu hình biến đổi gộp hoặc tách cột dữ liệu về "&amp;C411&amp;". Hệ thống ghi nhận quy tắc được thiết lập.
3. " &amp;D411&amp;" có thể cấu hình phân loại, gán nhãn dữ liệu về "&amp;C411&amp;". Hệ thống ghi nhận quy tắc được thiết lập."</f>
        <v>1. Quản trị hệ thống thực hiện cấu hình kiểm tra quy tắc biến đổi định dạng dữ liệu về Đánh giá cấp xã đạt chuẩn tiếp cận pháp luật. Hệ thống ghi nhận quy tắc được thiết lập.
2. Quản trị hệ thống có thể cấu hình biến đổi gộp hoặc tách cột dữ liệu về Đánh giá cấp xã đạt chuẩn tiếp cận pháp luật. Hệ thống ghi nhận quy tắc được thiết lập.
3. Quản trị hệ thống có thể cấu hình phân loại, gán nhãn dữ liệu về Đánh giá cấp xã đạt chuẩn tiếp cận pháp luật. Hệ thống ghi nhận quy tắc được thiết lập.</v>
      </c>
      <c r="H411" s="36" t="s">
        <v>5</v>
      </c>
      <c r="I411" s="36" t="s">
        <v>6</v>
      </c>
    </row>
    <row r="412" spans="1:9" ht="132">
      <c r="A412" s="36">
        <f>COUNTA($D$4:D412)</f>
        <v>354</v>
      </c>
      <c r="B412" s="38" t="str">
        <f t="shared" ref="B412" si="85">"Thiết lập quy tắc làm sạch " &amp;C412</f>
        <v>Thiết lập quy tắc làm sạch Cuộc PBGDPL</v>
      </c>
      <c r="C412" s="38" t="s">
        <v>598</v>
      </c>
      <c r="D412" s="51" t="s">
        <v>28</v>
      </c>
      <c r="E412" s="52"/>
      <c r="F412" s="50"/>
      <c r="G412" s="38" t="str">
        <f>"1. "&amp;D412&amp; " thực hiện cấu hình kiểm tra quy tắc về chuẩn định dạng " &amp;C412&amp; ". Hệ thống ghi nhận quy tắc được thiết lập.
2. " &amp;D412&amp;" có thể cấu hình kiểm tra tính hợp lệ của dữ liệu về "&amp;C412&amp;". Hệ thống ghi nhận quy tắc được thiết lập.
3. " &amp;D412&amp;" có thể cấu hình xử lý giá trị thiếu dữ liệu về "&amp;C412&amp;". Hệ thống ghi nhận quy tắc được thiết lập.
4. " &amp;D412&amp;" có thể cấu hình xử lý loại bỏ hoặc thay thế giá trị ngoại lệ về "&amp;C412&amp;". Hệ thống ghi nhận quy tắc được thiết lập"</f>
        <v>1. Quản trị hệ thống thực hiện cấu hình kiểm tra quy tắc về chuẩn định dạng Cuộc PBGDPL. Hệ thống ghi nhận quy tắc được thiết lập.
2. Quản trị hệ thống có thể cấu hình kiểm tra tính hợp lệ của dữ liệu về Cuộc PBGDPL. Hệ thống ghi nhận quy tắc được thiết lập.
3. Quản trị hệ thống có thể cấu hình xử lý giá trị thiếu dữ liệu về Cuộc PBGDPL. Hệ thống ghi nhận quy tắc được thiết lập.
4. Quản trị hệ thống có thể cấu hình xử lý loại bỏ hoặc thay thế giá trị ngoại lệ về Cuộc PBGDPL. Hệ thống ghi nhận quy tắc được thiết lập</v>
      </c>
      <c r="H412" s="36" t="s">
        <v>5</v>
      </c>
      <c r="I412" s="36" t="s">
        <v>7</v>
      </c>
    </row>
    <row r="413" spans="1:9" ht="99">
      <c r="A413" s="36">
        <f>COUNTA($D$4:D413)</f>
        <v>355</v>
      </c>
      <c r="B413" s="38" t="str">
        <f>"Thiết lập quy tắc chuẩn hóa " &amp;C413</f>
        <v>Thiết lập quy tắc chuẩn hóa Cuộc PBGDPL</v>
      </c>
      <c r="C413" s="38" t="s">
        <v>598</v>
      </c>
      <c r="D413" s="51" t="s">
        <v>28</v>
      </c>
      <c r="E413" s="52"/>
      <c r="F413" s="50"/>
      <c r="G413" s="38" t="str">
        <f>"1. "&amp;D413&amp; " thực hiện cấu hình kiểm tra đối sánh tồn tại dựa trên trường khóa của " &amp;C413&amp; ". Hệ thống ghi nhận quy tắc được thiết lập.
2. " &amp;D413&amp;" có thể cấu hình xử lý trùng lặp về "&amp;C413&amp;". Hệ thống ghi nhận quy tắc được thiết lập.
3. " &amp;D413&amp;" có thể cấu hình xử lý vi phạm về ràng buộc thuộc tính tham chiếu "&amp;C413&amp;". Hệ thống ghi nhận quy tắc được thiết lập."</f>
        <v>1. Quản trị hệ thống thực hiện cấu hình kiểm tra đối sánh tồn tại dựa trên trường khóa của Cuộc PBGDPL. Hệ thống ghi nhận quy tắc được thiết lập.
2. Quản trị hệ thống có thể cấu hình xử lý trùng lặp về Cuộc PBGDPL. Hệ thống ghi nhận quy tắc được thiết lập.
3. Quản trị hệ thống có thể cấu hình xử lý vi phạm về ràng buộc thuộc tính tham chiếu Cuộc PBGDPL. Hệ thống ghi nhận quy tắc được thiết lập.</v>
      </c>
      <c r="H413" s="36" t="s">
        <v>5</v>
      </c>
      <c r="I413" s="36" t="s">
        <v>6</v>
      </c>
    </row>
    <row r="414" spans="1:9" ht="99">
      <c r="A414" s="36">
        <f>COUNTA($D$4:D414)</f>
        <v>356</v>
      </c>
      <c r="B414" s="38" t="str">
        <f>"Thiết lập quy tắc biến đổi " &amp;C414</f>
        <v>Thiết lập quy tắc biến đổi Cuộc PBGDPL</v>
      </c>
      <c r="C414" s="38" t="s">
        <v>598</v>
      </c>
      <c r="D414" s="51" t="s">
        <v>28</v>
      </c>
      <c r="E414" s="52"/>
      <c r="F414" s="50"/>
      <c r="G414" s="38" t="str">
        <f>"1. "&amp;D414&amp; " thực hiện cấu hình kiểm tra quy tắc biến đổi định dạng dữ liệu về " &amp;C414&amp; ". Hệ thống ghi nhận quy tắc được thiết lập.
2. " &amp;D414&amp;" có thể cấu hình biến đổi gộp hoặc tách cột dữ liệu về "&amp;C414&amp;". Hệ thống ghi nhận quy tắc được thiết lập.
3. " &amp;D414&amp;" có thể cấu hình phân loại, gán nhãn dữ liệu về "&amp;C414&amp;". Hệ thống ghi nhận quy tắc được thiết lập."</f>
        <v>1. Quản trị hệ thống thực hiện cấu hình kiểm tra quy tắc biến đổi định dạng dữ liệu về Cuộc PBGDPL. Hệ thống ghi nhận quy tắc được thiết lập.
2. Quản trị hệ thống có thể cấu hình biến đổi gộp hoặc tách cột dữ liệu về Cuộc PBGDPL. Hệ thống ghi nhận quy tắc được thiết lập.
3. Quản trị hệ thống có thể cấu hình phân loại, gán nhãn dữ liệu về Cuộc PBGDPL. Hệ thống ghi nhận quy tắc được thiết lập.</v>
      </c>
      <c r="H414" s="36" t="s">
        <v>5</v>
      </c>
      <c r="I414" s="36" t="s">
        <v>6</v>
      </c>
    </row>
    <row r="415" spans="1:9" ht="132">
      <c r="A415" s="36">
        <f>COUNTA($D$4:D415)</f>
        <v>357</v>
      </c>
      <c r="B415" s="38" t="str">
        <f t="shared" ref="B415" si="86">"Thiết lập quy tắc làm sạch " &amp;C415</f>
        <v>Thiết lập quy tắc làm sạch Cuộc thi tìm hiểu về pháp luật</v>
      </c>
      <c r="C415" s="53" t="s">
        <v>599</v>
      </c>
      <c r="D415" s="51" t="s">
        <v>28</v>
      </c>
      <c r="E415" s="52"/>
      <c r="F415" s="50"/>
      <c r="G415" s="38" t="str">
        <f>"1. "&amp;D415&amp; " thực hiện cấu hình kiểm tra quy tắc về chuẩn định dạng " &amp;C415&amp; ". Hệ thống ghi nhận quy tắc được thiết lập.
2. " &amp;D415&amp;" có thể cấu hình kiểm tra tính hợp lệ của dữ liệu về "&amp;C415&amp;". Hệ thống ghi nhận quy tắc được thiết lập.
3. " &amp;D415&amp;" có thể cấu hình xử lý giá trị thiếu dữ liệu về "&amp;C415&amp;". Hệ thống ghi nhận quy tắc được thiết lập.
4. " &amp;D415&amp;" có thể cấu hình xử lý loại bỏ hoặc thay thế giá trị ngoại lệ về "&amp;C415&amp;". Hệ thống ghi nhận quy tắc được thiết lập"</f>
        <v>1. Quản trị hệ thống thực hiện cấu hình kiểm tra quy tắc về chuẩn định dạng Cuộc thi tìm hiểu về pháp luật. Hệ thống ghi nhận quy tắc được thiết lập.
2. Quản trị hệ thống có thể cấu hình kiểm tra tính hợp lệ của dữ liệu về Cuộc thi tìm hiểu về pháp luật. Hệ thống ghi nhận quy tắc được thiết lập.
3. Quản trị hệ thống có thể cấu hình xử lý giá trị thiếu dữ liệu về Cuộc thi tìm hiểu về pháp luật. Hệ thống ghi nhận quy tắc được thiết lập.
4. Quản trị hệ thống có thể cấu hình xử lý loại bỏ hoặc thay thế giá trị ngoại lệ về Cuộc thi tìm hiểu về pháp luật. Hệ thống ghi nhận quy tắc được thiết lập</v>
      </c>
      <c r="H415" s="36" t="s">
        <v>5</v>
      </c>
      <c r="I415" s="36" t="s">
        <v>7</v>
      </c>
    </row>
    <row r="416" spans="1:9" ht="99">
      <c r="A416" s="36">
        <f>COUNTA($D$4:D416)</f>
        <v>358</v>
      </c>
      <c r="B416" s="38" t="str">
        <f>"Thiết lập quy tắc chuẩn hóa " &amp;C416</f>
        <v>Thiết lập quy tắc chuẩn hóa Cuộc thi tìm hiểu về pháp luật</v>
      </c>
      <c r="C416" s="53" t="s">
        <v>599</v>
      </c>
      <c r="D416" s="51" t="s">
        <v>28</v>
      </c>
      <c r="E416" s="52"/>
      <c r="F416" s="50"/>
      <c r="G416" s="38" t="str">
        <f>"1. "&amp;D416&amp; " thực hiện cấu hình kiểm tra đối sánh tồn tại dựa trên trường khóa của " &amp;C416&amp; ". Hệ thống ghi nhận quy tắc được thiết lập.
2. " &amp;D416&amp;" có thể cấu hình xử lý trùng lặp về "&amp;C416&amp;". Hệ thống ghi nhận quy tắc được thiết lập.
3. " &amp;D416&amp;" có thể cấu hình xử lý vi phạm về ràng buộc thuộc tính tham chiếu "&amp;C416&amp;". Hệ thống ghi nhận quy tắc được thiết lập."</f>
        <v>1. Quản trị hệ thống thực hiện cấu hình kiểm tra đối sánh tồn tại dựa trên trường khóa của Cuộc thi tìm hiểu về pháp luật. Hệ thống ghi nhận quy tắc được thiết lập.
2. Quản trị hệ thống có thể cấu hình xử lý trùng lặp về Cuộc thi tìm hiểu về pháp luật. Hệ thống ghi nhận quy tắc được thiết lập.
3. Quản trị hệ thống có thể cấu hình xử lý vi phạm về ràng buộc thuộc tính tham chiếu Cuộc thi tìm hiểu về pháp luật. Hệ thống ghi nhận quy tắc được thiết lập.</v>
      </c>
      <c r="H416" s="36" t="s">
        <v>5</v>
      </c>
      <c r="I416" s="36" t="s">
        <v>6</v>
      </c>
    </row>
    <row r="417" spans="1:9" ht="99">
      <c r="A417" s="36">
        <f>COUNTA($D$4:D417)</f>
        <v>359</v>
      </c>
      <c r="B417" s="38" t="str">
        <f>"Thiết lập quy tắc biến đổi " &amp;C417</f>
        <v>Thiết lập quy tắc biến đổi Cuộc thi tìm hiểu về pháp luật</v>
      </c>
      <c r="C417" s="53" t="s">
        <v>599</v>
      </c>
      <c r="D417" s="51" t="s">
        <v>28</v>
      </c>
      <c r="E417" s="52"/>
      <c r="F417" s="50"/>
      <c r="G417" s="38" t="str">
        <f>"1. "&amp;D417&amp; " thực hiện cấu hình kiểm tra quy tắc biến đổi định dạng dữ liệu về " &amp;C417&amp; ". Hệ thống ghi nhận quy tắc được thiết lập.
2. " &amp;D417&amp;" có thể cấu hình biến đổi gộp hoặc tách cột dữ liệu về "&amp;C417&amp;". Hệ thống ghi nhận quy tắc được thiết lập.
3. " &amp;D417&amp;" có thể cấu hình phân loại, gán nhãn dữ liệu về "&amp;C417&amp;". Hệ thống ghi nhận quy tắc được thiết lập."</f>
        <v>1. Quản trị hệ thống thực hiện cấu hình kiểm tra quy tắc biến đổi định dạng dữ liệu về Cuộc thi tìm hiểu về pháp luật. Hệ thống ghi nhận quy tắc được thiết lập.
2. Quản trị hệ thống có thể cấu hình biến đổi gộp hoặc tách cột dữ liệu về Cuộc thi tìm hiểu về pháp luật. Hệ thống ghi nhận quy tắc được thiết lập.
3. Quản trị hệ thống có thể cấu hình phân loại, gán nhãn dữ liệu về Cuộc thi tìm hiểu về pháp luật. Hệ thống ghi nhận quy tắc được thiết lập.</v>
      </c>
      <c r="H417" s="36" t="s">
        <v>5</v>
      </c>
      <c r="I417" s="36" t="s">
        <v>6</v>
      </c>
    </row>
    <row r="418" spans="1:9" ht="16.5">
      <c r="A418" s="41" t="s">
        <v>180</v>
      </c>
      <c r="B418" s="46" t="s">
        <v>126</v>
      </c>
      <c r="C418" s="46"/>
      <c r="D418" s="34"/>
      <c r="E418" s="35"/>
      <c r="F418" s="35"/>
      <c r="G418" s="35"/>
      <c r="H418" s="36"/>
      <c r="I418" s="36"/>
    </row>
    <row r="419" spans="1:9" ht="16.5">
      <c r="A419" s="41" t="s">
        <v>181</v>
      </c>
      <c r="B419" s="42" t="s">
        <v>128</v>
      </c>
      <c r="C419" s="42"/>
      <c r="D419" s="34"/>
      <c r="E419" s="35"/>
      <c r="F419" s="35"/>
      <c r="G419" s="35"/>
      <c r="H419" s="36"/>
      <c r="I419" s="36"/>
    </row>
    <row r="420" spans="1:9" ht="132">
      <c r="A420" s="36">
        <f>COUNTA($D$4:D420)</f>
        <v>360</v>
      </c>
      <c r="B420" s="38" t="str">
        <f t="shared" ref="B420" si="87">"Thiết lập quy tắc làm sạch " &amp;C420</f>
        <v>Thiết lập quy tắc làm sạch Đấu giá viên</v>
      </c>
      <c r="C420" s="38" t="s">
        <v>129</v>
      </c>
      <c r="D420" s="34" t="s">
        <v>28</v>
      </c>
      <c r="E420" s="35"/>
      <c r="F420" s="38"/>
      <c r="G420" s="38" t="str">
        <f>"1. "&amp;D420&amp; " thực hiện cấu hình kiểm tra quy tắc về chuẩn định dạng " &amp;C420&amp; ". Hệ thống ghi nhận quy tắc được thiết lập.
2. " &amp;D420&amp;" có thể cấu hình kiểm tra tính hợp lệ của dữ liệu về "&amp;C420&amp;". Hệ thống ghi nhận quy tắc được thiết lập.
3. " &amp;D420&amp;" có thể cấu hình xử lý giá trị thiếu dữ liệu về "&amp;C420&amp;". Hệ thống ghi nhận quy tắc được thiết lập.
4. " &amp;D420&amp;" có thể cấu hình xử lý loại bỏ hoặc thay thế giá trị ngoại lệ về "&amp;C420&amp;". Hệ thống ghi nhận quy tắc được thiết lập"</f>
        <v>1. Quản trị hệ thống thực hiện cấu hình kiểm tra quy tắc về chuẩn định dạng Đấu giá viên. Hệ thống ghi nhận quy tắc được thiết lập.
2. Quản trị hệ thống có thể cấu hình kiểm tra tính hợp lệ của dữ liệu về Đấu giá viên. Hệ thống ghi nhận quy tắc được thiết lập.
3. Quản trị hệ thống có thể cấu hình xử lý giá trị thiếu dữ liệu về Đấu giá viên. Hệ thống ghi nhận quy tắc được thiết lập.
4. Quản trị hệ thống có thể cấu hình xử lý loại bỏ hoặc thay thế giá trị ngoại lệ về Đấu giá viên. Hệ thống ghi nhận quy tắc được thiết lập</v>
      </c>
      <c r="H420" s="36" t="s">
        <v>5</v>
      </c>
      <c r="I420" s="36" t="s">
        <v>7</v>
      </c>
    </row>
    <row r="421" spans="1:9" ht="99">
      <c r="A421" s="36">
        <f>COUNTA($D$4:D421)</f>
        <v>361</v>
      </c>
      <c r="B421" s="38" t="str">
        <f>"Thiết lập quy tắc chuẩn hóa " &amp;C421</f>
        <v>Thiết lập quy tắc chuẩn hóa Đấu giá viên</v>
      </c>
      <c r="C421" s="38" t="s">
        <v>129</v>
      </c>
      <c r="D421" s="34" t="s">
        <v>28</v>
      </c>
      <c r="E421" s="35"/>
      <c r="F421" s="38"/>
      <c r="G421" s="38" t="str">
        <f>"1. "&amp;D421&amp; " thực hiện cấu hình kiểm tra đối sánh tồn tại dựa trên trường khóa của " &amp;C421&amp; ". Hệ thống ghi nhận quy tắc được thiết lập.
2. " &amp;D421&amp;" có thể cấu hình xử lý trùng lặp về "&amp;C421&amp;". Hệ thống ghi nhận quy tắc được thiết lập.
3. " &amp;D421&amp;" có thể cấu hình xử lý vi phạm về ràng buộc thuộc tính tham chiếu "&amp;C421&amp;". Hệ thống ghi nhận quy tắc được thiết lập."</f>
        <v>1. Quản trị hệ thống thực hiện cấu hình kiểm tra đối sánh tồn tại dựa trên trường khóa của Đấu giá viên. Hệ thống ghi nhận quy tắc được thiết lập.
2. Quản trị hệ thống có thể cấu hình xử lý trùng lặp về Đấu giá viên. Hệ thống ghi nhận quy tắc được thiết lập.
3. Quản trị hệ thống có thể cấu hình xử lý vi phạm về ràng buộc thuộc tính tham chiếu Đấu giá viên. Hệ thống ghi nhận quy tắc được thiết lập.</v>
      </c>
      <c r="H421" s="36" t="s">
        <v>5</v>
      </c>
      <c r="I421" s="36" t="s">
        <v>6</v>
      </c>
    </row>
    <row r="422" spans="1:9" ht="99">
      <c r="A422" s="36">
        <f>COUNTA($D$4:D422)</f>
        <v>362</v>
      </c>
      <c r="B422" s="38" t="str">
        <f>"Thiết lập quy tắc biến đổi " &amp;C422</f>
        <v>Thiết lập quy tắc biến đổi Đấu giá viên</v>
      </c>
      <c r="C422" s="38" t="s">
        <v>129</v>
      </c>
      <c r="D422" s="34" t="s">
        <v>28</v>
      </c>
      <c r="E422" s="35"/>
      <c r="F422" s="38"/>
      <c r="G422" s="38" t="str">
        <f>"1. "&amp;D422&amp; " thực hiện cấu hình kiểm tra quy tắc biến đổi định dạng dữ liệu về " &amp;C422&amp; ". Hệ thống ghi nhận quy tắc được thiết lập.
2. " &amp;D422&amp;" có thể cấu hình biến đổi gộp hoặc tách cột dữ liệu về "&amp;C422&amp;". Hệ thống ghi nhận quy tắc được thiết lập.
3. " &amp;D422&amp;" có thể cấu hình phân loại, gán nhãn dữ liệu về "&amp;C422&amp;". Hệ thống ghi nhận quy tắc được thiết lập."</f>
        <v>1. Quản trị hệ thống thực hiện cấu hình kiểm tra quy tắc biến đổi định dạng dữ liệu về Đấu giá viên. Hệ thống ghi nhận quy tắc được thiết lập.
2. Quản trị hệ thống có thể cấu hình biến đổi gộp hoặc tách cột dữ liệu về Đấu giá viên. Hệ thống ghi nhận quy tắc được thiết lập.
3. Quản trị hệ thống có thể cấu hình phân loại, gán nhãn dữ liệu về Đấu giá viên. Hệ thống ghi nhận quy tắc được thiết lập.</v>
      </c>
      <c r="H422" s="36" t="s">
        <v>5</v>
      </c>
      <c r="I422" s="36" t="s">
        <v>6</v>
      </c>
    </row>
    <row r="423" spans="1:9" ht="132">
      <c r="A423" s="36">
        <f>COUNTA($D$4:D423)</f>
        <v>363</v>
      </c>
      <c r="B423" s="38" t="str">
        <f t="shared" ref="B423" si="88">"Thiết lập quy tắc làm sạch " &amp;C423</f>
        <v>Thiết lập quy tắc làm sạch Tổ chức hành nghề đấu giá</v>
      </c>
      <c r="C423" s="38" t="s">
        <v>131</v>
      </c>
      <c r="D423" s="34" t="s">
        <v>28</v>
      </c>
      <c r="E423" s="35"/>
      <c r="F423" s="38"/>
      <c r="G423" s="38" t="str">
        <f>"1. "&amp;D423&amp; " thực hiện cấu hình kiểm tra quy tắc về chuẩn định dạng " &amp;C423&amp; ". Hệ thống ghi nhận quy tắc được thiết lập.
2. " &amp;D423&amp;" có thể cấu hình kiểm tra tính hợp lệ của dữ liệu về "&amp;C423&amp;". Hệ thống ghi nhận quy tắc được thiết lập.
3. " &amp;D423&amp;" có thể cấu hình xử lý giá trị thiếu dữ liệu về "&amp;C423&amp;". Hệ thống ghi nhận quy tắc được thiết lập.
4. " &amp;D423&amp;" có thể cấu hình xử lý loại bỏ hoặc thay thế giá trị ngoại lệ về "&amp;C423&amp;". Hệ thống ghi nhận quy tắc được thiết lập"</f>
        <v>1. Quản trị hệ thống thực hiện cấu hình kiểm tra quy tắc về chuẩn định dạng Tổ chức hành nghề đấu giá. Hệ thống ghi nhận quy tắc được thiết lập.
2. Quản trị hệ thống có thể cấu hình kiểm tra tính hợp lệ của dữ liệu về Tổ chức hành nghề đấu giá. Hệ thống ghi nhận quy tắc được thiết lập.
3. Quản trị hệ thống có thể cấu hình xử lý giá trị thiếu dữ liệu về Tổ chức hành nghề đấu giá. Hệ thống ghi nhận quy tắc được thiết lập.
4. Quản trị hệ thống có thể cấu hình xử lý loại bỏ hoặc thay thế giá trị ngoại lệ về Tổ chức hành nghề đấu giá. Hệ thống ghi nhận quy tắc được thiết lập</v>
      </c>
      <c r="H423" s="36" t="s">
        <v>5</v>
      </c>
      <c r="I423" s="36" t="s">
        <v>7</v>
      </c>
    </row>
    <row r="424" spans="1:9" ht="99">
      <c r="A424" s="36">
        <f>COUNTA($D$4:D424)</f>
        <v>364</v>
      </c>
      <c r="B424" s="38" t="str">
        <f>"Thiết lập quy tắc chuẩn hóa " &amp;C424</f>
        <v>Thiết lập quy tắc chuẩn hóa Tổ chức hành nghề đấu giá</v>
      </c>
      <c r="C424" s="38" t="s">
        <v>131</v>
      </c>
      <c r="D424" s="34" t="s">
        <v>28</v>
      </c>
      <c r="E424" s="35"/>
      <c r="F424" s="38"/>
      <c r="G424" s="38" t="str">
        <f>"1. "&amp;D424&amp; " thực hiện cấu hình kiểm tra đối sánh tồn tại dựa trên trường khóa của " &amp;C424&amp; ". Hệ thống ghi nhận quy tắc được thiết lập.
2. " &amp;D424&amp;" có thể cấu hình xử lý trùng lặp về "&amp;C424&amp;". Hệ thống ghi nhận quy tắc được thiết lập.
3. " &amp;D424&amp;" có thể cấu hình xử lý vi phạm về ràng buộc thuộc tính tham chiếu "&amp;C424&amp;". Hệ thống ghi nhận quy tắc được thiết lập."</f>
        <v>1. Quản trị hệ thống thực hiện cấu hình kiểm tra đối sánh tồn tại dựa trên trường khóa của Tổ chức hành nghề đấu giá. Hệ thống ghi nhận quy tắc được thiết lập.
2. Quản trị hệ thống có thể cấu hình xử lý trùng lặp về Tổ chức hành nghề đấu giá. Hệ thống ghi nhận quy tắc được thiết lập.
3. Quản trị hệ thống có thể cấu hình xử lý vi phạm về ràng buộc thuộc tính tham chiếu Tổ chức hành nghề đấu giá. Hệ thống ghi nhận quy tắc được thiết lập.</v>
      </c>
      <c r="H424" s="36" t="s">
        <v>5</v>
      </c>
      <c r="I424" s="36" t="s">
        <v>6</v>
      </c>
    </row>
    <row r="425" spans="1:9" ht="99">
      <c r="A425" s="36">
        <f>COUNTA($D$4:D425)</f>
        <v>365</v>
      </c>
      <c r="B425" s="38" t="str">
        <f>"Thiết lập quy tắc biến đổi " &amp;C425</f>
        <v>Thiết lập quy tắc biến đổi Tổ chức hành nghề đấu giá</v>
      </c>
      <c r="C425" s="38" t="s">
        <v>131</v>
      </c>
      <c r="D425" s="34" t="s">
        <v>28</v>
      </c>
      <c r="E425" s="35"/>
      <c r="F425" s="38"/>
      <c r="G425" s="38" t="str">
        <f>"1. "&amp;D425&amp; " thực hiện cấu hình kiểm tra quy tắc biến đổi định dạng dữ liệu về " &amp;C425&amp; ". Hệ thống ghi nhận quy tắc được thiết lập.
2. " &amp;D425&amp;" có thể cấu hình biến đổi gộp hoặc tách cột dữ liệu về "&amp;C425&amp;". Hệ thống ghi nhận quy tắc được thiết lập.
3. " &amp;D425&amp;" có thể cấu hình phân loại, gán nhãn dữ liệu về "&amp;C425&amp;". Hệ thống ghi nhận quy tắc được thiết lập."</f>
        <v>1. Quản trị hệ thống thực hiện cấu hình kiểm tra quy tắc biến đổi định dạng dữ liệu về Tổ chức hành nghề đấu giá. Hệ thống ghi nhận quy tắc được thiết lập.
2. Quản trị hệ thống có thể cấu hình biến đổi gộp hoặc tách cột dữ liệu về Tổ chức hành nghề đấu giá. Hệ thống ghi nhận quy tắc được thiết lập.
3. Quản trị hệ thống có thể cấu hình phân loại, gán nhãn dữ liệu về Tổ chức hành nghề đấu giá. Hệ thống ghi nhận quy tắc được thiết lập.</v>
      </c>
      <c r="H425" s="36" t="s">
        <v>5</v>
      </c>
      <c r="I425" s="36" t="s">
        <v>6</v>
      </c>
    </row>
    <row r="426" spans="1:9" ht="132">
      <c r="A426" s="36">
        <f>COUNTA($D$4:D426)</f>
        <v>366</v>
      </c>
      <c r="B426" s="38" t="str">
        <f t="shared" ref="B426" si="89">"Thiết lập quy tắc làm sạch " &amp;C426</f>
        <v>Thiết lập quy tắc làm sạch Người có tài sản đấu giá</v>
      </c>
      <c r="C426" s="66" t="s">
        <v>651</v>
      </c>
      <c r="D426" s="34" t="s">
        <v>28</v>
      </c>
      <c r="E426" s="35"/>
      <c r="F426" s="38"/>
      <c r="G426" s="38" t="str">
        <f>"1. "&amp;D426&amp; " thực hiện cấu hình kiểm tra quy tắc về chuẩn định dạng " &amp;C426&amp; ". Hệ thống ghi nhận quy tắc được thiết lập.
2. " &amp;D426&amp;" có thể cấu hình kiểm tra tính hợp lệ của dữ liệu về "&amp;C426&amp;". Hệ thống ghi nhận quy tắc được thiết lập.
3. " &amp;D426&amp;" có thể cấu hình xử lý giá trị thiếu dữ liệu về "&amp;C426&amp;". Hệ thống ghi nhận quy tắc được thiết lập.
4. " &amp;D426&amp;" có thể cấu hình xử lý loại bỏ hoặc thay thế giá trị ngoại lệ về "&amp;C426&amp;". Hệ thống ghi nhận quy tắc được thiết lập"</f>
        <v>1. Quản trị hệ thống thực hiện cấu hình kiểm tra quy tắc về chuẩn định dạng Người có tài sản đấu giá. Hệ thống ghi nhận quy tắc được thiết lập.
2. Quản trị hệ thống có thể cấu hình kiểm tra tính hợp lệ của dữ liệu về Người có tài sản đấu giá. Hệ thống ghi nhận quy tắc được thiết lập.
3. Quản trị hệ thống có thể cấu hình xử lý giá trị thiếu dữ liệu về Người có tài sản đấu giá. Hệ thống ghi nhận quy tắc được thiết lập.
4. Quản trị hệ thống có thể cấu hình xử lý loại bỏ hoặc thay thế giá trị ngoại lệ về Người có tài sản đấu giá. Hệ thống ghi nhận quy tắc được thiết lập</v>
      </c>
      <c r="H426" s="36" t="s">
        <v>5</v>
      </c>
      <c r="I426" s="36" t="s">
        <v>7</v>
      </c>
    </row>
    <row r="427" spans="1:9" ht="99">
      <c r="A427" s="36">
        <f>COUNTA($D$4:D427)</f>
        <v>367</v>
      </c>
      <c r="B427" s="38" t="str">
        <f>"Thiết lập quy tắc chuẩn hóa " &amp;C427</f>
        <v>Thiết lập quy tắc chuẩn hóa Người có tài sản đấu giá</v>
      </c>
      <c r="C427" s="66" t="s">
        <v>651</v>
      </c>
      <c r="D427" s="34" t="s">
        <v>28</v>
      </c>
      <c r="E427" s="35"/>
      <c r="F427" s="38"/>
      <c r="G427" s="38" t="str">
        <f>"1. "&amp;D427&amp; " thực hiện cấu hình kiểm tra đối sánh tồn tại dựa trên trường khóa của " &amp;C427&amp; ". Hệ thống ghi nhận quy tắc được thiết lập.
2. " &amp;D427&amp;" có thể cấu hình xử lý trùng lặp về "&amp;C427&amp;". Hệ thống ghi nhận quy tắc được thiết lập.
3. " &amp;D427&amp;" có thể cấu hình xử lý vi phạm về ràng buộc thuộc tính tham chiếu "&amp;C427&amp;". Hệ thống ghi nhận quy tắc được thiết lập."</f>
        <v>1. Quản trị hệ thống thực hiện cấu hình kiểm tra đối sánh tồn tại dựa trên trường khóa của Người có tài sản đấu giá. Hệ thống ghi nhận quy tắc được thiết lập.
2. Quản trị hệ thống có thể cấu hình xử lý trùng lặp về Người có tài sản đấu giá. Hệ thống ghi nhận quy tắc được thiết lập.
3. Quản trị hệ thống có thể cấu hình xử lý vi phạm về ràng buộc thuộc tính tham chiếu Người có tài sản đấu giá. Hệ thống ghi nhận quy tắc được thiết lập.</v>
      </c>
      <c r="H427" s="36" t="s">
        <v>5</v>
      </c>
      <c r="I427" s="36" t="s">
        <v>6</v>
      </c>
    </row>
    <row r="428" spans="1:9" ht="99">
      <c r="A428" s="36">
        <f>COUNTA($D$4:D428)</f>
        <v>368</v>
      </c>
      <c r="B428" s="38" t="str">
        <f>"Thiết lập quy tắc biến đổi " &amp;C428</f>
        <v>Thiết lập quy tắc biến đổi Người có tài sản đấu giá</v>
      </c>
      <c r="C428" s="66" t="s">
        <v>651</v>
      </c>
      <c r="D428" s="34" t="s">
        <v>28</v>
      </c>
      <c r="E428" s="35"/>
      <c r="F428" s="38"/>
      <c r="G428" s="38" t="str">
        <f>"1. "&amp;D428&amp; " thực hiện cấu hình kiểm tra quy tắc biến đổi định dạng dữ liệu về " &amp;C428&amp; ". Hệ thống ghi nhận quy tắc được thiết lập.
2. " &amp;D428&amp;" có thể cấu hình biến đổi gộp hoặc tách cột dữ liệu về "&amp;C428&amp;". Hệ thống ghi nhận quy tắc được thiết lập.
3. " &amp;D428&amp;" có thể cấu hình phân loại, gán nhãn dữ liệu về "&amp;C428&amp;". Hệ thống ghi nhận quy tắc được thiết lập."</f>
        <v>1. Quản trị hệ thống thực hiện cấu hình kiểm tra quy tắc biến đổi định dạng dữ liệu về Người có tài sản đấu giá. Hệ thống ghi nhận quy tắc được thiết lập.
2. Quản trị hệ thống có thể cấu hình biến đổi gộp hoặc tách cột dữ liệu về Người có tài sản đấu giá. Hệ thống ghi nhận quy tắc được thiết lập.
3. Quản trị hệ thống có thể cấu hình phân loại, gán nhãn dữ liệu về Người có tài sản đấu giá. Hệ thống ghi nhận quy tắc được thiết lập.</v>
      </c>
      <c r="H428" s="36" t="s">
        <v>5</v>
      </c>
      <c r="I428" s="36" t="s">
        <v>6</v>
      </c>
    </row>
    <row r="429" spans="1:9" ht="132">
      <c r="A429" s="36">
        <f>COUNTA($D$4:D429)</f>
        <v>369</v>
      </c>
      <c r="B429" s="38" t="str">
        <f t="shared" ref="B429" si="90">"Thiết lập quy tắc làm sạch " &amp;C429</f>
        <v>Thiết lập quy tắc làm sạch Thông tin việc đấu giá</v>
      </c>
      <c r="C429" s="66" t="s">
        <v>652</v>
      </c>
      <c r="D429" s="34" t="s">
        <v>28</v>
      </c>
      <c r="E429" s="35"/>
      <c r="F429" s="38"/>
      <c r="G429" s="38" t="str">
        <f>"1. "&amp;D429&amp; " thực hiện cấu hình kiểm tra quy tắc về chuẩn định dạng " &amp;C429&amp; ". Hệ thống ghi nhận quy tắc được thiết lập.
2. " &amp;D429&amp;" có thể cấu hình kiểm tra tính hợp lệ của dữ liệu về "&amp;C429&amp;". Hệ thống ghi nhận quy tắc được thiết lập.
3. " &amp;D429&amp;" có thể cấu hình xử lý giá trị thiếu dữ liệu về "&amp;C429&amp;". Hệ thống ghi nhận quy tắc được thiết lập.
4. " &amp;D429&amp;" có thể cấu hình xử lý loại bỏ hoặc thay thế giá trị ngoại lệ về "&amp;C429&amp;". Hệ thống ghi nhận quy tắc được thiết lập"</f>
        <v>1. Quản trị hệ thống thực hiện cấu hình kiểm tra quy tắc về chuẩn định dạng Thông tin việc đấu giá. Hệ thống ghi nhận quy tắc được thiết lập.
2. Quản trị hệ thống có thể cấu hình kiểm tra tính hợp lệ của dữ liệu về Thông tin việc đấu giá. Hệ thống ghi nhận quy tắc được thiết lập.
3. Quản trị hệ thống có thể cấu hình xử lý giá trị thiếu dữ liệu về Thông tin việc đấu giá. Hệ thống ghi nhận quy tắc được thiết lập.
4. Quản trị hệ thống có thể cấu hình xử lý loại bỏ hoặc thay thế giá trị ngoại lệ về Thông tin việc đấu giá. Hệ thống ghi nhận quy tắc được thiết lập</v>
      </c>
      <c r="H429" s="36" t="s">
        <v>5</v>
      </c>
      <c r="I429" s="36" t="s">
        <v>7</v>
      </c>
    </row>
    <row r="430" spans="1:9" ht="99">
      <c r="A430" s="36">
        <f>COUNTA($D$4:D430)</f>
        <v>370</v>
      </c>
      <c r="B430" s="38" t="str">
        <f>"Thiết lập quy tắc chuẩn hóa " &amp;C430</f>
        <v>Thiết lập quy tắc chuẩn hóa Thông tin việc đấu giá</v>
      </c>
      <c r="C430" s="66" t="s">
        <v>652</v>
      </c>
      <c r="D430" s="34" t="s">
        <v>28</v>
      </c>
      <c r="E430" s="35"/>
      <c r="F430" s="38"/>
      <c r="G430" s="38" t="str">
        <f>"1. "&amp;D430&amp; " thực hiện cấu hình kiểm tra đối sánh tồn tại dựa trên trường khóa của " &amp;C430&amp; ". Hệ thống ghi nhận quy tắc được thiết lập.
2. " &amp;D430&amp;" có thể cấu hình xử lý trùng lặp về "&amp;C430&amp;". Hệ thống ghi nhận quy tắc được thiết lập.
3. " &amp;D430&amp;" có thể cấu hình xử lý vi phạm về ràng buộc thuộc tính tham chiếu "&amp;C430&amp;". Hệ thống ghi nhận quy tắc được thiết lập."</f>
        <v>1. Quản trị hệ thống thực hiện cấu hình kiểm tra đối sánh tồn tại dựa trên trường khóa của Thông tin việc đấu giá. Hệ thống ghi nhận quy tắc được thiết lập.
2. Quản trị hệ thống có thể cấu hình xử lý trùng lặp về Thông tin việc đấu giá. Hệ thống ghi nhận quy tắc được thiết lập.
3. Quản trị hệ thống có thể cấu hình xử lý vi phạm về ràng buộc thuộc tính tham chiếu Thông tin việc đấu giá. Hệ thống ghi nhận quy tắc được thiết lập.</v>
      </c>
      <c r="H430" s="36" t="s">
        <v>5</v>
      </c>
      <c r="I430" s="36" t="s">
        <v>6</v>
      </c>
    </row>
    <row r="431" spans="1:9" ht="99">
      <c r="A431" s="36">
        <f>COUNTA($D$4:D431)</f>
        <v>371</v>
      </c>
      <c r="B431" s="38" t="str">
        <f>"Thiết lập quy tắc biến đổi " &amp;C431</f>
        <v>Thiết lập quy tắc biến đổi Thông tin việc đấu giá</v>
      </c>
      <c r="C431" s="66" t="s">
        <v>652</v>
      </c>
      <c r="D431" s="34" t="s">
        <v>28</v>
      </c>
      <c r="E431" s="35"/>
      <c r="F431" s="38"/>
      <c r="G431" s="38" t="str">
        <f>"1. "&amp;D431&amp; " thực hiện cấu hình kiểm tra quy tắc biến đổi định dạng dữ liệu về " &amp;C431&amp; ". Hệ thống ghi nhận quy tắc được thiết lập.
2. " &amp;D431&amp;" có thể cấu hình biến đổi gộp hoặc tách cột dữ liệu về "&amp;C431&amp;". Hệ thống ghi nhận quy tắc được thiết lập.
3. " &amp;D431&amp;" có thể cấu hình phân loại, gán nhãn dữ liệu về "&amp;C431&amp;". Hệ thống ghi nhận quy tắc được thiết lập."</f>
        <v>1. Quản trị hệ thống thực hiện cấu hình kiểm tra quy tắc biến đổi định dạng dữ liệu về Thông tin việc đấu giá. Hệ thống ghi nhận quy tắc được thiết lập.
2. Quản trị hệ thống có thể cấu hình biến đổi gộp hoặc tách cột dữ liệu về Thông tin việc đấu giá. Hệ thống ghi nhận quy tắc được thiết lập.
3. Quản trị hệ thống có thể cấu hình phân loại, gán nhãn dữ liệu về Thông tin việc đấu giá. Hệ thống ghi nhận quy tắc được thiết lập.</v>
      </c>
      <c r="H431" s="36" t="s">
        <v>5</v>
      </c>
      <c r="I431" s="36" t="s">
        <v>6</v>
      </c>
    </row>
    <row r="432" spans="1:9" ht="132">
      <c r="A432" s="36">
        <f>COUNTA($D$4:D432)</f>
        <v>372</v>
      </c>
      <c r="B432" s="38" t="str">
        <f t="shared" ref="B432" si="91">"Thiết lập quy tắc làm sạch " &amp;C432</f>
        <v>Thiết lập quy tắc làm sạch Tài sản đấu giá</v>
      </c>
      <c r="C432" s="66" t="s">
        <v>653</v>
      </c>
      <c r="D432" s="34" t="s">
        <v>28</v>
      </c>
      <c r="E432" s="35"/>
      <c r="F432" s="38"/>
      <c r="G432" s="38" t="str">
        <f>"1. "&amp;D432&amp; " thực hiện cấu hình kiểm tra quy tắc về chuẩn định dạng " &amp;C432&amp; ". Hệ thống ghi nhận quy tắc được thiết lập.
2. " &amp;D432&amp;" có thể cấu hình kiểm tra tính hợp lệ của dữ liệu về "&amp;C432&amp;". Hệ thống ghi nhận quy tắc được thiết lập.
3. " &amp;D432&amp;" có thể cấu hình xử lý giá trị thiếu dữ liệu về "&amp;C432&amp;". Hệ thống ghi nhận quy tắc được thiết lập.
4. " &amp;D432&amp;" có thể cấu hình xử lý loại bỏ hoặc thay thế giá trị ngoại lệ về "&amp;C432&amp;". Hệ thống ghi nhận quy tắc được thiết lập"</f>
        <v>1. Quản trị hệ thống thực hiện cấu hình kiểm tra quy tắc về chuẩn định dạng Tài sản đấu giá. Hệ thống ghi nhận quy tắc được thiết lập.
2. Quản trị hệ thống có thể cấu hình kiểm tra tính hợp lệ của dữ liệu về Tài sản đấu giá. Hệ thống ghi nhận quy tắc được thiết lập.
3. Quản trị hệ thống có thể cấu hình xử lý giá trị thiếu dữ liệu về Tài sản đấu giá. Hệ thống ghi nhận quy tắc được thiết lập.
4. Quản trị hệ thống có thể cấu hình xử lý loại bỏ hoặc thay thế giá trị ngoại lệ về Tài sản đấu giá. Hệ thống ghi nhận quy tắc được thiết lập</v>
      </c>
      <c r="H432" s="36" t="s">
        <v>5</v>
      </c>
      <c r="I432" s="36" t="s">
        <v>7</v>
      </c>
    </row>
    <row r="433" spans="1:9" ht="99">
      <c r="A433" s="36">
        <f>COUNTA($D$4:D433)</f>
        <v>373</v>
      </c>
      <c r="B433" s="38" t="str">
        <f>"Thiết lập quy tắc chuẩn hóa " &amp;C433</f>
        <v>Thiết lập quy tắc chuẩn hóa Tài sản đấu giá</v>
      </c>
      <c r="C433" s="66" t="s">
        <v>653</v>
      </c>
      <c r="D433" s="34" t="s">
        <v>28</v>
      </c>
      <c r="E433" s="35"/>
      <c r="F433" s="38"/>
      <c r="G433" s="38" t="str">
        <f>"1. "&amp;D433&amp; " thực hiện cấu hình kiểm tra đối sánh tồn tại dựa trên trường khóa của " &amp;C433&amp; ". Hệ thống ghi nhận quy tắc được thiết lập.
2. " &amp;D433&amp;" có thể cấu hình xử lý trùng lặp về "&amp;C433&amp;". Hệ thống ghi nhận quy tắc được thiết lập.
3. " &amp;D433&amp;" có thể cấu hình xử lý vi phạm về ràng buộc thuộc tính tham chiếu "&amp;C433&amp;". Hệ thống ghi nhận quy tắc được thiết lập."</f>
        <v>1. Quản trị hệ thống thực hiện cấu hình kiểm tra đối sánh tồn tại dựa trên trường khóa của Tài sản đấu giá. Hệ thống ghi nhận quy tắc được thiết lập.
2. Quản trị hệ thống có thể cấu hình xử lý trùng lặp về Tài sản đấu giá. Hệ thống ghi nhận quy tắc được thiết lập.
3. Quản trị hệ thống có thể cấu hình xử lý vi phạm về ràng buộc thuộc tính tham chiếu Tài sản đấu giá. Hệ thống ghi nhận quy tắc được thiết lập.</v>
      </c>
      <c r="H433" s="36" t="s">
        <v>5</v>
      </c>
      <c r="I433" s="36" t="s">
        <v>6</v>
      </c>
    </row>
    <row r="434" spans="1:9" ht="99">
      <c r="A434" s="36">
        <f>COUNTA($D$4:D434)</f>
        <v>374</v>
      </c>
      <c r="B434" s="38" t="str">
        <f>"Thiết lập quy tắc biến đổi " &amp;C434</f>
        <v>Thiết lập quy tắc biến đổi Tài sản đấu giá</v>
      </c>
      <c r="C434" s="66" t="s">
        <v>653</v>
      </c>
      <c r="D434" s="34" t="s">
        <v>28</v>
      </c>
      <c r="E434" s="35"/>
      <c r="F434" s="38"/>
      <c r="G434" s="38" t="str">
        <f>"1. "&amp;D434&amp; " thực hiện cấu hình kiểm tra quy tắc biến đổi định dạng dữ liệu về " &amp;C434&amp; ". Hệ thống ghi nhận quy tắc được thiết lập.
2. " &amp;D434&amp;" có thể cấu hình biến đổi gộp hoặc tách cột dữ liệu về "&amp;C434&amp;". Hệ thống ghi nhận quy tắc được thiết lập.
3. " &amp;D434&amp;" có thể cấu hình phân loại, gán nhãn dữ liệu về "&amp;C434&amp;". Hệ thống ghi nhận quy tắc được thiết lập."</f>
        <v>1. Quản trị hệ thống thực hiện cấu hình kiểm tra quy tắc biến đổi định dạng dữ liệu về Tài sản đấu giá. Hệ thống ghi nhận quy tắc được thiết lập.
2. Quản trị hệ thống có thể cấu hình biến đổi gộp hoặc tách cột dữ liệu về Tài sản đấu giá. Hệ thống ghi nhận quy tắc được thiết lập.
3. Quản trị hệ thống có thể cấu hình phân loại, gán nhãn dữ liệu về Tài sản đấu giá. Hệ thống ghi nhận quy tắc được thiết lập.</v>
      </c>
      <c r="H434" s="36" t="s">
        <v>5</v>
      </c>
      <c r="I434" s="36" t="s">
        <v>6</v>
      </c>
    </row>
    <row r="435" spans="1:9" ht="132">
      <c r="A435" s="36">
        <f>COUNTA($D$4:D435)</f>
        <v>375</v>
      </c>
      <c r="B435" s="38" t="str">
        <f t="shared" ref="B435" si="92">"Thiết lập quy tắc làm sạch " &amp;C435</f>
        <v>Thiết lập quy tắc làm sạch Công chứng viên</v>
      </c>
      <c r="C435" s="38" t="s">
        <v>132</v>
      </c>
      <c r="D435" s="34" t="s">
        <v>28</v>
      </c>
      <c r="E435" s="35"/>
      <c r="F435" s="38"/>
      <c r="G435" s="38" t="str">
        <f>"1. "&amp;D435&amp; " thực hiện cấu hình kiểm tra quy tắc về chuẩn định dạng " &amp;C435&amp; ". Hệ thống ghi nhận quy tắc được thiết lập.
2. " &amp;D435&amp;" có thể cấu hình kiểm tra tính hợp lệ của dữ liệu về "&amp;C435&amp;". Hệ thống ghi nhận quy tắc được thiết lập.
3. " &amp;D435&amp;" có thể cấu hình xử lý giá trị thiếu dữ liệu về "&amp;C435&amp;". Hệ thống ghi nhận quy tắc được thiết lập.
4. " &amp;D435&amp;" có thể cấu hình xử lý loại bỏ hoặc thay thế giá trị ngoại lệ về "&amp;C435&amp;". Hệ thống ghi nhận quy tắc được thiết lập"</f>
        <v>1. Quản trị hệ thống thực hiện cấu hình kiểm tra quy tắc về chuẩn định dạng Công chứng viên. Hệ thống ghi nhận quy tắc được thiết lập.
2. Quản trị hệ thống có thể cấu hình kiểm tra tính hợp lệ của dữ liệu về Công chứng viên. Hệ thống ghi nhận quy tắc được thiết lập.
3. Quản trị hệ thống có thể cấu hình xử lý giá trị thiếu dữ liệu về Công chứng viên. Hệ thống ghi nhận quy tắc được thiết lập.
4. Quản trị hệ thống có thể cấu hình xử lý loại bỏ hoặc thay thế giá trị ngoại lệ về Công chứng viên. Hệ thống ghi nhận quy tắc được thiết lập</v>
      </c>
      <c r="H435" s="36" t="s">
        <v>5</v>
      </c>
      <c r="I435" s="36" t="s">
        <v>7</v>
      </c>
    </row>
    <row r="436" spans="1:9" ht="99">
      <c r="A436" s="36">
        <f>COUNTA($D$4:D436)</f>
        <v>376</v>
      </c>
      <c r="B436" s="38" t="str">
        <f>"Thiết lập quy tắc chuẩn hóa " &amp;C436</f>
        <v>Thiết lập quy tắc chuẩn hóa Công chứng viên</v>
      </c>
      <c r="C436" s="38" t="s">
        <v>132</v>
      </c>
      <c r="D436" s="34" t="s">
        <v>28</v>
      </c>
      <c r="E436" s="35"/>
      <c r="F436" s="38"/>
      <c r="G436" s="38" t="str">
        <f>"1. "&amp;D436&amp; " thực hiện cấu hình kiểm tra đối sánh tồn tại dựa trên trường khóa của " &amp;C436&amp; ". Hệ thống ghi nhận quy tắc được thiết lập.
2. " &amp;D436&amp;" có thể cấu hình xử lý trùng lặp về "&amp;C436&amp;". Hệ thống ghi nhận quy tắc được thiết lập.
3. " &amp;D436&amp;" có thể cấu hình xử lý vi phạm về ràng buộc thuộc tính tham chiếu "&amp;C436&amp;". Hệ thống ghi nhận quy tắc được thiết lập."</f>
        <v>1. Quản trị hệ thống thực hiện cấu hình kiểm tra đối sánh tồn tại dựa trên trường khóa của Công chứng viên. Hệ thống ghi nhận quy tắc được thiết lập.
2. Quản trị hệ thống có thể cấu hình xử lý trùng lặp về Công chứng viên. Hệ thống ghi nhận quy tắc được thiết lập.
3. Quản trị hệ thống có thể cấu hình xử lý vi phạm về ràng buộc thuộc tính tham chiếu Công chứng viên. Hệ thống ghi nhận quy tắc được thiết lập.</v>
      </c>
      <c r="H436" s="36" t="s">
        <v>5</v>
      </c>
      <c r="I436" s="36" t="s">
        <v>6</v>
      </c>
    </row>
    <row r="437" spans="1:9" ht="99">
      <c r="A437" s="36">
        <f>COUNTA($D$4:D437)</f>
        <v>377</v>
      </c>
      <c r="B437" s="38" t="str">
        <f>"Thiết lập quy tắc biến đổi " &amp;C437</f>
        <v>Thiết lập quy tắc biến đổi Công chứng viên</v>
      </c>
      <c r="C437" s="38" t="s">
        <v>132</v>
      </c>
      <c r="D437" s="34" t="s">
        <v>28</v>
      </c>
      <c r="E437" s="35"/>
      <c r="F437" s="38"/>
      <c r="G437" s="38" t="str">
        <f>"1. "&amp;D437&amp; " thực hiện cấu hình kiểm tra quy tắc biến đổi định dạng dữ liệu về " &amp;C437&amp; ". Hệ thống ghi nhận quy tắc được thiết lập.
2. " &amp;D437&amp;" có thể cấu hình biến đổi gộp hoặc tách cột dữ liệu về "&amp;C437&amp;". Hệ thống ghi nhận quy tắc được thiết lập.
3. " &amp;D437&amp;" có thể cấu hình phân loại, gán nhãn dữ liệu về "&amp;C437&amp;". Hệ thống ghi nhận quy tắc được thiết lập."</f>
        <v>1. Quản trị hệ thống thực hiện cấu hình kiểm tra quy tắc biến đổi định dạng dữ liệu về Công chứng viên. Hệ thống ghi nhận quy tắc được thiết lập.
2. Quản trị hệ thống có thể cấu hình biến đổi gộp hoặc tách cột dữ liệu về Công chứng viên. Hệ thống ghi nhận quy tắc được thiết lập.
3. Quản trị hệ thống có thể cấu hình phân loại, gán nhãn dữ liệu về Công chứng viên. Hệ thống ghi nhận quy tắc được thiết lập.</v>
      </c>
      <c r="H437" s="36" t="s">
        <v>5</v>
      </c>
      <c r="I437" s="36" t="s">
        <v>6</v>
      </c>
    </row>
    <row r="438" spans="1:9" ht="132">
      <c r="A438" s="36">
        <f>COUNTA($D$4:D438)</f>
        <v>378</v>
      </c>
      <c r="B438" s="38" t="str">
        <f t="shared" ref="B438" si="93">"Thiết lập quy tắc làm sạch " &amp;C438</f>
        <v>Thiết lập quy tắc làm sạch Thông tin ngăn chặn</v>
      </c>
      <c r="C438" s="38" t="s">
        <v>133</v>
      </c>
      <c r="D438" s="34" t="s">
        <v>28</v>
      </c>
      <c r="E438" s="35"/>
      <c r="F438" s="38"/>
      <c r="G438" s="38" t="str">
        <f>"1. "&amp;D438&amp; " thực hiện cấu hình kiểm tra quy tắc về chuẩn định dạng " &amp;C438&amp; ". Hệ thống ghi nhận quy tắc được thiết lập.
2. " &amp;D438&amp;" có thể cấu hình kiểm tra tính hợp lệ của dữ liệu về "&amp;C438&amp;". Hệ thống ghi nhận quy tắc được thiết lập.
3. " &amp;D438&amp;" có thể cấu hình xử lý giá trị thiếu dữ liệu về "&amp;C438&amp;". Hệ thống ghi nhận quy tắc được thiết lập.
4. " &amp;D438&amp;" có thể cấu hình xử lý loại bỏ hoặc thay thế giá trị ngoại lệ về "&amp;C438&amp;". Hệ thống ghi nhận quy tắc được thiết lập"</f>
        <v>1. Quản trị hệ thống thực hiện cấu hình kiểm tra quy tắc về chuẩn định dạng Thông tin ngăn chặn. Hệ thống ghi nhận quy tắc được thiết lập.
2. Quản trị hệ thống có thể cấu hình kiểm tra tính hợp lệ của dữ liệu về Thông tin ngăn chặn. Hệ thống ghi nhận quy tắc được thiết lập.
3. Quản trị hệ thống có thể cấu hình xử lý giá trị thiếu dữ liệu về Thông tin ngăn chặn. Hệ thống ghi nhận quy tắc được thiết lập.
4. Quản trị hệ thống có thể cấu hình xử lý loại bỏ hoặc thay thế giá trị ngoại lệ về Thông tin ngăn chặn. Hệ thống ghi nhận quy tắc được thiết lập</v>
      </c>
      <c r="H438" s="36" t="s">
        <v>5</v>
      </c>
      <c r="I438" s="36" t="s">
        <v>7</v>
      </c>
    </row>
    <row r="439" spans="1:9" ht="99">
      <c r="A439" s="36">
        <f>COUNTA($D$4:D439)</f>
        <v>379</v>
      </c>
      <c r="B439" s="38" t="str">
        <f>"Thiết lập quy tắc chuẩn hóa " &amp;C439</f>
        <v>Thiết lập quy tắc chuẩn hóa Thông tin ngăn chặn</v>
      </c>
      <c r="C439" s="38" t="s">
        <v>133</v>
      </c>
      <c r="D439" s="34" t="s">
        <v>28</v>
      </c>
      <c r="E439" s="35"/>
      <c r="F439" s="38"/>
      <c r="G439" s="38" t="str">
        <f>"1. "&amp;D439&amp; " thực hiện cấu hình kiểm tra đối sánh tồn tại dựa trên trường khóa của " &amp;C439&amp; ". Hệ thống ghi nhận quy tắc được thiết lập.
2. " &amp;D439&amp;" có thể cấu hình xử lý trùng lặp về "&amp;C439&amp;". Hệ thống ghi nhận quy tắc được thiết lập.
3. " &amp;D439&amp;" có thể cấu hình xử lý vi phạm về ràng buộc thuộc tính tham chiếu "&amp;C439&amp;". Hệ thống ghi nhận quy tắc được thiết lập."</f>
        <v>1. Quản trị hệ thống thực hiện cấu hình kiểm tra đối sánh tồn tại dựa trên trường khóa của Thông tin ngăn chặn. Hệ thống ghi nhận quy tắc được thiết lập.
2. Quản trị hệ thống có thể cấu hình xử lý trùng lặp về Thông tin ngăn chặn. Hệ thống ghi nhận quy tắc được thiết lập.
3. Quản trị hệ thống có thể cấu hình xử lý vi phạm về ràng buộc thuộc tính tham chiếu Thông tin ngăn chặn. Hệ thống ghi nhận quy tắc được thiết lập.</v>
      </c>
      <c r="H439" s="36" t="s">
        <v>5</v>
      </c>
      <c r="I439" s="36" t="s">
        <v>6</v>
      </c>
    </row>
    <row r="440" spans="1:9" ht="99">
      <c r="A440" s="36">
        <f>COUNTA($D$4:D440)</f>
        <v>380</v>
      </c>
      <c r="B440" s="38" t="str">
        <f>"Thiết lập quy tắc biến đổi " &amp;C440</f>
        <v>Thiết lập quy tắc biến đổi Thông tin ngăn chặn</v>
      </c>
      <c r="C440" s="38" t="s">
        <v>133</v>
      </c>
      <c r="D440" s="34" t="s">
        <v>28</v>
      </c>
      <c r="E440" s="35"/>
      <c r="F440" s="38"/>
      <c r="G440" s="38" t="str">
        <f>"1. "&amp;D440&amp; " thực hiện cấu hình kiểm tra quy tắc biến đổi định dạng dữ liệu về " &amp;C440&amp; ". Hệ thống ghi nhận quy tắc được thiết lập.
2. " &amp;D440&amp;" có thể cấu hình biến đổi gộp hoặc tách cột dữ liệu về "&amp;C440&amp;". Hệ thống ghi nhận quy tắc được thiết lập.
3. " &amp;D440&amp;" có thể cấu hình phân loại, gán nhãn dữ liệu về "&amp;C440&amp;". Hệ thống ghi nhận quy tắc được thiết lập."</f>
        <v>1. Quản trị hệ thống thực hiện cấu hình kiểm tra quy tắc biến đổi định dạng dữ liệu về Thông tin ngăn chặn. Hệ thống ghi nhận quy tắc được thiết lập.
2. Quản trị hệ thống có thể cấu hình biến đổi gộp hoặc tách cột dữ liệu về Thông tin ngăn chặn. Hệ thống ghi nhận quy tắc được thiết lập.
3. Quản trị hệ thống có thể cấu hình phân loại, gán nhãn dữ liệu về Thông tin ngăn chặn. Hệ thống ghi nhận quy tắc được thiết lập.</v>
      </c>
      <c r="H440" s="36" t="s">
        <v>5</v>
      </c>
      <c r="I440" s="36" t="s">
        <v>6</v>
      </c>
    </row>
    <row r="441" spans="1:9" ht="132">
      <c r="A441" s="36">
        <f>COUNTA($D$4:D441)</f>
        <v>381</v>
      </c>
      <c r="B441" s="38" t="str">
        <f t="shared" ref="B441" si="94">"Thiết lập quy tắc làm sạch " &amp;C441</f>
        <v>Thiết lập quy tắc làm sạch Tổ chức hành nghề công chứng</v>
      </c>
      <c r="C441" s="38" t="s">
        <v>134</v>
      </c>
      <c r="D441" s="34" t="s">
        <v>28</v>
      </c>
      <c r="E441" s="35"/>
      <c r="F441" s="38"/>
      <c r="G441" s="38" t="str">
        <f>"1. "&amp;D441&amp; " thực hiện cấu hình kiểm tra quy tắc về chuẩn định dạng " &amp;C441&amp; ". Hệ thống ghi nhận quy tắc được thiết lập.
2. " &amp;D441&amp;" có thể cấu hình kiểm tra tính hợp lệ của dữ liệu về "&amp;C441&amp;". Hệ thống ghi nhận quy tắc được thiết lập.
3. " &amp;D441&amp;" có thể cấu hình xử lý giá trị thiếu dữ liệu về "&amp;C441&amp;". Hệ thống ghi nhận quy tắc được thiết lập.
4. " &amp;D441&amp;" có thể cấu hình xử lý loại bỏ hoặc thay thế giá trị ngoại lệ về "&amp;C441&amp;". Hệ thống ghi nhận quy tắc được thiết lập"</f>
        <v>1. Quản trị hệ thống thực hiện cấu hình kiểm tra quy tắc về chuẩn định dạng Tổ chức hành nghề công chứng. Hệ thống ghi nhận quy tắc được thiết lập.
2. Quản trị hệ thống có thể cấu hình kiểm tra tính hợp lệ của dữ liệu về Tổ chức hành nghề công chứng. Hệ thống ghi nhận quy tắc được thiết lập.
3. Quản trị hệ thống có thể cấu hình xử lý giá trị thiếu dữ liệu về Tổ chức hành nghề công chứng. Hệ thống ghi nhận quy tắc được thiết lập.
4. Quản trị hệ thống có thể cấu hình xử lý loại bỏ hoặc thay thế giá trị ngoại lệ về Tổ chức hành nghề công chứng. Hệ thống ghi nhận quy tắc được thiết lập</v>
      </c>
      <c r="H441" s="36" t="s">
        <v>5</v>
      </c>
      <c r="I441" s="36" t="s">
        <v>7</v>
      </c>
    </row>
    <row r="442" spans="1:9" ht="99">
      <c r="A442" s="36">
        <f>COUNTA($D$4:D442)</f>
        <v>382</v>
      </c>
      <c r="B442" s="38" t="str">
        <f>"Thiết lập quy tắc chuẩn hóa " &amp;C442</f>
        <v>Thiết lập quy tắc chuẩn hóa Tổ chức hành nghề công chứng</v>
      </c>
      <c r="C442" s="38" t="s">
        <v>134</v>
      </c>
      <c r="D442" s="34" t="s">
        <v>28</v>
      </c>
      <c r="E442" s="35"/>
      <c r="F442" s="38"/>
      <c r="G442" s="38" t="str">
        <f>"1. "&amp;D442&amp; " thực hiện cấu hình kiểm tra đối sánh tồn tại dựa trên trường khóa của " &amp;C442&amp; ". Hệ thống ghi nhận quy tắc được thiết lập.
2. " &amp;D442&amp;" có thể cấu hình xử lý trùng lặp về "&amp;C442&amp;". Hệ thống ghi nhận quy tắc được thiết lập.
3. " &amp;D442&amp;" có thể cấu hình xử lý vi phạm về ràng buộc thuộc tính tham chiếu "&amp;C442&amp;". Hệ thống ghi nhận quy tắc được thiết lập."</f>
        <v>1. Quản trị hệ thống thực hiện cấu hình kiểm tra đối sánh tồn tại dựa trên trường khóa của Tổ chức hành nghề công chứng. Hệ thống ghi nhận quy tắc được thiết lập.
2. Quản trị hệ thống có thể cấu hình xử lý trùng lặp về Tổ chức hành nghề công chứng. Hệ thống ghi nhận quy tắc được thiết lập.
3. Quản trị hệ thống có thể cấu hình xử lý vi phạm về ràng buộc thuộc tính tham chiếu Tổ chức hành nghề công chứng. Hệ thống ghi nhận quy tắc được thiết lập.</v>
      </c>
      <c r="H442" s="36" t="s">
        <v>5</v>
      </c>
      <c r="I442" s="36" t="s">
        <v>6</v>
      </c>
    </row>
    <row r="443" spans="1:9" ht="99">
      <c r="A443" s="36">
        <f>COUNTA($D$4:D443)</f>
        <v>383</v>
      </c>
      <c r="B443" s="38" t="str">
        <f>"Thiết lập quy tắc biến đổi " &amp;C443</f>
        <v>Thiết lập quy tắc biến đổi Tổ chức hành nghề công chứng</v>
      </c>
      <c r="C443" s="38" t="s">
        <v>134</v>
      </c>
      <c r="D443" s="34" t="s">
        <v>28</v>
      </c>
      <c r="E443" s="35"/>
      <c r="F443" s="38"/>
      <c r="G443" s="38" t="str">
        <f>"1. "&amp;D443&amp; " thực hiện cấu hình kiểm tra quy tắc biến đổi định dạng dữ liệu về " &amp;C443&amp; ". Hệ thống ghi nhận quy tắc được thiết lập.
2. " &amp;D443&amp;" có thể cấu hình biến đổi gộp hoặc tách cột dữ liệu về "&amp;C443&amp;". Hệ thống ghi nhận quy tắc được thiết lập.
3. " &amp;D443&amp;" có thể cấu hình phân loại, gán nhãn dữ liệu về "&amp;C443&amp;". Hệ thống ghi nhận quy tắc được thiết lập."</f>
        <v>1. Quản trị hệ thống thực hiện cấu hình kiểm tra quy tắc biến đổi định dạng dữ liệu về Tổ chức hành nghề công chứng. Hệ thống ghi nhận quy tắc được thiết lập.
2. Quản trị hệ thống có thể cấu hình biến đổi gộp hoặc tách cột dữ liệu về Tổ chức hành nghề công chứng. Hệ thống ghi nhận quy tắc được thiết lập.
3. Quản trị hệ thống có thể cấu hình phân loại, gán nhãn dữ liệu về Tổ chức hành nghề công chứng. Hệ thống ghi nhận quy tắc được thiết lập.</v>
      </c>
      <c r="H443" s="36" t="s">
        <v>5</v>
      </c>
      <c r="I443" s="36" t="s">
        <v>6</v>
      </c>
    </row>
    <row r="444" spans="1:9" ht="132">
      <c r="A444" s="36">
        <f>COUNTA($D$4:D444)</f>
        <v>384</v>
      </c>
      <c r="B444" s="38" t="str">
        <f t="shared" ref="B444" si="95">"Thiết lập quy tắc làm sạch " &amp;C444</f>
        <v>Thiết lập quy tắc làm sạch Tài sản trong giao dịch công chứng</v>
      </c>
      <c r="C444" s="38" t="s">
        <v>135</v>
      </c>
      <c r="D444" s="34" t="s">
        <v>28</v>
      </c>
      <c r="E444" s="35"/>
      <c r="F444" s="38"/>
      <c r="G444" s="38" t="str">
        <f>"1. "&amp;D444&amp; " thực hiện cấu hình kiểm tra quy tắc về chuẩn định dạng " &amp;C444&amp; ". Hệ thống ghi nhận quy tắc được thiết lập.
2. " &amp;D444&amp;" có thể cấu hình kiểm tra tính hợp lệ của dữ liệu về "&amp;C444&amp;". Hệ thống ghi nhận quy tắc được thiết lập.
3. " &amp;D444&amp;" có thể cấu hình xử lý giá trị thiếu dữ liệu về "&amp;C444&amp;". Hệ thống ghi nhận quy tắc được thiết lập.
4. " &amp;D444&amp;" có thể cấu hình xử lý loại bỏ hoặc thay thế giá trị ngoại lệ về "&amp;C444&amp;". Hệ thống ghi nhận quy tắc được thiết lập"</f>
        <v>1. Quản trị hệ thống thực hiện cấu hình kiểm tra quy tắc về chuẩn định dạng Tài sản trong giao dịch công chứng. Hệ thống ghi nhận quy tắc được thiết lập.
2. Quản trị hệ thống có thể cấu hình kiểm tra tính hợp lệ của dữ liệu về Tài sản trong giao dịch công chứng. Hệ thống ghi nhận quy tắc được thiết lập.
3. Quản trị hệ thống có thể cấu hình xử lý giá trị thiếu dữ liệu về Tài sản trong giao dịch công chứng. Hệ thống ghi nhận quy tắc được thiết lập.
4. Quản trị hệ thống có thể cấu hình xử lý loại bỏ hoặc thay thế giá trị ngoại lệ về Tài sản trong giao dịch công chứng. Hệ thống ghi nhận quy tắc được thiết lập</v>
      </c>
      <c r="H444" s="36" t="s">
        <v>5</v>
      </c>
      <c r="I444" s="36" t="s">
        <v>7</v>
      </c>
    </row>
    <row r="445" spans="1:9" ht="115.5">
      <c r="A445" s="36">
        <f>COUNTA($D$4:D445)</f>
        <v>385</v>
      </c>
      <c r="B445" s="38" t="str">
        <f>"Thiết lập quy tắc chuẩn hóa " &amp;C445</f>
        <v>Thiết lập quy tắc chuẩn hóa Tài sản trong giao dịch công chứng</v>
      </c>
      <c r="C445" s="38" t="s">
        <v>135</v>
      </c>
      <c r="D445" s="34" t="s">
        <v>28</v>
      </c>
      <c r="E445" s="35"/>
      <c r="F445" s="38"/>
      <c r="G445" s="38" t="str">
        <f>"1. "&amp;D445&amp; " thực hiện cấu hình kiểm tra đối sánh tồn tại dựa trên trường khóa của " &amp;C445&amp; ". Hệ thống ghi nhận quy tắc được thiết lập.
2. " &amp;D445&amp;" có thể cấu hình xử lý trùng lặp về "&amp;C445&amp;". Hệ thống ghi nhận quy tắc được thiết lập.
3. " &amp;D445&amp;" có thể cấu hình xử lý vi phạm về ràng buộc thuộc tính tham chiếu "&amp;C445&amp;". Hệ thống ghi nhận quy tắc được thiết lập."</f>
        <v>1. Quản trị hệ thống thực hiện cấu hình kiểm tra đối sánh tồn tại dựa trên trường khóa của Tài sản trong giao dịch công chứng. Hệ thống ghi nhận quy tắc được thiết lập.
2. Quản trị hệ thống có thể cấu hình xử lý trùng lặp về Tài sản trong giao dịch công chứng. Hệ thống ghi nhận quy tắc được thiết lập.
3. Quản trị hệ thống có thể cấu hình xử lý vi phạm về ràng buộc thuộc tính tham chiếu Tài sản trong giao dịch công chứng. Hệ thống ghi nhận quy tắc được thiết lập.</v>
      </c>
      <c r="H445" s="36" t="s">
        <v>5</v>
      </c>
      <c r="I445" s="36" t="s">
        <v>6</v>
      </c>
    </row>
    <row r="446" spans="1:9" ht="99">
      <c r="A446" s="36">
        <f>COUNTA($D$4:D446)</f>
        <v>386</v>
      </c>
      <c r="B446" s="38" t="str">
        <f>"Thiết lập quy tắc biến đổi " &amp;C446</f>
        <v>Thiết lập quy tắc biến đổi Tài sản trong giao dịch công chứng</v>
      </c>
      <c r="C446" s="38" t="s">
        <v>135</v>
      </c>
      <c r="D446" s="34" t="s">
        <v>28</v>
      </c>
      <c r="E446" s="35"/>
      <c r="F446" s="38"/>
      <c r="G446" s="38" t="str">
        <f>"1. "&amp;D446&amp; " thực hiện cấu hình kiểm tra quy tắc biến đổi định dạng dữ liệu về " &amp;C446&amp; ". Hệ thống ghi nhận quy tắc được thiết lập.
2. " &amp;D446&amp;" có thể cấu hình biến đổi gộp hoặc tách cột dữ liệu về "&amp;C446&amp;". Hệ thống ghi nhận quy tắc được thiết lập.
3. " &amp;D446&amp;" có thể cấu hình phân loại, gán nhãn dữ liệu về "&amp;C446&amp;". Hệ thống ghi nhận quy tắc được thiết lập."</f>
        <v>1. Quản trị hệ thống thực hiện cấu hình kiểm tra quy tắc biến đổi định dạng dữ liệu về Tài sản trong giao dịch công chứng. Hệ thống ghi nhận quy tắc được thiết lập.
2. Quản trị hệ thống có thể cấu hình biến đổi gộp hoặc tách cột dữ liệu về Tài sản trong giao dịch công chứng. Hệ thống ghi nhận quy tắc được thiết lập.
3. Quản trị hệ thống có thể cấu hình phân loại, gán nhãn dữ liệu về Tài sản trong giao dịch công chứng. Hệ thống ghi nhận quy tắc được thiết lập.</v>
      </c>
      <c r="H446" s="36" t="s">
        <v>5</v>
      </c>
      <c r="I446" s="36" t="s">
        <v>6</v>
      </c>
    </row>
    <row r="447" spans="1:9" ht="132">
      <c r="A447" s="36">
        <f>COUNTA($D$4:D447)</f>
        <v>387</v>
      </c>
      <c r="B447" s="38" t="str">
        <f t="shared" ref="B447" si="96">"Thiết lập quy tắc làm sạch " &amp;C447</f>
        <v>Thiết lập quy tắc làm sạch Kết quả hoạt động công chứng</v>
      </c>
      <c r="C447" s="38" t="s">
        <v>136</v>
      </c>
      <c r="D447" s="34" t="s">
        <v>28</v>
      </c>
      <c r="E447" s="35"/>
      <c r="F447" s="38"/>
      <c r="G447" s="38" t="str">
        <f>"1. "&amp;D447&amp; " thực hiện cấu hình kiểm tra quy tắc về chuẩn định dạng " &amp;C447&amp; ". Hệ thống ghi nhận quy tắc được thiết lập.
2. " &amp;D447&amp;" có thể cấu hình kiểm tra tính hợp lệ của dữ liệu về "&amp;C447&amp;". Hệ thống ghi nhận quy tắc được thiết lập.
3. " &amp;D447&amp;" có thể cấu hình xử lý giá trị thiếu dữ liệu về "&amp;C447&amp;". Hệ thống ghi nhận quy tắc được thiết lập.
4. " &amp;D447&amp;" có thể cấu hình xử lý loại bỏ hoặc thay thế giá trị ngoại lệ về "&amp;C447&amp;". Hệ thống ghi nhận quy tắc được thiết lập"</f>
        <v>1. Quản trị hệ thống thực hiện cấu hình kiểm tra quy tắc về chuẩn định dạng Kết quả hoạt động công chứng. Hệ thống ghi nhận quy tắc được thiết lập.
2. Quản trị hệ thống có thể cấu hình kiểm tra tính hợp lệ của dữ liệu về Kết quả hoạt động công chứng. Hệ thống ghi nhận quy tắc được thiết lập.
3. Quản trị hệ thống có thể cấu hình xử lý giá trị thiếu dữ liệu về Kết quả hoạt động công chứng. Hệ thống ghi nhận quy tắc được thiết lập.
4. Quản trị hệ thống có thể cấu hình xử lý loại bỏ hoặc thay thế giá trị ngoại lệ về Kết quả hoạt động công chứng. Hệ thống ghi nhận quy tắc được thiết lập</v>
      </c>
      <c r="H447" s="36" t="s">
        <v>5</v>
      </c>
      <c r="I447" s="36" t="s">
        <v>7</v>
      </c>
    </row>
    <row r="448" spans="1:9" ht="99">
      <c r="A448" s="36">
        <f>COUNTA($D$4:D448)</f>
        <v>388</v>
      </c>
      <c r="B448" s="38" t="str">
        <f>"Thiết lập quy tắc chuẩn hóa " &amp;C448</f>
        <v>Thiết lập quy tắc chuẩn hóa Kết quả hoạt động công chứng</v>
      </c>
      <c r="C448" s="38" t="s">
        <v>136</v>
      </c>
      <c r="D448" s="34" t="s">
        <v>28</v>
      </c>
      <c r="E448" s="35"/>
      <c r="F448" s="38"/>
      <c r="G448" s="38" t="str">
        <f>"1. "&amp;D448&amp; " thực hiện cấu hình kiểm tra đối sánh tồn tại dựa trên trường khóa của " &amp;C448&amp; ". Hệ thống ghi nhận quy tắc được thiết lập.
2. " &amp;D448&amp;" có thể cấu hình xử lý trùng lặp về "&amp;C448&amp;". Hệ thống ghi nhận quy tắc được thiết lập.
3. " &amp;D448&amp;" có thể cấu hình xử lý vi phạm về ràng buộc thuộc tính tham chiếu "&amp;C448&amp;". Hệ thống ghi nhận quy tắc được thiết lập."</f>
        <v>1. Quản trị hệ thống thực hiện cấu hình kiểm tra đối sánh tồn tại dựa trên trường khóa của Kết quả hoạt động công chứng. Hệ thống ghi nhận quy tắc được thiết lập.
2. Quản trị hệ thống có thể cấu hình xử lý trùng lặp về Kết quả hoạt động công chứng. Hệ thống ghi nhận quy tắc được thiết lập.
3. Quản trị hệ thống có thể cấu hình xử lý vi phạm về ràng buộc thuộc tính tham chiếu Kết quả hoạt động công chứng. Hệ thống ghi nhận quy tắc được thiết lập.</v>
      </c>
      <c r="H448" s="36" t="s">
        <v>5</v>
      </c>
      <c r="I448" s="36" t="s">
        <v>6</v>
      </c>
    </row>
    <row r="449" spans="1:9" ht="99">
      <c r="A449" s="36">
        <f>COUNTA($D$4:D449)</f>
        <v>389</v>
      </c>
      <c r="B449" s="38" t="str">
        <f>"Thiết lập quy tắc biến đổi " &amp;C449</f>
        <v>Thiết lập quy tắc biến đổi Kết quả hoạt động công chứng</v>
      </c>
      <c r="C449" s="38" t="s">
        <v>136</v>
      </c>
      <c r="D449" s="34" t="s">
        <v>28</v>
      </c>
      <c r="E449" s="35"/>
      <c r="F449" s="38"/>
      <c r="G449" s="38" t="str">
        <f>"1. "&amp;D449&amp; " thực hiện cấu hình kiểm tra quy tắc biến đổi định dạng dữ liệu về " &amp;C449&amp; ". Hệ thống ghi nhận quy tắc được thiết lập.
2. " &amp;D449&amp;" có thể cấu hình biến đổi gộp hoặc tách cột dữ liệu về "&amp;C449&amp;". Hệ thống ghi nhận quy tắc được thiết lập.
3. " &amp;D449&amp;" có thể cấu hình phân loại, gán nhãn dữ liệu về "&amp;C449&amp;". Hệ thống ghi nhận quy tắc được thiết lập."</f>
        <v>1. Quản trị hệ thống thực hiện cấu hình kiểm tra quy tắc biến đổi định dạng dữ liệu về Kết quả hoạt động công chứng. Hệ thống ghi nhận quy tắc được thiết lập.
2. Quản trị hệ thống có thể cấu hình biến đổi gộp hoặc tách cột dữ liệu về Kết quả hoạt động công chứng. Hệ thống ghi nhận quy tắc được thiết lập.
3. Quản trị hệ thống có thể cấu hình phân loại, gán nhãn dữ liệu về Kết quả hoạt động công chứng. Hệ thống ghi nhận quy tắc được thiết lập.</v>
      </c>
      <c r="H449" s="36" t="s">
        <v>5</v>
      </c>
      <c r="I449" s="36" t="s">
        <v>6</v>
      </c>
    </row>
    <row r="450" spans="1:9" ht="132">
      <c r="A450" s="36">
        <f>COUNTA($D$4:D450)</f>
        <v>390</v>
      </c>
      <c r="B450" s="38" t="str">
        <f t="shared" ref="B450" si="97">"Thiết lập quy tắc làm sạch " &amp;C450</f>
        <v>Thiết lập quy tắc làm sạch Quản tài viên</v>
      </c>
      <c r="C450" s="50" t="s">
        <v>137</v>
      </c>
      <c r="D450" s="34" t="s">
        <v>28</v>
      </c>
      <c r="E450" s="35"/>
      <c r="F450" s="38"/>
      <c r="G450" s="38" t="str">
        <f>"1. "&amp;D450&amp; " thực hiện cấu hình kiểm tra quy tắc về chuẩn định dạng " &amp;C450&amp; ". Hệ thống ghi nhận quy tắc được thiết lập.
2. " &amp;D450&amp;" có thể cấu hình kiểm tra tính hợp lệ của dữ liệu về "&amp;C450&amp;". Hệ thống ghi nhận quy tắc được thiết lập.
3. " &amp;D450&amp;" có thể cấu hình xử lý giá trị thiếu dữ liệu về "&amp;C450&amp;". Hệ thống ghi nhận quy tắc được thiết lập.
4. " &amp;D450&amp;" có thể cấu hình xử lý loại bỏ hoặc thay thế giá trị ngoại lệ về "&amp;C450&amp;". Hệ thống ghi nhận quy tắc được thiết lập"</f>
        <v>1. Quản trị hệ thống thực hiện cấu hình kiểm tra quy tắc về chuẩn định dạng Quản tài viên. Hệ thống ghi nhận quy tắc được thiết lập.
2. Quản trị hệ thống có thể cấu hình kiểm tra tính hợp lệ của dữ liệu về Quản tài viên. Hệ thống ghi nhận quy tắc được thiết lập.
3. Quản trị hệ thống có thể cấu hình xử lý giá trị thiếu dữ liệu về Quản tài viên. Hệ thống ghi nhận quy tắc được thiết lập.
4. Quản trị hệ thống có thể cấu hình xử lý loại bỏ hoặc thay thế giá trị ngoại lệ về Quản tài viên. Hệ thống ghi nhận quy tắc được thiết lập</v>
      </c>
      <c r="H450" s="36" t="s">
        <v>5</v>
      </c>
      <c r="I450" s="36" t="s">
        <v>7</v>
      </c>
    </row>
    <row r="451" spans="1:9" ht="99">
      <c r="A451" s="36">
        <f>COUNTA($D$4:D451)</f>
        <v>391</v>
      </c>
      <c r="B451" s="38" t="str">
        <f>"Thiết lập quy tắc chuẩn hóa " &amp;C451</f>
        <v>Thiết lập quy tắc chuẩn hóa Quản tài viên</v>
      </c>
      <c r="C451" s="50" t="s">
        <v>137</v>
      </c>
      <c r="D451" s="34" t="s">
        <v>28</v>
      </c>
      <c r="E451" s="35"/>
      <c r="F451" s="38"/>
      <c r="G451" s="38" t="str">
        <f>"1. "&amp;D451&amp; " thực hiện cấu hình kiểm tra đối sánh tồn tại dựa trên trường khóa của " &amp;C451&amp; ". Hệ thống ghi nhận quy tắc được thiết lập.
2. " &amp;D451&amp;" có thể cấu hình xử lý trùng lặp về "&amp;C451&amp;". Hệ thống ghi nhận quy tắc được thiết lập.
3. " &amp;D451&amp;" có thể cấu hình xử lý vi phạm về ràng buộc thuộc tính tham chiếu "&amp;C451&amp;". Hệ thống ghi nhận quy tắc được thiết lập."</f>
        <v>1. Quản trị hệ thống thực hiện cấu hình kiểm tra đối sánh tồn tại dựa trên trường khóa của Quản tài viên. Hệ thống ghi nhận quy tắc được thiết lập.
2. Quản trị hệ thống có thể cấu hình xử lý trùng lặp về Quản tài viên. Hệ thống ghi nhận quy tắc được thiết lập.
3. Quản trị hệ thống có thể cấu hình xử lý vi phạm về ràng buộc thuộc tính tham chiếu Quản tài viên. Hệ thống ghi nhận quy tắc được thiết lập.</v>
      </c>
      <c r="H451" s="36" t="s">
        <v>5</v>
      </c>
      <c r="I451" s="36" t="s">
        <v>6</v>
      </c>
    </row>
    <row r="452" spans="1:9" ht="99">
      <c r="A452" s="36">
        <f>COUNTA($D$4:D452)</f>
        <v>392</v>
      </c>
      <c r="B452" s="38" t="str">
        <f>"Thiết lập quy tắc biến đổi " &amp;C452</f>
        <v>Thiết lập quy tắc biến đổi Quản tài viên</v>
      </c>
      <c r="C452" s="50" t="s">
        <v>137</v>
      </c>
      <c r="D452" s="34" t="s">
        <v>28</v>
      </c>
      <c r="E452" s="35"/>
      <c r="F452" s="38"/>
      <c r="G452" s="38" t="str">
        <f>"1. "&amp;D452&amp; " thực hiện cấu hình kiểm tra quy tắc biến đổi định dạng dữ liệu về " &amp;C452&amp; ". Hệ thống ghi nhận quy tắc được thiết lập.
2. " &amp;D452&amp;" có thể cấu hình biến đổi gộp hoặc tách cột dữ liệu về "&amp;C452&amp;". Hệ thống ghi nhận quy tắc được thiết lập.
3. " &amp;D452&amp;" có thể cấu hình phân loại, gán nhãn dữ liệu về "&amp;C452&amp;". Hệ thống ghi nhận quy tắc được thiết lập."</f>
        <v>1. Quản trị hệ thống thực hiện cấu hình kiểm tra quy tắc biến đổi định dạng dữ liệu về Quản tài viên. Hệ thống ghi nhận quy tắc được thiết lập.
2. Quản trị hệ thống có thể cấu hình biến đổi gộp hoặc tách cột dữ liệu về Quản tài viên. Hệ thống ghi nhận quy tắc được thiết lập.
3. Quản trị hệ thống có thể cấu hình phân loại, gán nhãn dữ liệu về Quản tài viên. Hệ thống ghi nhận quy tắc được thiết lập.</v>
      </c>
      <c r="H452" s="36" t="s">
        <v>5</v>
      </c>
      <c r="I452" s="36" t="s">
        <v>6</v>
      </c>
    </row>
    <row r="453" spans="1:9" ht="132">
      <c r="A453" s="36">
        <f>COUNTA($D$4:D453)</f>
        <v>393</v>
      </c>
      <c r="B453" s="38" t="str">
        <f t="shared" ref="B453" si="98">"Thiết lập quy tắc làm sạch " &amp;C453</f>
        <v>Thiết lập quy tắc làm sạch Doanh nghiệp quản lý, thanh lý tài sản</v>
      </c>
      <c r="C453" s="38" t="s">
        <v>138</v>
      </c>
      <c r="D453" s="34" t="s">
        <v>28</v>
      </c>
      <c r="E453" s="35"/>
      <c r="F453" s="38"/>
      <c r="G453" s="38" t="str">
        <f>"1. "&amp;D453&amp; " thực hiện cấu hình kiểm tra quy tắc về chuẩn định dạng " &amp;C453&amp; ". Hệ thống ghi nhận quy tắc được thiết lập.
2. " &amp;D453&amp;" có thể cấu hình kiểm tra tính hợp lệ của dữ liệu về "&amp;C453&amp;". Hệ thống ghi nhận quy tắc được thiết lập.
3. " &amp;D453&amp;" có thể cấu hình xử lý giá trị thiếu dữ liệu về "&amp;C453&amp;". Hệ thống ghi nhận quy tắc được thiết lập.
4. " &amp;D453&amp;" có thể cấu hình xử lý loại bỏ hoặc thay thế giá trị ngoại lệ về "&amp;C453&amp;". Hệ thống ghi nhận quy tắc được thiết lập"</f>
        <v>1. Quản trị hệ thống thực hiện cấu hình kiểm tra quy tắc về chuẩn định dạng Doanh nghiệp quản lý, thanh lý tài sản. Hệ thống ghi nhận quy tắc được thiết lập.
2. Quản trị hệ thống có thể cấu hình kiểm tra tính hợp lệ của dữ liệu về Doanh nghiệp quản lý, thanh lý tài sản. Hệ thống ghi nhận quy tắc được thiết lập.
3. Quản trị hệ thống có thể cấu hình xử lý giá trị thiếu dữ liệu về Doanh nghiệp quản lý, thanh lý tài sản. Hệ thống ghi nhận quy tắc được thiết lập.
4. Quản trị hệ thống có thể cấu hình xử lý loại bỏ hoặc thay thế giá trị ngoại lệ về Doanh nghiệp quản lý, thanh lý tài sản. Hệ thống ghi nhận quy tắc được thiết lập</v>
      </c>
      <c r="H453" s="36" t="s">
        <v>5</v>
      </c>
      <c r="I453" s="36" t="s">
        <v>7</v>
      </c>
    </row>
    <row r="454" spans="1:9" ht="132">
      <c r="A454" s="36">
        <f>COUNTA($D$4:D454)</f>
        <v>394</v>
      </c>
      <c r="B454" s="38" t="str">
        <f>"Thiết lập quy tắc chuẩn hóa " &amp;C454</f>
        <v>Thiết lập quy tắc chuẩn hóa Doanh nghiệp quản lý, thanh lý tài sản</v>
      </c>
      <c r="C454" s="38" t="s">
        <v>138</v>
      </c>
      <c r="D454" s="34" t="s">
        <v>28</v>
      </c>
      <c r="E454" s="35"/>
      <c r="F454" s="38"/>
      <c r="G454" s="38" t="str">
        <f>"1. "&amp;D454&amp; " thực hiện cấu hình kiểm tra đối sánh tồn tại dựa trên trường khóa của " &amp;C454&amp; ". Hệ thống ghi nhận quy tắc được thiết lập.
2. " &amp;D454&amp;" có thể cấu hình xử lý trùng lặp về "&amp;C454&amp;". Hệ thống ghi nhận quy tắc được thiết lập.
3. " &amp;D454&amp;" có thể cấu hình xử lý vi phạm về ràng buộc thuộc tính tham chiếu "&amp;C454&amp;". Hệ thống ghi nhận quy tắc được thiết lập."</f>
        <v>1. Quản trị hệ thống thực hiện cấu hình kiểm tra đối sánh tồn tại dựa trên trường khóa của Doanh nghiệp quản lý, thanh lý tài sản. Hệ thống ghi nhận quy tắc được thiết lập.
2. Quản trị hệ thống có thể cấu hình xử lý trùng lặp về Doanh nghiệp quản lý, thanh lý tài sản. Hệ thống ghi nhận quy tắc được thiết lập.
3. Quản trị hệ thống có thể cấu hình xử lý vi phạm về ràng buộc thuộc tính tham chiếu Doanh nghiệp quản lý, thanh lý tài sản. Hệ thống ghi nhận quy tắc được thiết lập.</v>
      </c>
      <c r="H454" s="36" t="s">
        <v>5</v>
      </c>
      <c r="I454" s="36" t="s">
        <v>6</v>
      </c>
    </row>
    <row r="455" spans="1:9" ht="99">
      <c r="A455" s="36">
        <f>COUNTA($D$4:D455)</f>
        <v>395</v>
      </c>
      <c r="B455" s="38" t="str">
        <f>"Thiết lập quy tắc biến đổi " &amp;C455</f>
        <v>Thiết lập quy tắc biến đổi Doanh nghiệp quản lý, thanh lý tài sản</v>
      </c>
      <c r="C455" s="38" t="s">
        <v>138</v>
      </c>
      <c r="D455" s="34" t="s">
        <v>28</v>
      </c>
      <c r="E455" s="35"/>
      <c r="F455" s="38"/>
      <c r="G455" s="38" t="str">
        <f>"1. "&amp;D455&amp; " thực hiện cấu hình kiểm tra quy tắc biến đổi định dạng dữ liệu về " &amp;C455&amp; ". Hệ thống ghi nhận quy tắc được thiết lập.
2. " &amp;D455&amp;" có thể cấu hình biến đổi gộp hoặc tách cột dữ liệu về "&amp;C455&amp;". Hệ thống ghi nhận quy tắc được thiết lập.
3. " &amp;D455&amp;" có thể cấu hình phân loại, gán nhãn dữ liệu về "&amp;C455&amp;". Hệ thống ghi nhận quy tắc được thiết lập."</f>
        <v>1. Quản trị hệ thống thực hiện cấu hình kiểm tra quy tắc biến đổi định dạng dữ liệu về Doanh nghiệp quản lý, thanh lý tài sản. Hệ thống ghi nhận quy tắc được thiết lập.
2. Quản trị hệ thống có thể cấu hình biến đổi gộp hoặc tách cột dữ liệu về Doanh nghiệp quản lý, thanh lý tài sản. Hệ thống ghi nhận quy tắc được thiết lập.
3. Quản trị hệ thống có thể cấu hình phân loại, gán nhãn dữ liệu về Doanh nghiệp quản lý, thanh lý tài sản. Hệ thống ghi nhận quy tắc được thiết lập.</v>
      </c>
      <c r="H455" s="36" t="s">
        <v>5</v>
      </c>
      <c r="I455" s="36" t="s">
        <v>6</v>
      </c>
    </row>
    <row r="456" spans="1:9" ht="132">
      <c r="A456" s="36">
        <f>COUNTA($D$4:D456)</f>
        <v>396</v>
      </c>
      <c r="B456" s="38" t="str">
        <f t="shared" ref="B456" si="99">"Thiết lập quy tắc làm sạch " &amp;C456</f>
        <v>Thiết lập quy tắc làm sạch Luật sư Việt Nam</v>
      </c>
      <c r="C456" s="38" t="s">
        <v>139</v>
      </c>
      <c r="D456" s="34" t="s">
        <v>28</v>
      </c>
      <c r="E456" s="35"/>
      <c r="F456" s="38"/>
      <c r="G456" s="38" t="str">
        <f>"1. "&amp;D456&amp; " thực hiện cấu hình kiểm tra quy tắc về chuẩn định dạng " &amp;C456&amp; ". Hệ thống ghi nhận quy tắc được thiết lập.
2. " &amp;D456&amp;" có thể cấu hình kiểm tra tính hợp lệ của dữ liệu về "&amp;C456&amp;". Hệ thống ghi nhận quy tắc được thiết lập.
3. " &amp;D456&amp;" có thể cấu hình xử lý giá trị thiếu dữ liệu về "&amp;C456&amp;". Hệ thống ghi nhận quy tắc được thiết lập.
4. " &amp;D456&amp;" có thể cấu hình xử lý loại bỏ hoặc thay thế giá trị ngoại lệ về "&amp;C456&amp;". Hệ thống ghi nhận quy tắc được thiết lập"</f>
        <v>1. Quản trị hệ thống thực hiện cấu hình kiểm tra quy tắc về chuẩn định dạng Luật sư Việt Nam. Hệ thống ghi nhận quy tắc được thiết lập.
2. Quản trị hệ thống có thể cấu hình kiểm tra tính hợp lệ của dữ liệu về Luật sư Việt Nam. Hệ thống ghi nhận quy tắc được thiết lập.
3. Quản trị hệ thống có thể cấu hình xử lý giá trị thiếu dữ liệu về Luật sư Việt Nam. Hệ thống ghi nhận quy tắc được thiết lập.
4. Quản trị hệ thống có thể cấu hình xử lý loại bỏ hoặc thay thế giá trị ngoại lệ về Luật sư Việt Nam. Hệ thống ghi nhận quy tắc được thiết lập</v>
      </c>
      <c r="H456" s="36" t="s">
        <v>5</v>
      </c>
      <c r="I456" s="36" t="s">
        <v>7</v>
      </c>
    </row>
    <row r="457" spans="1:9" ht="99">
      <c r="A457" s="36">
        <f>COUNTA($D$4:D457)</f>
        <v>397</v>
      </c>
      <c r="B457" s="38" t="str">
        <f>"Thiết lập quy tắc chuẩn hóa " &amp;C457</f>
        <v>Thiết lập quy tắc chuẩn hóa Luật sư Việt Nam</v>
      </c>
      <c r="C457" s="38" t="s">
        <v>139</v>
      </c>
      <c r="D457" s="34" t="s">
        <v>28</v>
      </c>
      <c r="E457" s="35"/>
      <c r="F457" s="38"/>
      <c r="G457" s="38" t="str">
        <f>"1. "&amp;D457&amp; " thực hiện cấu hình kiểm tra đối sánh tồn tại dựa trên trường khóa của " &amp;C457&amp; ". Hệ thống ghi nhận quy tắc được thiết lập.
2. " &amp;D457&amp;" có thể cấu hình xử lý trùng lặp về "&amp;C457&amp;". Hệ thống ghi nhận quy tắc được thiết lập.
3. " &amp;D457&amp;" có thể cấu hình xử lý vi phạm về ràng buộc thuộc tính tham chiếu "&amp;C457&amp;". Hệ thống ghi nhận quy tắc được thiết lập."</f>
        <v>1. Quản trị hệ thống thực hiện cấu hình kiểm tra đối sánh tồn tại dựa trên trường khóa của Luật sư Việt Nam. Hệ thống ghi nhận quy tắc được thiết lập.
2. Quản trị hệ thống có thể cấu hình xử lý trùng lặp về Luật sư Việt Nam. Hệ thống ghi nhận quy tắc được thiết lập.
3. Quản trị hệ thống có thể cấu hình xử lý vi phạm về ràng buộc thuộc tính tham chiếu Luật sư Việt Nam. Hệ thống ghi nhận quy tắc được thiết lập.</v>
      </c>
      <c r="H457" s="36" t="s">
        <v>5</v>
      </c>
      <c r="I457" s="36" t="s">
        <v>6</v>
      </c>
    </row>
    <row r="458" spans="1:9" ht="99">
      <c r="A458" s="36">
        <f>COUNTA($D$4:D458)</f>
        <v>398</v>
      </c>
      <c r="B458" s="38" t="str">
        <f>"Thiết lập quy tắc biến đổi " &amp;C458</f>
        <v>Thiết lập quy tắc biến đổi Luật sư Việt Nam</v>
      </c>
      <c r="C458" s="38" t="s">
        <v>139</v>
      </c>
      <c r="D458" s="34" t="s">
        <v>28</v>
      </c>
      <c r="E458" s="35"/>
      <c r="F458" s="38"/>
      <c r="G458" s="38" t="str">
        <f>"1. "&amp;D458&amp; " thực hiện cấu hình kiểm tra quy tắc biến đổi định dạng dữ liệu về " &amp;C458&amp; ". Hệ thống ghi nhận quy tắc được thiết lập.
2. " &amp;D458&amp;" có thể cấu hình biến đổi gộp hoặc tách cột dữ liệu về "&amp;C458&amp;". Hệ thống ghi nhận quy tắc được thiết lập.
3. " &amp;D458&amp;" có thể cấu hình phân loại, gán nhãn dữ liệu về "&amp;C458&amp;". Hệ thống ghi nhận quy tắc được thiết lập."</f>
        <v>1. Quản trị hệ thống thực hiện cấu hình kiểm tra quy tắc biến đổi định dạng dữ liệu về Luật sư Việt Nam. Hệ thống ghi nhận quy tắc được thiết lập.
2. Quản trị hệ thống có thể cấu hình biến đổi gộp hoặc tách cột dữ liệu về Luật sư Việt Nam. Hệ thống ghi nhận quy tắc được thiết lập.
3. Quản trị hệ thống có thể cấu hình phân loại, gán nhãn dữ liệu về Luật sư Việt Nam. Hệ thống ghi nhận quy tắc được thiết lập.</v>
      </c>
      <c r="H458" s="36" t="s">
        <v>5</v>
      </c>
      <c r="I458" s="36" t="s">
        <v>6</v>
      </c>
    </row>
    <row r="459" spans="1:9" ht="148.5">
      <c r="A459" s="36">
        <f>COUNTA($D$4:D459)</f>
        <v>399</v>
      </c>
      <c r="B459" s="38" t="str">
        <f t="shared" ref="B459" si="100">"Thiết lập quy tắc làm sạch " &amp;C459</f>
        <v>Thiết lập quy tắc làm sạch Người được cấp chứng chỉ hành nghề luật sư</v>
      </c>
      <c r="C459" s="38" t="s">
        <v>140</v>
      </c>
      <c r="D459" s="34" t="s">
        <v>28</v>
      </c>
      <c r="E459" s="35"/>
      <c r="F459" s="38"/>
      <c r="G459" s="38" t="str">
        <f>"1. "&amp;D459&amp; " thực hiện cấu hình kiểm tra quy tắc về chuẩn định dạng " &amp;C459&amp; ". Hệ thống ghi nhận quy tắc được thiết lập.
2. " &amp;D459&amp;" có thể cấu hình kiểm tra tính hợp lệ của dữ liệu về "&amp;C459&amp;". Hệ thống ghi nhận quy tắc được thiết lập.
3. " &amp;D459&amp;" có thể cấu hình xử lý giá trị thiếu dữ liệu về "&amp;C459&amp;". Hệ thống ghi nhận quy tắc được thiết lập.
4. " &amp;D459&amp;" có thể cấu hình xử lý loại bỏ hoặc thay thế giá trị ngoại lệ về "&amp;C459&amp;". Hệ thống ghi nhận quy tắc được thiết lập"</f>
        <v>1. Quản trị hệ thống thực hiện cấu hình kiểm tra quy tắc về chuẩn định dạng Người được cấp chứng chỉ hành nghề luật sư. Hệ thống ghi nhận quy tắc được thiết lập.
2. Quản trị hệ thống có thể cấu hình kiểm tra tính hợp lệ của dữ liệu về Người được cấp chứng chỉ hành nghề luật sư. Hệ thống ghi nhận quy tắc được thiết lập.
3. Quản trị hệ thống có thể cấu hình xử lý giá trị thiếu dữ liệu về Người được cấp chứng chỉ hành nghề luật sư. Hệ thống ghi nhận quy tắc được thiết lập.
4. Quản trị hệ thống có thể cấu hình xử lý loại bỏ hoặc thay thế giá trị ngoại lệ về Người được cấp chứng chỉ hành nghề luật sư. Hệ thống ghi nhận quy tắc được thiết lập</v>
      </c>
      <c r="H459" s="36" t="s">
        <v>5</v>
      </c>
      <c r="I459" s="36" t="s">
        <v>7</v>
      </c>
    </row>
    <row r="460" spans="1:9" ht="132">
      <c r="A460" s="36">
        <f>COUNTA($D$4:D460)</f>
        <v>400</v>
      </c>
      <c r="B460" s="38" t="str">
        <f>"Thiết lập quy tắc chuẩn hóa " &amp;C460</f>
        <v>Thiết lập quy tắc chuẩn hóa Người được cấp chứng chỉ hành nghề luật sư</v>
      </c>
      <c r="C460" s="38" t="s">
        <v>140</v>
      </c>
      <c r="D460" s="34" t="s">
        <v>28</v>
      </c>
      <c r="E460" s="35"/>
      <c r="F460" s="38"/>
      <c r="G460" s="38" t="str">
        <f>"1. "&amp;D460&amp; " thực hiện cấu hình kiểm tra đối sánh tồn tại dựa trên trường khóa của " &amp;C460&amp; ". Hệ thống ghi nhận quy tắc được thiết lập.
2. " &amp;D460&amp;" có thể cấu hình xử lý trùng lặp về "&amp;C460&amp;". Hệ thống ghi nhận quy tắc được thiết lập.
3. " &amp;D460&amp;" có thể cấu hình xử lý vi phạm về ràng buộc thuộc tính tham chiếu "&amp;C460&amp;". Hệ thống ghi nhận quy tắc được thiết lập."</f>
        <v>1. Quản trị hệ thống thực hiện cấu hình kiểm tra đối sánh tồn tại dựa trên trường khóa của Người được cấp chứng chỉ hành nghề luật sư. Hệ thống ghi nhận quy tắc được thiết lập.
2. Quản trị hệ thống có thể cấu hình xử lý trùng lặp về Người được cấp chứng chỉ hành nghề luật sư. Hệ thống ghi nhận quy tắc được thiết lập.
3. Quản trị hệ thống có thể cấu hình xử lý vi phạm về ràng buộc thuộc tính tham chiếu Người được cấp chứng chỉ hành nghề luật sư. Hệ thống ghi nhận quy tắc được thiết lập.</v>
      </c>
      <c r="H460" s="36" t="s">
        <v>5</v>
      </c>
      <c r="I460" s="36" t="s">
        <v>6</v>
      </c>
    </row>
    <row r="461" spans="1:9" ht="115.5">
      <c r="A461" s="36">
        <f>COUNTA($D$4:D461)</f>
        <v>401</v>
      </c>
      <c r="B461" s="38" t="str">
        <f>"Thiết lập quy tắc biến đổi " &amp;C461</f>
        <v>Thiết lập quy tắc biến đổi Người được cấp chứng chỉ hành nghề luật sư</v>
      </c>
      <c r="C461" s="38" t="s">
        <v>140</v>
      </c>
      <c r="D461" s="34" t="s">
        <v>28</v>
      </c>
      <c r="E461" s="35"/>
      <c r="F461" s="38"/>
      <c r="G461" s="38" t="str">
        <f>"1. "&amp;D461&amp; " thực hiện cấu hình kiểm tra quy tắc biến đổi định dạng dữ liệu về " &amp;C461&amp; ". Hệ thống ghi nhận quy tắc được thiết lập.
2. " &amp;D461&amp;" có thể cấu hình biến đổi gộp hoặc tách cột dữ liệu về "&amp;C461&amp;". Hệ thống ghi nhận quy tắc được thiết lập.
3. " &amp;D461&amp;" có thể cấu hình phân loại, gán nhãn dữ liệu về "&amp;C461&amp;". Hệ thống ghi nhận quy tắc được thiết lập."</f>
        <v>1. Quản trị hệ thống thực hiện cấu hình kiểm tra quy tắc biến đổi định dạng dữ liệu về Người được cấp chứng chỉ hành nghề luật sư. Hệ thống ghi nhận quy tắc được thiết lập.
2. Quản trị hệ thống có thể cấu hình biến đổi gộp hoặc tách cột dữ liệu về Người được cấp chứng chỉ hành nghề luật sư. Hệ thống ghi nhận quy tắc được thiết lập.
3. Quản trị hệ thống có thể cấu hình phân loại, gán nhãn dữ liệu về Người được cấp chứng chỉ hành nghề luật sư. Hệ thống ghi nhận quy tắc được thiết lập.</v>
      </c>
      <c r="H461" s="36" t="s">
        <v>5</v>
      </c>
      <c r="I461" s="36" t="s">
        <v>6</v>
      </c>
    </row>
    <row r="462" spans="1:9" ht="132">
      <c r="A462" s="36">
        <f>COUNTA($D$4:D462)</f>
        <v>402</v>
      </c>
      <c r="B462" s="38" t="str">
        <f t="shared" ref="B462" si="101">"Thiết lập quy tắc làm sạch " &amp;C462</f>
        <v>Thiết lập quy tắc làm sạch Tổ chức hành nghề luật sư Việt Nam</v>
      </c>
      <c r="C462" s="38" t="s">
        <v>141</v>
      </c>
      <c r="D462" s="34" t="s">
        <v>28</v>
      </c>
      <c r="E462" s="35"/>
      <c r="F462" s="38"/>
      <c r="G462" s="38" t="str">
        <f>"1. "&amp;D462&amp; " thực hiện cấu hình kiểm tra quy tắc về chuẩn định dạng " &amp;C462&amp; ". Hệ thống ghi nhận quy tắc được thiết lập.
2. " &amp;D462&amp;" có thể cấu hình kiểm tra tính hợp lệ của dữ liệu về "&amp;C462&amp;". Hệ thống ghi nhận quy tắc được thiết lập.
3. " &amp;D462&amp;" có thể cấu hình xử lý giá trị thiếu dữ liệu về "&amp;C462&amp;". Hệ thống ghi nhận quy tắc được thiết lập.
4. " &amp;D462&amp;" có thể cấu hình xử lý loại bỏ hoặc thay thế giá trị ngoại lệ về "&amp;C462&amp;". Hệ thống ghi nhận quy tắc được thiết lập"</f>
        <v>1. Quản trị hệ thống thực hiện cấu hình kiểm tra quy tắc về chuẩn định dạng Tổ chức hành nghề luật sư Việt Nam. Hệ thống ghi nhận quy tắc được thiết lập.
2. Quản trị hệ thống có thể cấu hình kiểm tra tính hợp lệ của dữ liệu về Tổ chức hành nghề luật sư Việt Nam. Hệ thống ghi nhận quy tắc được thiết lập.
3. Quản trị hệ thống có thể cấu hình xử lý giá trị thiếu dữ liệu về Tổ chức hành nghề luật sư Việt Nam. Hệ thống ghi nhận quy tắc được thiết lập.
4. Quản trị hệ thống có thể cấu hình xử lý loại bỏ hoặc thay thế giá trị ngoại lệ về Tổ chức hành nghề luật sư Việt Nam. Hệ thống ghi nhận quy tắc được thiết lập</v>
      </c>
      <c r="H462" s="36" t="s">
        <v>5</v>
      </c>
      <c r="I462" s="36" t="s">
        <v>7</v>
      </c>
    </row>
    <row r="463" spans="1:9" ht="115.5">
      <c r="A463" s="36">
        <f>COUNTA($D$4:D463)</f>
        <v>403</v>
      </c>
      <c r="B463" s="38" t="str">
        <f>"Thiết lập quy tắc chuẩn hóa " &amp;C463</f>
        <v>Thiết lập quy tắc chuẩn hóa Tổ chức hành nghề luật sư Việt Nam</v>
      </c>
      <c r="C463" s="38" t="s">
        <v>141</v>
      </c>
      <c r="D463" s="34" t="s">
        <v>28</v>
      </c>
      <c r="E463" s="35"/>
      <c r="F463" s="38"/>
      <c r="G463" s="38" t="str">
        <f>"1. "&amp;D463&amp; " thực hiện cấu hình kiểm tra đối sánh tồn tại dựa trên trường khóa của " &amp;C463&amp; ". Hệ thống ghi nhận quy tắc được thiết lập.
2. " &amp;D463&amp;" có thể cấu hình xử lý trùng lặp về "&amp;C463&amp;". Hệ thống ghi nhận quy tắc được thiết lập.
3. " &amp;D463&amp;" có thể cấu hình xử lý vi phạm về ràng buộc thuộc tính tham chiếu "&amp;C463&amp;". Hệ thống ghi nhận quy tắc được thiết lập."</f>
        <v>1. Quản trị hệ thống thực hiện cấu hình kiểm tra đối sánh tồn tại dựa trên trường khóa của Tổ chức hành nghề luật sư Việt Nam. Hệ thống ghi nhận quy tắc được thiết lập.
2. Quản trị hệ thống có thể cấu hình xử lý trùng lặp về Tổ chức hành nghề luật sư Việt Nam. Hệ thống ghi nhận quy tắc được thiết lập.
3. Quản trị hệ thống có thể cấu hình xử lý vi phạm về ràng buộc thuộc tính tham chiếu Tổ chức hành nghề luật sư Việt Nam. Hệ thống ghi nhận quy tắc được thiết lập.</v>
      </c>
      <c r="H463" s="36" t="s">
        <v>5</v>
      </c>
      <c r="I463" s="36" t="s">
        <v>6</v>
      </c>
    </row>
    <row r="464" spans="1:9" ht="99">
      <c r="A464" s="36">
        <f>COUNTA($D$4:D464)</f>
        <v>404</v>
      </c>
      <c r="B464" s="38" t="str">
        <f>"Thiết lập quy tắc biến đổi " &amp;C464</f>
        <v>Thiết lập quy tắc biến đổi Tổ chức hành nghề luật sư Việt Nam</v>
      </c>
      <c r="C464" s="38" t="s">
        <v>141</v>
      </c>
      <c r="D464" s="34" t="s">
        <v>28</v>
      </c>
      <c r="E464" s="35"/>
      <c r="F464" s="38"/>
      <c r="G464" s="38" t="str">
        <f>"1. "&amp;D464&amp; " thực hiện cấu hình kiểm tra quy tắc biến đổi định dạng dữ liệu về " &amp;C464&amp; ". Hệ thống ghi nhận quy tắc được thiết lập.
2. " &amp;D464&amp;" có thể cấu hình biến đổi gộp hoặc tách cột dữ liệu về "&amp;C464&amp;". Hệ thống ghi nhận quy tắc được thiết lập.
3. " &amp;D464&amp;" có thể cấu hình phân loại, gán nhãn dữ liệu về "&amp;C464&amp;". Hệ thống ghi nhận quy tắc được thiết lập."</f>
        <v>1. Quản trị hệ thống thực hiện cấu hình kiểm tra quy tắc biến đổi định dạng dữ liệu về Tổ chức hành nghề luật sư Việt Nam. Hệ thống ghi nhận quy tắc được thiết lập.
2. Quản trị hệ thống có thể cấu hình biến đổi gộp hoặc tách cột dữ liệu về Tổ chức hành nghề luật sư Việt Nam. Hệ thống ghi nhận quy tắc được thiết lập.
3. Quản trị hệ thống có thể cấu hình phân loại, gán nhãn dữ liệu về Tổ chức hành nghề luật sư Việt Nam. Hệ thống ghi nhận quy tắc được thiết lập.</v>
      </c>
      <c r="H464" s="36" t="s">
        <v>5</v>
      </c>
      <c r="I464" s="36" t="s">
        <v>6</v>
      </c>
    </row>
    <row r="465" spans="1:9" ht="132">
      <c r="A465" s="36">
        <f>COUNTA($D$4:D465)</f>
        <v>405</v>
      </c>
      <c r="B465" s="38" t="str">
        <f t="shared" ref="B465" si="102">"Thiết lập quy tắc làm sạch " &amp;C465</f>
        <v>Thiết lập quy tắc làm sạch Luật sư nước ngoài</v>
      </c>
      <c r="C465" s="38" t="s">
        <v>142</v>
      </c>
      <c r="D465" s="34" t="s">
        <v>28</v>
      </c>
      <c r="E465" s="35"/>
      <c r="F465" s="38"/>
      <c r="G465" s="38" t="str">
        <f>"1. "&amp;D465&amp; " thực hiện cấu hình kiểm tra quy tắc về chuẩn định dạng " &amp;C465&amp; ". Hệ thống ghi nhận quy tắc được thiết lập.
2. " &amp;D465&amp;" có thể cấu hình kiểm tra tính hợp lệ của dữ liệu về "&amp;C465&amp;". Hệ thống ghi nhận quy tắc được thiết lập.
3. " &amp;D465&amp;" có thể cấu hình xử lý giá trị thiếu dữ liệu về "&amp;C465&amp;". Hệ thống ghi nhận quy tắc được thiết lập.
4. " &amp;D465&amp;" có thể cấu hình xử lý loại bỏ hoặc thay thế giá trị ngoại lệ về "&amp;C465&amp;". Hệ thống ghi nhận quy tắc được thiết lập"</f>
        <v>1. Quản trị hệ thống thực hiện cấu hình kiểm tra quy tắc về chuẩn định dạng Luật sư nước ngoài. Hệ thống ghi nhận quy tắc được thiết lập.
2. Quản trị hệ thống có thể cấu hình kiểm tra tính hợp lệ của dữ liệu về Luật sư nước ngoài. Hệ thống ghi nhận quy tắc được thiết lập.
3. Quản trị hệ thống có thể cấu hình xử lý giá trị thiếu dữ liệu về Luật sư nước ngoài. Hệ thống ghi nhận quy tắc được thiết lập.
4. Quản trị hệ thống có thể cấu hình xử lý loại bỏ hoặc thay thế giá trị ngoại lệ về Luật sư nước ngoài. Hệ thống ghi nhận quy tắc được thiết lập</v>
      </c>
      <c r="H465" s="36" t="s">
        <v>5</v>
      </c>
      <c r="I465" s="36" t="s">
        <v>7</v>
      </c>
    </row>
    <row r="466" spans="1:9" ht="99">
      <c r="A466" s="36">
        <f>COUNTA($D$4:D466)</f>
        <v>406</v>
      </c>
      <c r="B466" s="38" t="str">
        <f>"Thiết lập quy tắc chuẩn hóa " &amp;C466</f>
        <v>Thiết lập quy tắc chuẩn hóa Luật sư nước ngoài</v>
      </c>
      <c r="C466" s="38" t="s">
        <v>142</v>
      </c>
      <c r="D466" s="34" t="s">
        <v>28</v>
      </c>
      <c r="E466" s="35"/>
      <c r="F466" s="38"/>
      <c r="G466" s="38" t="str">
        <f>"1. "&amp;D466&amp; " thực hiện cấu hình kiểm tra đối sánh tồn tại dựa trên trường khóa của " &amp;C466&amp; ". Hệ thống ghi nhận quy tắc được thiết lập.
2. " &amp;D466&amp;" có thể cấu hình xử lý trùng lặp về "&amp;C466&amp;". Hệ thống ghi nhận quy tắc được thiết lập.
3. " &amp;D466&amp;" có thể cấu hình xử lý vi phạm về ràng buộc thuộc tính tham chiếu "&amp;C466&amp;". Hệ thống ghi nhận quy tắc được thiết lập."</f>
        <v>1. Quản trị hệ thống thực hiện cấu hình kiểm tra đối sánh tồn tại dựa trên trường khóa của Luật sư nước ngoài. Hệ thống ghi nhận quy tắc được thiết lập.
2. Quản trị hệ thống có thể cấu hình xử lý trùng lặp về Luật sư nước ngoài. Hệ thống ghi nhận quy tắc được thiết lập.
3. Quản trị hệ thống có thể cấu hình xử lý vi phạm về ràng buộc thuộc tính tham chiếu Luật sư nước ngoài. Hệ thống ghi nhận quy tắc được thiết lập.</v>
      </c>
      <c r="H466" s="36" t="s">
        <v>5</v>
      </c>
      <c r="I466" s="36" t="s">
        <v>6</v>
      </c>
    </row>
    <row r="467" spans="1:9" ht="99">
      <c r="A467" s="36">
        <f>COUNTA($D$4:D467)</f>
        <v>407</v>
      </c>
      <c r="B467" s="38" t="str">
        <f>"Thiết lập quy tắc biến đổi " &amp;C467</f>
        <v>Thiết lập quy tắc biến đổi Luật sư nước ngoài</v>
      </c>
      <c r="C467" s="38" t="s">
        <v>142</v>
      </c>
      <c r="D467" s="34" t="s">
        <v>28</v>
      </c>
      <c r="E467" s="35"/>
      <c r="F467" s="38"/>
      <c r="G467" s="38" t="str">
        <f>"1. "&amp;D467&amp; " thực hiện cấu hình kiểm tra quy tắc biến đổi định dạng dữ liệu về " &amp;C467&amp; ". Hệ thống ghi nhận quy tắc được thiết lập.
2. " &amp;D467&amp;" có thể cấu hình biến đổi gộp hoặc tách cột dữ liệu về "&amp;C467&amp;". Hệ thống ghi nhận quy tắc được thiết lập.
3. " &amp;D467&amp;" có thể cấu hình phân loại, gán nhãn dữ liệu về "&amp;C467&amp;". Hệ thống ghi nhận quy tắc được thiết lập."</f>
        <v>1. Quản trị hệ thống thực hiện cấu hình kiểm tra quy tắc biến đổi định dạng dữ liệu về Luật sư nước ngoài. Hệ thống ghi nhận quy tắc được thiết lập.
2. Quản trị hệ thống có thể cấu hình biến đổi gộp hoặc tách cột dữ liệu về Luật sư nước ngoài. Hệ thống ghi nhận quy tắc được thiết lập.
3. Quản trị hệ thống có thể cấu hình phân loại, gán nhãn dữ liệu về Luật sư nước ngoài. Hệ thống ghi nhận quy tắc được thiết lập.</v>
      </c>
      <c r="H467" s="36" t="s">
        <v>5</v>
      </c>
      <c r="I467" s="36" t="s">
        <v>6</v>
      </c>
    </row>
    <row r="468" spans="1:9" ht="132">
      <c r="A468" s="36">
        <f>COUNTA($D$4:D468)</f>
        <v>408</v>
      </c>
      <c r="B468" s="38" t="str">
        <f t="shared" ref="B468" si="103">"Thiết lập quy tắc làm sạch " &amp;C468</f>
        <v>Thiết lập quy tắc làm sạch Tổ chức hành nghề luật sư nước ngoài</v>
      </c>
      <c r="C468" s="38" t="s">
        <v>143</v>
      </c>
      <c r="D468" s="34" t="s">
        <v>28</v>
      </c>
      <c r="E468" s="35"/>
      <c r="F468" s="38"/>
      <c r="G468" s="38" t="str">
        <f>"1. "&amp;D468&amp; " thực hiện cấu hình kiểm tra quy tắc về chuẩn định dạng " &amp;C468&amp; ". Hệ thống ghi nhận quy tắc được thiết lập.
2. " &amp;D468&amp;" có thể cấu hình kiểm tra tính hợp lệ của dữ liệu về "&amp;C468&amp;". Hệ thống ghi nhận quy tắc được thiết lập.
3. " &amp;D468&amp;" có thể cấu hình xử lý giá trị thiếu dữ liệu về "&amp;C468&amp;". Hệ thống ghi nhận quy tắc được thiết lập.
4. " &amp;D468&amp;" có thể cấu hình xử lý loại bỏ hoặc thay thế giá trị ngoại lệ về "&amp;C468&amp;". Hệ thống ghi nhận quy tắc được thiết lập"</f>
        <v>1. Quản trị hệ thống thực hiện cấu hình kiểm tra quy tắc về chuẩn định dạng Tổ chức hành nghề luật sư nước ngoài. Hệ thống ghi nhận quy tắc được thiết lập.
2. Quản trị hệ thống có thể cấu hình kiểm tra tính hợp lệ của dữ liệu về Tổ chức hành nghề luật sư nước ngoài. Hệ thống ghi nhận quy tắc được thiết lập.
3. Quản trị hệ thống có thể cấu hình xử lý giá trị thiếu dữ liệu về Tổ chức hành nghề luật sư nước ngoài. Hệ thống ghi nhận quy tắc được thiết lập.
4. Quản trị hệ thống có thể cấu hình xử lý loại bỏ hoặc thay thế giá trị ngoại lệ về Tổ chức hành nghề luật sư nước ngoài. Hệ thống ghi nhận quy tắc được thiết lập</v>
      </c>
      <c r="H468" s="36" t="s">
        <v>5</v>
      </c>
      <c r="I468" s="36" t="s">
        <v>7</v>
      </c>
    </row>
    <row r="469" spans="1:9" ht="132">
      <c r="A469" s="36">
        <f>COUNTA($D$4:D469)</f>
        <v>409</v>
      </c>
      <c r="B469" s="38" t="str">
        <f>"Thiết lập quy tắc chuẩn hóa " &amp;C469</f>
        <v>Thiết lập quy tắc chuẩn hóa Tổ chức hành nghề luật sư nước ngoài</v>
      </c>
      <c r="C469" s="38" t="s">
        <v>143</v>
      </c>
      <c r="D469" s="34" t="s">
        <v>28</v>
      </c>
      <c r="E469" s="35"/>
      <c r="F469" s="38"/>
      <c r="G469" s="38" t="str">
        <f>"1. "&amp;D469&amp; " thực hiện cấu hình kiểm tra đối sánh tồn tại dựa trên trường khóa của " &amp;C469&amp; ". Hệ thống ghi nhận quy tắc được thiết lập.
2. " &amp;D469&amp;" có thể cấu hình xử lý trùng lặp về "&amp;C469&amp;". Hệ thống ghi nhận quy tắc được thiết lập.
3. " &amp;D469&amp;" có thể cấu hình xử lý vi phạm về ràng buộc thuộc tính tham chiếu "&amp;C469&amp;". Hệ thống ghi nhận quy tắc được thiết lập."</f>
        <v>1. Quản trị hệ thống thực hiện cấu hình kiểm tra đối sánh tồn tại dựa trên trường khóa của Tổ chức hành nghề luật sư nước ngoài. Hệ thống ghi nhận quy tắc được thiết lập.
2. Quản trị hệ thống có thể cấu hình xử lý trùng lặp về Tổ chức hành nghề luật sư nước ngoài. Hệ thống ghi nhận quy tắc được thiết lập.
3. Quản trị hệ thống có thể cấu hình xử lý vi phạm về ràng buộc thuộc tính tham chiếu Tổ chức hành nghề luật sư nước ngoài. Hệ thống ghi nhận quy tắc được thiết lập.</v>
      </c>
      <c r="H469" s="36" t="s">
        <v>5</v>
      </c>
      <c r="I469" s="36" t="s">
        <v>6</v>
      </c>
    </row>
    <row r="470" spans="1:9" ht="99">
      <c r="A470" s="36">
        <f>COUNTA($D$4:D470)</f>
        <v>410</v>
      </c>
      <c r="B470" s="38" t="str">
        <f>"Thiết lập quy tắc biến đổi " &amp;C470</f>
        <v>Thiết lập quy tắc biến đổi Tổ chức hành nghề luật sư nước ngoài</v>
      </c>
      <c r="C470" s="38" t="s">
        <v>143</v>
      </c>
      <c r="D470" s="34" t="s">
        <v>28</v>
      </c>
      <c r="E470" s="35"/>
      <c r="F470" s="38"/>
      <c r="G470" s="38" t="str">
        <f>"1. "&amp;D470&amp; " thực hiện cấu hình kiểm tra quy tắc biến đổi định dạng dữ liệu về " &amp;C470&amp; ". Hệ thống ghi nhận quy tắc được thiết lập.
2. " &amp;D470&amp;" có thể cấu hình biến đổi gộp hoặc tách cột dữ liệu về "&amp;C470&amp;". Hệ thống ghi nhận quy tắc được thiết lập.
3. " &amp;D470&amp;" có thể cấu hình phân loại, gán nhãn dữ liệu về "&amp;C470&amp;". Hệ thống ghi nhận quy tắc được thiết lập."</f>
        <v>1. Quản trị hệ thống thực hiện cấu hình kiểm tra quy tắc biến đổi định dạng dữ liệu về Tổ chức hành nghề luật sư nước ngoài. Hệ thống ghi nhận quy tắc được thiết lập.
2. Quản trị hệ thống có thể cấu hình biến đổi gộp hoặc tách cột dữ liệu về Tổ chức hành nghề luật sư nước ngoài. Hệ thống ghi nhận quy tắc được thiết lập.
3. Quản trị hệ thống có thể cấu hình phân loại, gán nhãn dữ liệu về Tổ chức hành nghề luật sư nước ngoài. Hệ thống ghi nhận quy tắc được thiết lập.</v>
      </c>
      <c r="H470" s="36" t="s">
        <v>5</v>
      </c>
      <c r="I470" s="36" t="s">
        <v>6</v>
      </c>
    </row>
    <row r="471" spans="1:9" ht="132">
      <c r="A471" s="36">
        <f>COUNTA($D$4:D471)</f>
        <v>411</v>
      </c>
      <c r="B471" s="38" t="str">
        <f t="shared" ref="B471" si="104">"Thiết lập quy tắc làm sạch " &amp;C471</f>
        <v>Thiết lập quy tắc làm sạch Trọng tài viên</v>
      </c>
      <c r="C471" s="50" t="s">
        <v>144</v>
      </c>
      <c r="D471" s="34" t="s">
        <v>28</v>
      </c>
      <c r="E471" s="35"/>
      <c r="F471" s="38"/>
      <c r="G471" s="38" t="str">
        <f>"1. "&amp;D471&amp; " thực hiện cấu hình kiểm tra quy tắc về chuẩn định dạng " &amp;C471&amp; ". Hệ thống ghi nhận quy tắc được thiết lập.
2. " &amp;D471&amp;" có thể cấu hình kiểm tra tính hợp lệ của dữ liệu về "&amp;C471&amp;". Hệ thống ghi nhận quy tắc được thiết lập.
3. " &amp;D471&amp;" có thể cấu hình xử lý giá trị thiếu dữ liệu về "&amp;C471&amp;". Hệ thống ghi nhận quy tắc được thiết lập.
4. " &amp;D471&amp;" có thể cấu hình xử lý loại bỏ hoặc thay thế giá trị ngoại lệ về "&amp;C471&amp;". Hệ thống ghi nhận quy tắc được thiết lập"</f>
        <v>1. Quản trị hệ thống thực hiện cấu hình kiểm tra quy tắc về chuẩn định dạng Trọng tài viên. Hệ thống ghi nhận quy tắc được thiết lập.
2. Quản trị hệ thống có thể cấu hình kiểm tra tính hợp lệ của dữ liệu về Trọng tài viên. Hệ thống ghi nhận quy tắc được thiết lập.
3. Quản trị hệ thống có thể cấu hình xử lý giá trị thiếu dữ liệu về Trọng tài viên. Hệ thống ghi nhận quy tắc được thiết lập.
4. Quản trị hệ thống có thể cấu hình xử lý loại bỏ hoặc thay thế giá trị ngoại lệ về Trọng tài viên. Hệ thống ghi nhận quy tắc được thiết lập</v>
      </c>
      <c r="H471" s="36" t="s">
        <v>5</v>
      </c>
      <c r="I471" s="36" t="s">
        <v>7</v>
      </c>
    </row>
    <row r="472" spans="1:9" ht="99">
      <c r="A472" s="36">
        <f>COUNTA($D$4:D472)</f>
        <v>412</v>
      </c>
      <c r="B472" s="38" t="str">
        <f>"Thiết lập quy tắc chuẩn hóa " &amp;C472</f>
        <v>Thiết lập quy tắc chuẩn hóa Trọng tài viên</v>
      </c>
      <c r="C472" s="50" t="s">
        <v>144</v>
      </c>
      <c r="D472" s="34" t="s">
        <v>28</v>
      </c>
      <c r="E472" s="35"/>
      <c r="F472" s="38"/>
      <c r="G472" s="38" t="str">
        <f>"1. "&amp;D472&amp; " thực hiện cấu hình kiểm tra đối sánh tồn tại dựa trên trường khóa của " &amp;C472&amp; ". Hệ thống ghi nhận quy tắc được thiết lập.
2. " &amp;D472&amp;" có thể cấu hình xử lý trùng lặp về "&amp;C472&amp;". Hệ thống ghi nhận quy tắc được thiết lập.
3. " &amp;D472&amp;" có thể cấu hình xử lý vi phạm về ràng buộc thuộc tính tham chiếu "&amp;C472&amp;". Hệ thống ghi nhận quy tắc được thiết lập."</f>
        <v>1. Quản trị hệ thống thực hiện cấu hình kiểm tra đối sánh tồn tại dựa trên trường khóa của Trọng tài viên. Hệ thống ghi nhận quy tắc được thiết lập.
2. Quản trị hệ thống có thể cấu hình xử lý trùng lặp về Trọng tài viên. Hệ thống ghi nhận quy tắc được thiết lập.
3. Quản trị hệ thống có thể cấu hình xử lý vi phạm về ràng buộc thuộc tính tham chiếu Trọng tài viên. Hệ thống ghi nhận quy tắc được thiết lập.</v>
      </c>
      <c r="H472" s="36" t="s">
        <v>5</v>
      </c>
      <c r="I472" s="36" t="s">
        <v>6</v>
      </c>
    </row>
    <row r="473" spans="1:9" ht="99">
      <c r="A473" s="36">
        <f>COUNTA($D$4:D473)</f>
        <v>413</v>
      </c>
      <c r="B473" s="38" t="str">
        <f>"Thiết lập quy tắc biến đổi " &amp;C473</f>
        <v>Thiết lập quy tắc biến đổi Trọng tài viên</v>
      </c>
      <c r="C473" s="50" t="s">
        <v>144</v>
      </c>
      <c r="D473" s="34" t="s">
        <v>28</v>
      </c>
      <c r="E473" s="35"/>
      <c r="F473" s="38"/>
      <c r="G473" s="38" t="str">
        <f>"1. "&amp;D473&amp; " thực hiện cấu hình kiểm tra quy tắc biến đổi định dạng dữ liệu về " &amp;C473&amp; ". Hệ thống ghi nhận quy tắc được thiết lập.
2. " &amp;D473&amp;" có thể cấu hình biến đổi gộp hoặc tách cột dữ liệu về "&amp;C473&amp;". Hệ thống ghi nhận quy tắc được thiết lập.
3. " &amp;D473&amp;" có thể cấu hình phân loại, gán nhãn dữ liệu về "&amp;C473&amp;". Hệ thống ghi nhận quy tắc được thiết lập."</f>
        <v>1. Quản trị hệ thống thực hiện cấu hình kiểm tra quy tắc biến đổi định dạng dữ liệu về Trọng tài viên. Hệ thống ghi nhận quy tắc được thiết lập.
2. Quản trị hệ thống có thể cấu hình biến đổi gộp hoặc tách cột dữ liệu về Trọng tài viên. Hệ thống ghi nhận quy tắc được thiết lập.
3. Quản trị hệ thống có thể cấu hình phân loại, gán nhãn dữ liệu về Trọng tài viên. Hệ thống ghi nhận quy tắc được thiết lập.</v>
      </c>
      <c r="H473" s="36" t="s">
        <v>5</v>
      </c>
      <c r="I473" s="36" t="s">
        <v>6</v>
      </c>
    </row>
    <row r="474" spans="1:9" ht="132">
      <c r="A474" s="36">
        <f>COUNTA($D$4:D474)</f>
        <v>414</v>
      </c>
      <c r="B474" s="38" t="str">
        <f t="shared" ref="B474" si="105">"Thiết lập quy tắc làm sạch " &amp;C474</f>
        <v>Thiết lập quy tắc làm sạch Trung tâm trọng tài</v>
      </c>
      <c r="C474" s="50" t="s">
        <v>145</v>
      </c>
      <c r="D474" s="34" t="s">
        <v>28</v>
      </c>
      <c r="E474" s="35"/>
      <c r="F474" s="38"/>
      <c r="G474" s="38" t="str">
        <f>"1. "&amp;D474&amp; " thực hiện cấu hình kiểm tra quy tắc về chuẩn định dạng " &amp;C474&amp; ". Hệ thống ghi nhận quy tắc được thiết lập.
2. " &amp;D474&amp;" có thể cấu hình kiểm tra tính hợp lệ của dữ liệu về "&amp;C474&amp;". Hệ thống ghi nhận quy tắc được thiết lập.
3. " &amp;D474&amp;" có thể cấu hình xử lý giá trị thiếu dữ liệu về "&amp;C474&amp;". Hệ thống ghi nhận quy tắc được thiết lập.
4. " &amp;D474&amp;" có thể cấu hình xử lý loại bỏ hoặc thay thế giá trị ngoại lệ về "&amp;C474&amp;". Hệ thống ghi nhận quy tắc được thiết lập"</f>
        <v>1. Quản trị hệ thống thực hiện cấu hình kiểm tra quy tắc về chuẩn định dạng Trung tâm trọng tài. Hệ thống ghi nhận quy tắc được thiết lập.
2. Quản trị hệ thống có thể cấu hình kiểm tra tính hợp lệ của dữ liệu về Trung tâm trọng tài. Hệ thống ghi nhận quy tắc được thiết lập.
3. Quản trị hệ thống có thể cấu hình xử lý giá trị thiếu dữ liệu về Trung tâm trọng tài. Hệ thống ghi nhận quy tắc được thiết lập.
4. Quản trị hệ thống có thể cấu hình xử lý loại bỏ hoặc thay thế giá trị ngoại lệ về Trung tâm trọng tài. Hệ thống ghi nhận quy tắc được thiết lập</v>
      </c>
      <c r="H474" s="36" t="s">
        <v>5</v>
      </c>
      <c r="I474" s="36" t="s">
        <v>7</v>
      </c>
    </row>
    <row r="475" spans="1:9" ht="99">
      <c r="A475" s="36">
        <f>COUNTA($D$4:D475)</f>
        <v>415</v>
      </c>
      <c r="B475" s="38" t="str">
        <f>"Thiết lập quy tắc chuẩn hóa " &amp;C475</f>
        <v>Thiết lập quy tắc chuẩn hóa Trung tâm trọng tài</v>
      </c>
      <c r="C475" s="50" t="s">
        <v>145</v>
      </c>
      <c r="D475" s="34" t="s">
        <v>28</v>
      </c>
      <c r="E475" s="35"/>
      <c r="F475" s="38"/>
      <c r="G475" s="38" t="str">
        <f>"1. "&amp;D475&amp; " thực hiện cấu hình kiểm tra đối sánh tồn tại dựa trên trường khóa của " &amp;C475&amp; ". Hệ thống ghi nhận quy tắc được thiết lập.
2. " &amp;D475&amp;" có thể cấu hình xử lý trùng lặp về "&amp;C475&amp;". Hệ thống ghi nhận quy tắc được thiết lập.
3. " &amp;D475&amp;" có thể cấu hình xử lý vi phạm về ràng buộc thuộc tính tham chiếu "&amp;C475&amp;". Hệ thống ghi nhận quy tắc được thiết lập."</f>
        <v>1. Quản trị hệ thống thực hiện cấu hình kiểm tra đối sánh tồn tại dựa trên trường khóa của Trung tâm trọng tài. Hệ thống ghi nhận quy tắc được thiết lập.
2. Quản trị hệ thống có thể cấu hình xử lý trùng lặp về Trung tâm trọng tài. Hệ thống ghi nhận quy tắc được thiết lập.
3. Quản trị hệ thống có thể cấu hình xử lý vi phạm về ràng buộc thuộc tính tham chiếu Trung tâm trọng tài. Hệ thống ghi nhận quy tắc được thiết lập.</v>
      </c>
      <c r="H475" s="36" t="s">
        <v>5</v>
      </c>
      <c r="I475" s="36" t="s">
        <v>6</v>
      </c>
    </row>
    <row r="476" spans="1:9" ht="99">
      <c r="A476" s="36">
        <f>COUNTA($D$4:D476)</f>
        <v>416</v>
      </c>
      <c r="B476" s="38" t="str">
        <f>"Thiết lập quy tắc biến đổi " &amp;C476</f>
        <v>Thiết lập quy tắc biến đổi Trung tâm trọng tài</v>
      </c>
      <c r="C476" s="50" t="s">
        <v>145</v>
      </c>
      <c r="D476" s="34" t="s">
        <v>28</v>
      </c>
      <c r="E476" s="35"/>
      <c r="F476" s="38"/>
      <c r="G476" s="38" t="str">
        <f>"1. "&amp;D476&amp; " thực hiện cấu hình kiểm tra quy tắc biến đổi định dạng dữ liệu về " &amp;C476&amp; ". Hệ thống ghi nhận quy tắc được thiết lập.
2. " &amp;D476&amp;" có thể cấu hình biến đổi gộp hoặc tách cột dữ liệu về "&amp;C476&amp;". Hệ thống ghi nhận quy tắc được thiết lập.
3. " &amp;D476&amp;" có thể cấu hình phân loại, gán nhãn dữ liệu về "&amp;C476&amp;". Hệ thống ghi nhận quy tắc được thiết lập."</f>
        <v>1. Quản trị hệ thống thực hiện cấu hình kiểm tra quy tắc biến đổi định dạng dữ liệu về Trung tâm trọng tài. Hệ thống ghi nhận quy tắc được thiết lập.
2. Quản trị hệ thống có thể cấu hình biến đổi gộp hoặc tách cột dữ liệu về Trung tâm trọng tài. Hệ thống ghi nhận quy tắc được thiết lập.
3. Quản trị hệ thống có thể cấu hình phân loại, gán nhãn dữ liệu về Trung tâm trọng tài. Hệ thống ghi nhận quy tắc được thiết lập.</v>
      </c>
      <c r="H476" s="36" t="s">
        <v>5</v>
      </c>
      <c r="I476" s="36" t="s">
        <v>6</v>
      </c>
    </row>
    <row r="477" spans="1:9" ht="132">
      <c r="A477" s="36">
        <f>COUNTA($D$4:D477)</f>
        <v>417</v>
      </c>
      <c r="B477" s="38" t="str">
        <f t="shared" ref="B477" si="106">"Thiết lập quy tắc làm sạch " &amp;C477</f>
        <v>Thiết lập quy tắc làm sạch Chi nhánh của tổ chức trọng tài</v>
      </c>
      <c r="C477" s="50" t="s">
        <v>146</v>
      </c>
      <c r="D477" s="34" t="s">
        <v>28</v>
      </c>
      <c r="E477" s="35"/>
      <c r="F477" s="38"/>
      <c r="G477" s="38" t="str">
        <f>"1. "&amp;D477&amp; " thực hiện cấu hình kiểm tra quy tắc về chuẩn định dạng " &amp;C477&amp; ". Hệ thống ghi nhận quy tắc được thiết lập.
2. " &amp;D477&amp;" có thể cấu hình kiểm tra tính hợp lệ của dữ liệu về "&amp;C477&amp;". Hệ thống ghi nhận quy tắc được thiết lập.
3. " &amp;D477&amp;" có thể cấu hình xử lý giá trị thiếu dữ liệu về "&amp;C477&amp;". Hệ thống ghi nhận quy tắc được thiết lập.
4. " &amp;D477&amp;" có thể cấu hình xử lý loại bỏ hoặc thay thế giá trị ngoại lệ về "&amp;C477&amp;". Hệ thống ghi nhận quy tắc được thiết lập"</f>
        <v>1. Quản trị hệ thống thực hiện cấu hình kiểm tra quy tắc về chuẩn định dạng Chi nhánh của tổ chức trọng tài. Hệ thống ghi nhận quy tắc được thiết lập.
2. Quản trị hệ thống có thể cấu hình kiểm tra tính hợp lệ của dữ liệu về Chi nhánh của tổ chức trọng tài. Hệ thống ghi nhận quy tắc được thiết lập.
3. Quản trị hệ thống có thể cấu hình xử lý giá trị thiếu dữ liệu về Chi nhánh của tổ chức trọng tài. Hệ thống ghi nhận quy tắc được thiết lập.
4. Quản trị hệ thống có thể cấu hình xử lý loại bỏ hoặc thay thế giá trị ngoại lệ về Chi nhánh của tổ chức trọng tài. Hệ thống ghi nhận quy tắc được thiết lập</v>
      </c>
      <c r="H477" s="36" t="s">
        <v>5</v>
      </c>
      <c r="I477" s="36" t="s">
        <v>7</v>
      </c>
    </row>
    <row r="478" spans="1:9" ht="99">
      <c r="A478" s="36">
        <f>COUNTA($D$4:D478)</f>
        <v>418</v>
      </c>
      <c r="B478" s="38" t="str">
        <f>"Thiết lập quy tắc chuẩn hóa " &amp;C478</f>
        <v>Thiết lập quy tắc chuẩn hóa Chi nhánh của tổ chức trọng tài</v>
      </c>
      <c r="C478" s="50" t="s">
        <v>146</v>
      </c>
      <c r="D478" s="34" t="s">
        <v>28</v>
      </c>
      <c r="E478" s="35"/>
      <c r="F478" s="38"/>
      <c r="G478" s="38" t="str">
        <f>"1. "&amp;D478&amp; " thực hiện cấu hình kiểm tra đối sánh tồn tại dựa trên trường khóa của " &amp;C478&amp; ". Hệ thống ghi nhận quy tắc được thiết lập.
2. " &amp;D478&amp;" có thể cấu hình xử lý trùng lặp về "&amp;C478&amp;". Hệ thống ghi nhận quy tắc được thiết lập.
3. " &amp;D478&amp;" có thể cấu hình xử lý vi phạm về ràng buộc thuộc tính tham chiếu "&amp;C478&amp;". Hệ thống ghi nhận quy tắc được thiết lập."</f>
        <v>1. Quản trị hệ thống thực hiện cấu hình kiểm tra đối sánh tồn tại dựa trên trường khóa của Chi nhánh của tổ chức trọng tài. Hệ thống ghi nhận quy tắc được thiết lập.
2. Quản trị hệ thống có thể cấu hình xử lý trùng lặp về Chi nhánh của tổ chức trọng tài. Hệ thống ghi nhận quy tắc được thiết lập.
3. Quản trị hệ thống có thể cấu hình xử lý vi phạm về ràng buộc thuộc tính tham chiếu Chi nhánh của tổ chức trọng tài. Hệ thống ghi nhận quy tắc được thiết lập.</v>
      </c>
      <c r="H478" s="36" t="s">
        <v>5</v>
      </c>
      <c r="I478" s="36" t="s">
        <v>6</v>
      </c>
    </row>
    <row r="479" spans="1:9" ht="99">
      <c r="A479" s="36">
        <f>COUNTA($D$4:D479)</f>
        <v>419</v>
      </c>
      <c r="B479" s="38" t="str">
        <f>"Thiết lập quy tắc biến đổi " &amp;C479</f>
        <v>Thiết lập quy tắc biến đổi Chi nhánh của tổ chức trọng tài</v>
      </c>
      <c r="C479" s="50" t="s">
        <v>146</v>
      </c>
      <c r="D479" s="34" t="s">
        <v>28</v>
      </c>
      <c r="E479" s="35"/>
      <c r="F479" s="38"/>
      <c r="G479" s="38" t="str">
        <f>"1. "&amp;D479&amp; " thực hiện cấu hình kiểm tra quy tắc biến đổi định dạng dữ liệu về " &amp;C479&amp; ". Hệ thống ghi nhận quy tắc được thiết lập.
2. " &amp;D479&amp;" có thể cấu hình biến đổi gộp hoặc tách cột dữ liệu về "&amp;C479&amp;". Hệ thống ghi nhận quy tắc được thiết lập.
3. " &amp;D479&amp;" có thể cấu hình phân loại, gán nhãn dữ liệu về "&amp;C479&amp;". Hệ thống ghi nhận quy tắc được thiết lập."</f>
        <v>1. Quản trị hệ thống thực hiện cấu hình kiểm tra quy tắc biến đổi định dạng dữ liệu về Chi nhánh của tổ chức trọng tài. Hệ thống ghi nhận quy tắc được thiết lập.
2. Quản trị hệ thống có thể cấu hình biến đổi gộp hoặc tách cột dữ liệu về Chi nhánh của tổ chức trọng tài. Hệ thống ghi nhận quy tắc được thiết lập.
3. Quản trị hệ thống có thể cấu hình phân loại, gán nhãn dữ liệu về Chi nhánh của tổ chức trọng tài. Hệ thống ghi nhận quy tắc được thiết lập.</v>
      </c>
      <c r="H479" s="36" t="s">
        <v>5</v>
      </c>
      <c r="I479" s="36" t="s">
        <v>6</v>
      </c>
    </row>
    <row r="480" spans="1:9" ht="132">
      <c r="A480" s="36">
        <f>COUNTA($D$4:D480)</f>
        <v>420</v>
      </c>
      <c r="B480" s="38" t="str">
        <f t="shared" ref="B480" si="107">"Thiết lập quy tắc làm sạch " &amp;C480</f>
        <v>Thiết lập quy tắc làm sạch Văn phòng đại diện của trung tâm trọng tài</v>
      </c>
      <c r="C480" s="50" t="s">
        <v>147</v>
      </c>
      <c r="D480" s="34" t="s">
        <v>28</v>
      </c>
      <c r="E480" s="35"/>
      <c r="F480" s="38"/>
      <c r="G480" s="38" t="str">
        <f>"1. "&amp;D480&amp; " thực hiện cấu hình kiểm tra quy tắc về chuẩn định dạng " &amp;C480&amp; ". Hệ thống ghi nhận quy tắc được thiết lập.
2. " &amp;D480&amp;" có thể cấu hình kiểm tra tính hợp lệ của dữ liệu về "&amp;C480&amp;". Hệ thống ghi nhận quy tắc được thiết lập.
3. " &amp;D480&amp;" có thể cấu hình xử lý giá trị thiếu dữ liệu về "&amp;C480&amp;". Hệ thống ghi nhận quy tắc được thiết lập.
4. " &amp;D480&amp;" có thể cấu hình xử lý loại bỏ hoặc thay thế giá trị ngoại lệ về "&amp;C480&amp;". Hệ thống ghi nhận quy tắc được thiết lập"</f>
        <v>1. Quản trị hệ thống thực hiện cấu hình kiểm tra quy tắc về chuẩn định dạng Văn phòng đại diện của trung tâm trọng tài. Hệ thống ghi nhận quy tắc được thiết lập.
2. Quản trị hệ thống có thể cấu hình kiểm tra tính hợp lệ của dữ liệu về Văn phòng đại diện của trung tâm trọng tài. Hệ thống ghi nhận quy tắc được thiết lập.
3. Quản trị hệ thống có thể cấu hình xử lý giá trị thiếu dữ liệu về Văn phòng đại diện của trung tâm trọng tài. Hệ thống ghi nhận quy tắc được thiết lập.
4. Quản trị hệ thống có thể cấu hình xử lý loại bỏ hoặc thay thế giá trị ngoại lệ về Văn phòng đại diện của trung tâm trọng tài. Hệ thống ghi nhận quy tắc được thiết lập</v>
      </c>
      <c r="H480" s="36" t="s">
        <v>5</v>
      </c>
      <c r="I480" s="36" t="s">
        <v>7</v>
      </c>
    </row>
    <row r="481" spans="1:9" ht="132">
      <c r="A481" s="36">
        <f>COUNTA($D$4:D481)</f>
        <v>421</v>
      </c>
      <c r="B481" s="38" t="str">
        <f>"Thiết lập quy tắc chuẩn hóa " &amp;C481</f>
        <v>Thiết lập quy tắc chuẩn hóa Văn phòng đại diện của trung tâm trọng tài</v>
      </c>
      <c r="C481" s="50" t="s">
        <v>147</v>
      </c>
      <c r="D481" s="34" t="s">
        <v>28</v>
      </c>
      <c r="E481" s="35"/>
      <c r="F481" s="38"/>
      <c r="G481" s="38" t="str">
        <f>"1. "&amp;D481&amp; " thực hiện cấu hình kiểm tra đối sánh tồn tại dựa trên trường khóa của " &amp;C481&amp; ". Hệ thống ghi nhận quy tắc được thiết lập.
2. " &amp;D481&amp;" có thể cấu hình xử lý trùng lặp về "&amp;C481&amp;". Hệ thống ghi nhận quy tắc được thiết lập.
3. " &amp;D481&amp;" có thể cấu hình xử lý vi phạm về ràng buộc thuộc tính tham chiếu "&amp;C481&amp;". Hệ thống ghi nhận quy tắc được thiết lập."</f>
        <v>1. Quản trị hệ thống thực hiện cấu hình kiểm tra đối sánh tồn tại dựa trên trường khóa của Văn phòng đại diện của trung tâm trọng tài. Hệ thống ghi nhận quy tắc được thiết lập.
2. Quản trị hệ thống có thể cấu hình xử lý trùng lặp về Văn phòng đại diện của trung tâm trọng tài. Hệ thống ghi nhận quy tắc được thiết lập.
3. Quản trị hệ thống có thể cấu hình xử lý vi phạm về ràng buộc thuộc tính tham chiếu Văn phòng đại diện của trung tâm trọng tài. Hệ thống ghi nhận quy tắc được thiết lập.</v>
      </c>
      <c r="H481" s="36" t="s">
        <v>5</v>
      </c>
      <c r="I481" s="36" t="s">
        <v>6</v>
      </c>
    </row>
    <row r="482" spans="1:9" ht="115.5">
      <c r="A482" s="36">
        <f>COUNTA($D$4:D482)</f>
        <v>422</v>
      </c>
      <c r="B482" s="38" t="str">
        <f>"Thiết lập quy tắc biến đổi " &amp;C482</f>
        <v>Thiết lập quy tắc biến đổi Văn phòng đại diện của trung tâm trọng tài</v>
      </c>
      <c r="C482" s="50" t="s">
        <v>147</v>
      </c>
      <c r="D482" s="34" t="s">
        <v>28</v>
      </c>
      <c r="E482" s="35"/>
      <c r="F482" s="38"/>
      <c r="G482" s="38" t="str">
        <f>"1. "&amp;D482&amp; " thực hiện cấu hình kiểm tra quy tắc biến đổi định dạng dữ liệu về " &amp;C482&amp; ". Hệ thống ghi nhận quy tắc được thiết lập.
2. " &amp;D482&amp;" có thể cấu hình biến đổi gộp hoặc tách cột dữ liệu về "&amp;C482&amp;". Hệ thống ghi nhận quy tắc được thiết lập.
3. " &amp;D482&amp;" có thể cấu hình phân loại, gán nhãn dữ liệu về "&amp;C482&amp;". Hệ thống ghi nhận quy tắc được thiết lập."</f>
        <v>1. Quản trị hệ thống thực hiện cấu hình kiểm tra quy tắc biến đổi định dạng dữ liệu về Văn phòng đại diện của trung tâm trọng tài. Hệ thống ghi nhận quy tắc được thiết lập.
2. Quản trị hệ thống có thể cấu hình biến đổi gộp hoặc tách cột dữ liệu về Văn phòng đại diện của trung tâm trọng tài. Hệ thống ghi nhận quy tắc được thiết lập.
3. Quản trị hệ thống có thể cấu hình phân loại, gán nhãn dữ liệu về Văn phòng đại diện của trung tâm trọng tài. Hệ thống ghi nhận quy tắc được thiết lập.</v>
      </c>
      <c r="H482" s="36" t="s">
        <v>5</v>
      </c>
      <c r="I482" s="36" t="s">
        <v>6</v>
      </c>
    </row>
    <row r="483" spans="1:9" ht="132">
      <c r="A483" s="36">
        <f>COUNTA($D$4:D483)</f>
        <v>423</v>
      </c>
      <c r="B483" s="38" t="str">
        <f t="shared" ref="B483" si="108">"Thiết lập quy tắc làm sạch " &amp;C483</f>
        <v>Thiết lập quy tắc làm sạch Hòa giải viên thương mại</v>
      </c>
      <c r="C483" s="50" t="s">
        <v>148</v>
      </c>
      <c r="D483" s="34" t="s">
        <v>28</v>
      </c>
      <c r="E483" s="35"/>
      <c r="F483" s="38"/>
      <c r="G483" s="38" t="str">
        <f>"1. "&amp;D483&amp; " thực hiện cấu hình kiểm tra quy tắc về chuẩn định dạng " &amp;C483&amp; ". Hệ thống ghi nhận quy tắc được thiết lập.
2. " &amp;D483&amp;" có thể cấu hình kiểm tra tính hợp lệ của dữ liệu về "&amp;C483&amp;". Hệ thống ghi nhận quy tắc được thiết lập.
3. " &amp;D483&amp;" có thể cấu hình xử lý giá trị thiếu dữ liệu về "&amp;C483&amp;". Hệ thống ghi nhận quy tắc được thiết lập.
4. " &amp;D483&amp;" có thể cấu hình xử lý loại bỏ hoặc thay thế giá trị ngoại lệ về "&amp;C483&amp;". Hệ thống ghi nhận quy tắc được thiết lập"</f>
        <v>1. Quản trị hệ thống thực hiện cấu hình kiểm tra quy tắc về chuẩn định dạng Hòa giải viên thương mại. Hệ thống ghi nhận quy tắc được thiết lập.
2. Quản trị hệ thống có thể cấu hình kiểm tra tính hợp lệ của dữ liệu về Hòa giải viên thương mại. Hệ thống ghi nhận quy tắc được thiết lập.
3. Quản trị hệ thống có thể cấu hình xử lý giá trị thiếu dữ liệu về Hòa giải viên thương mại. Hệ thống ghi nhận quy tắc được thiết lập.
4. Quản trị hệ thống có thể cấu hình xử lý loại bỏ hoặc thay thế giá trị ngoại lệ về Hòa giải viên thương mại. Hệ thống ghi nhận quy tắc được thiết lập</v>
      </c>
      <c r="H483" s="36" t="s">
        <v>5</v>
      </c>
      <c r="I483" s="36" t="s">
        <v>7</v>
      </c>
    </row>
    <row r="484" spans="1:9" ht="99">
      <c r="A484" s="36">
        <f>COUNTA($D$4:D484)</f>
        <v>424</v>
      </c>
      <c r="B484" s="38" t="str">
        <f>"Thiết lập quy tắc chuẩn hóa " &amp;C484</f>
        <v>Thiết lập quy tắc chuẩn hóa Hòa giải viên thương mại</v>
      </c>
      <c r="C484" s="50" t="s">
        <v>148</v>
      </c>
      <c r="D484" s="34" t="s">
        <v>28</v>
      </c>
      <c r="E484" s="35"/>
      <c r="F484" s="38"/>
      <c r="G484" s="38" t="str">
        <f>"1. "&amp;D484&amp; " thực hiện cấu hình kiểm tra đối sánh tồn tại dựa trên trường khóa của " &amp;C484&amp; ". Hệ thống ghi nhận quy tắc được thiết lập.
2. " &amp;D484&amp;" có thể cấu hình xử lý trùng lặp về "&amp;C484&amp;". Hệ thống ghi nhận quy tắc được thiết lập.
3. " &amp;D484&amp;" có thể cấu hình xử lý vi phạm về ràng buộc thuộc tính tham chiếu "&amp;C484&amp;". Hệ thống ghi nhận quy tắc được thiết lập."</f>
        <v>1. Quản trị hệ thống thực hiện cấu hình kiểm tra đối sánh tồn tại dựa trên trường khóa của Hòa giải viên thương mại. Hệ thống ghi nhận quy tắc được thiết lập.
2. Quản trị hệ thống có thể cấu hình xử lý trùng lặp về Hòa giải viên thương mại. Hệ thống ghi nhận quy tắc được thiết lập.
3. Quản trị hệ thống có thể cấu hình xử lý vi phạm về ràng buộc thuộc tính tham chiếu Hòa giải viên thương mại. Hệ thống ghi nhận quy tắc được thiết lập.</v>
      </c>
      <c r="H484" s="36" t="s">
        <v>5</v>
      </c>
      <c r="I484" s="36" t="s">
        <v>6</v>
      </c>
    </row>
    <row r="485" spans="1:9" ht="99">
      <c r="A485" s="36">
        <f>COUNTA($D$4:D485)</f>
        <v>425</v>
      </c>
      <c r="B485" s="38" t="str">
        <f>"Thiết lập quy tắc biến đổi " &amp;C485</f>
        <v>Thiết lập quy tắc biến đổi Hòa giải viên thương mại</v>
      </c>
      <c r="C485" s="50" t="s">
        <v>148</v>
      </c>
      <c r="D485" s="34" t="s">
        <v>28</v>
      </c>
      <c r="E485" s="35"/>
      <c r="F485" s="38"/>
      <c r="G485" s="38" t="str">
        <f>"1. "&amp;D485&amp; " thực hiện cấu hình kiểm tra quy tắc biến đổi định dạng dữ liệu về " &amp;C485&amp; ". Hệ thống ghi nhận quy tắc được thiết lập.
2. " &amp;D485&amp;" có thể cấu hình biến đổi gộp hoặc tách cột dữ liệu về "&amp;C485&amp;". Hệ thống ghi nhận quy tắc được thiết lập.
3. " &amp;D485&amp;" có thể cấu hình phân loại, gán nhãn dữ liệu về "&amp;C485&amp;". Hệ thống ghi nhận quy tắc được thiết lập."</f>
        <v>1. Quản trị hệ thống thực hiện cấu hình kiểm tra quy tắc biến đổi định dạng dữ liệu về Hòa giải viên thương mại. Hệ thống ghi nhận quy tắc được thiết lập.
2. Quản trị hệ thống có thể cấu hình biến đổi gộp hoặc tách cột dữ liệu về Hòa giải viên thương mại. Hệ thống ghi nhận quy tắc được thiết lập.
3. Quản trị hệ thống có thể cấu hình phân loại, gán nhãn dữ liệu về Hòa giải viên thương mại. Hệ thống ghi nhận quy tắc được thiết lập.</v>
      </c>
      <c r="H485" s="36" t="s">
        <v>5</v>
      </c>
      <c r="I485" s="36" t="s">
        <v>6</v>
      </c>
    </row>
    <row r="486" spans="1:9" ht="132">
      <c r="A486" s="36">
        <f>COUNTA($D$4:D486)</f>
        <v>426</v>
      </c>
      <c r="B486" s="38" t="str">
        <f t="shared" ref="B486" si="109">"Thiết lập quy tắc làm sạch " &amp;C486</f>
        <v>Thiết lập quy tắc làm sạch Trung tâm hòa giải thương mại</v>
      </c>
      <c r="C486" s="50" t="s">
        <v>149</v>
      </c>
      <c r="D486" s="34" t="s">
        <v>28</v>
      </c>
      <c r="E486" s="35"/>
      <c r="F486" s="38"/>
      <c r="G486" s="38" t="str">
        <f>"1. "&amp;D486&amp; " thực hiện cấu hình kiểm tra quy tắc về chuẩn định dạng " &amp;C486&amp; ". Hệ thống ghi nhận quy tắc được thiết lập.
2. " &amp;D486&amp;" có thể cấu hình kiểm tra tính hợp lệ của dữ liệu về "&amp;C486&amp;". Hệ thống ghi nhận quy tắc được thiết lập.
3. " &amp;D486&amp;" có thể cấu hình xử lý giá trị thiếu dữ liệu về "&amp;C486&amp;". Hệ thống ghi nhận quy tắc được thiết lập.
4. " &amp;D486&amp;" có thể cấu hình xử lý loại bỏ hoặc thay thế giá trị ngoại lệ về "&amp;C486&amp;". Hệ thống ghi nhận quy tắc được thiết lập"</f>
        <v>1. Quản trị hệ thống thực hiện cấu hình kiểm tra quy tắc về chuẩn định dạng Trung tâm hòa giải thương mại. Hệ thống ghi nhận quy tắc được thiết lập.
2. Quản trị hệ thống có thể cấu hình kiểm tra tính hợp lệ của dữ liệu về Trung tâm hòa giải thương mại. Hệ thống ghi nhận quy tắc được thiết lập.
3. Quản trị hệ thống có thể cấu hình xử lý giá trị thiếu dữ liệu về Trung tâm hòa giải thương mại. Hệ thống ghi nhận quy tắc được thiết lập.
4. Quản trị hệ thống có thể cấu hình xử lý loại bỏ hoặc thay thế giá trị ngoại lệ về Trung tâm hòa giải thương mại. Hệ thống ghi nhận quy tắc được thiết lập</v>
      </c>
      <c r="H486" s="36" t="s">
        <v>5</v>
      </c>
      <c r="I486" s="36" t="s">
        <v>7</v>
      </c>
    </row>
    <row r="487" spans="1:9" ht="99">
      <c r="A487" s="36">
        <f>COUNTA($D$4:D487)</f>
        <v>427</v>
      </c>
      <c r="B487" s="38" t="str">
        <f>"Thiết lập quy tắc chuẩn hóa " &amp;C487</f>
        <v>Thiết lập quy tắc chuẩn hóa Trung tâm hòa giải thương mại</v>
      </c>
      <c r="C487" s="50" t="s">
        <v>149</v>
      </c>
      <c r="D487" s="34" t="s">
        <v>28</v>
      </c>
      <c r="E487" s="35"/>
      <c r="F487" s="38"/>
      <c r="G487" s="38" t="str">
        <f>"1. "&amp;D487&amp; " thực hiện cấu hình kiểm tra đối sánh tồn tại dựa trên trường khóa của " &amp;C487&amp; ". Hệ thống ghi nhận quy tắc được thiết lập.
2. " &amp;D487&amp;" có thể cấu hình xử lý trùng lặp về "&amp;C487&amp;". Hệ thống ghi nhận quy tắc được thiết lập.
3. " &amp;D487&amp;" có thể cấu hình xử lý vi phạm về ràng buộc thuộc tính tham chiếu "&amp;C487&amp;". Hệ thống ghi nhận quy tắc được thiết lập."</f>
        <v>1. Quản trị hệ thống thực hiện cấu hình kiểm tra đối sánh tồn tại dựa trên trường khóa của Trung tâm hòa giải thương mại. Hệ thống ghi nhận quy tắc được thiết lập.
2. Quản trị hệ thống có thể cấu hình xử lý trùng lặp về Trung tâm hòa giải thương mại. Hệ thống ghi nhận quy tắc được thiết lập.
3. Quản trị hệ thống có thể cấu hình xử lý vi phạm về ràng buộc thuộc tính tham chiếu Trung tâm hòa giải thương mại. Hệ thống ghi nhận quy tắc được thiết lập.</v>
      </c>
      <c r="H487" s="36" t="s">
        <v>5</v>
      </c>
      <c r="I487" s="36" t="s">
        <v>6</v>
      </c>
    </row>
    <row r="488" spans="1:9" ht="99">
      <c r="A488" s="36">
        <f>COUNTA($D$4:D488)</f>
        <v>428</v>
      </c>
      <c r="B488" s="38" t="str">
        <f>"Thiết lập quy tắc biến đổi " &amp;C488</f>
        <v>Thiết lập quy tắc biến đổi Trung tâm hòa giải thương mại</v>
      </c>
      <c r="C488" s="50" t="s">
        <v>149</v>
      </c>
      <c r="D488" s="34" t="s">
        <v>28</v>
      </c>
      <c r="E488" s="35"/>
      <c r="F488" s="38"/>
      <c r="G488" s="38" t="str">
        <f>"1. "&amp;D488&amp; " thực hiện cấu hình kiểm tra quy tắc biến đổi định dạng dữ liệu về " &amp;C488&amp; ". Hệ thống ghi nhận quy tắc được thiết lập.
2. " &amp;D488&amp;" có thể cấu hình biến đổi gộp hoặc tách cột dữ liệu về "&amp;C488&amp;". Hệ thống ghi nhận quy tắc được thiết lập.
3. " &amp;D488&amp;" có thể cấu hình phân loại, gán nhãn dữ liệu về "&amp;C488&amp;". Hệ thống ghi nhận quy tắc được thiết lập."</f>
        <v>1. Quản trị hệ thống thực hiện cấu hình kiểm tra quy tắc biến đổi định dạng dữ liệu về Trung tâm hòa giải thương mại. Hệ thống ghi nhận quy tắc được thiết lập.
2. Quản trị hệ thống có thể cấu hình biến đổi gộp hoặc tách cột dữ liệu về Trung tâm hòa giải thương mại. Hệ thống ghi nhận quy tắc được thiết lập.
3. Quản trị hệ thống có thể cấu hình phân loại, gán nhãn dữ liệu về Trung tâm hòa giải thương mại. Hệ thống ghi nhận quy tắc được thiết lập.</v>
      </c>
      <c r="H488" s="36" t="s">
        <v>5</v>
      </c>
      <c r="I488" s="36" t="s">
        <v>6</v>
      </c>
    </row>
    <row r="489" spans="1:9" ht="132">
      <c r="A489" s="36">
        <f>COUNTA($D$4:D489)</f>
        <v>429</v>
      </c>
      <c r="B489" s="38" t="str">
        <f t="shared" ref="B489" si="110">"Thiết lập quy tắc làm sạch " &amp;C489</f>
        <v>Thiết lập quy tắc làm sạch Giám định viên tư pháp</v>
      </c>
      <c r="C489" s="50" t="s">
        <v>150</v>
      </c>
      <c r="D489" s="34" t="s">
        <v>28</v>
      </c>
      <c r="E489" s="35"/>
      <c r="F489" s="38"/>
      <c r="G489" s="38" t="str">
        <f>"1. "&amp;D489&amp; " thực hiện cấu hình kiểm tra quy tắc về chuẩn định dạng " &amp;C489&amp; ". Hệ thống ghi nhận quy tắc được thiết lập.
2. " &amp;D489&amp;" có thể cấu hình kiểm tra tính hợp lệ của dữ liệu về "&amp;C489&amp;". Hệ thống ghi nhận quy tắc được thiết lập.
3. " &amp;D489&amp;" có thể cấu hình xử lý giá trị thiếu dữ liệu về "&amp;C489&amp;". Hệ thống ghi nhận quy tắc được thiết lập.
4. " &amp;D489&amp;" có thể cấu hình xử lý loại bỏ hoặc thay thế giá trị ngoại lệ về "&amp;C489&amp;". Hệ thống ghi nhận quy tắc được thiết lập"</f>
        <v>1. Quản trị hệ thống thực hiện cấu hình kiểm tra quy tắc về chuẩn định dạng Giám định viên tư pháp. Hệ thống ghi nhận quy tắc được thiết lập.
2. Quản trị hệ thống có thể cấu hình kiểm tra tính hợp lệ của dữ liệu về Giám định viên tư pháp. Hệ thống ghi nhận quy tắc được thiết lập.
3. Quản trị hệ thống có thể cấu hình xử lý giá trị thiếu dữ liệu về Giám định viên tư pháp. Hệ thống ghi nhận quy tắc được thiết lập.
4. Quản trị hệ thống có thể cấu hình xử lý loại bỏ hoặc thay thế giá trị ngoại lệ về Giám định viên tư pháp. Hệ thống ghi nhận quy tắc được thiết lập</v>
      </c>
      <c r="H489" s="36" t="s">
        <v>5</v>
      </c>
      <c r="I489" s="36" t="s">
        <v>7</v>
      </c>
    </row>
    <row r="490" spans="1:9" ht="99">
      <c r="A490" s="36">
        <f>COUNTA($D$4:D490)</f>
        <v>430</v>
      </c>
      <c r="B490" s="38" t="str">
        <f>"Thiết lập quy tắc chuẩn hóa " &amp;C490</f>
        <v>Thiết lập quy tắc chuẩn hóa Giám định viên tư pháp</v>
      </c>
      <c r="C490" s="50" t="s">
        <v>150</v>
      </c>
      <c r="D490" s="34" t="s">
        <v>28</v>
      </c>
      <c r="E490" s="35"/>
      <c r="F490" s="38"/>
      <c r="G490" s="38" t="str">
        <f>"1. "&amp;D490&amp; " thực hiện cấu hình kiểm tra đối sánh tồn tại dựa trên trường khóa của " &amp;C490&amp; ". Hệ thống ghi nhận quy tắc được thiết lập.
2. " &amp;D490&amp;" có thể cấu hình xử lý trùng lặp về "&amp;C490&amp;". Hệ thống ghi nhận quy tắc được thiết lập.
3. " &amp;D490&amp;" có thể cấu hình xử lý vi phạm về ràng buộc thuộc tính tham chiếu "&amp;C490&amp;". Hệ thống ghi nhận quy tắc được thiết lập."</f>
        <v>1. Quản trị hệ thống thực hiện cấu hình kiểm tra đối sánh tồn tại dựa trên trường khóa của Giám định viên tư pháp. Hệ thống ghi nhận quy tắc được thiết lập.
2. Quản trị hệ thống có thể cấu hình xử lý trùng lặp về Giám định viên tư pháp. Hệ thống ghi nhận quy tắc được thiết lập.
3. Quản trị hệ thống có thể cấu hình xử lý vi phạm về ràng buộc thuộc tính tham chiếu Giám định viên tư pháp. Hệ thống ghi nhận quy tắc được thiết lập.</v>
      </c>
      <c r="H490" s="36" t="s">
        <v>5</v>
      </c>
      <c r="I490" s="36" t="s">
        <v>6</v>
      </c>
    </row>
    <row r="491" spans="1:9" ht="99">
      <c r="A491" s="36">
        <f>COUNTA($D$4:D491)</f>
        <v>431</v>
      </c>
      <c r="B491" s="38" t="str">
        <f>"Thiết lập quy tắc biến đổi " &amp;C491</f>
        <v>Thiết lập quy tắc biến đổi Giám định viên tư pháp</v>
      </c>
      <c r="C491" s="50" t="s">
        <v>150</v>
      </c>
      <c r="D491" s="34" t="s">
        <v>28</v>
      </c>
      <c r="E491" s="35"/>
      <c r="F491" s="38"/>
      <c r="G491" s="38" t="str">
        <f>"1. "&amp;D491&amp; " thực hiện cấu hình kiểm tra quy tắc biến đổi định dạng dữ liệu về " &amp;C491&amp; ". Hệ thống ghi nhận quy tắc được thiết lập.
2. " &amp;D491&amp;" có thể cấu hình biến đổi gộp hoặc tách cột dữ liệu về "&amp;C491&amp;". Hệ thống ghi nhận quy tắc được thiết lập.
3. " &amp;D491&amp;" có thể cấu hình phân loại, gán nhãn dữ liệu về "&amp;C491&amp;". Hệ thống ghi nhận quy tắc được thiết lập."</f>
        <v>1. Quản trị hệ thống thực hiện cấu hình kiểm tra quy tắc biến đổi định dạng dữ liệu về Giám định viên tư pháp. Hệ thống ghi nhận quy tắc được thiết lập.
2. Quản trị hệ thống có thể cấu hình biến đổi gộp hoặc tách cột dữ liệu về Giám định viên tư pháp. Hệ thống ghi nhận quy tắc được thiết lập.
3. Quản trị hệ thống có thể cấu hình phân loại, gán nhãn dữ liệu về Giám định viên tư pháp. Hệ thống ghi nhận quy tắc được thiết lập.</v>
      </c>
      <c r="H491" s="36" t="s">
        <v>5</v>
      </c>
      <c r="I491" s="36" t="s">
        <v>6</v>
      </c>
    </row>
    <row r="492" spans="1:9" ht="132">
      <c r="A492" s="36">
        <f>COUNTA($D$4:D492)</f>
        <v>432</v>
      </c>
      <c r="B492" s="38" t="str">
        <f t="shared" ref="B492" si="111">"Thiết lập quy tắc làm sạch " &amp;C492</f>
        <v>Thiết lập quy tắc làm sạch Tổ chức giám định tư pháp</v>
      </c>
      <c r="C492" s="50" t="s">
        <v>151</v>
      </c>
      <c r="D492" s="34" t="s">
        <v>28</v>
      </c>
      <c r="E492" s="35"/>
      <c r="F492" s="38"/>
      <c r="G492" s="38" t="str">
        <f>"1. "&amp;D492&amp; " thực hiện cấu hình kiểm tra quy tắc về chuẩn định dạng " &amp;C492&amp; ". Hệ thống ghi nhận quy tắc được thiết lập.
2. " &amp;D492&amp;" có thể cấu hình kiểm tra tính hợp lệ của dữ liệu về "&amp;C492&amp;". Hệ thống ghi nhận quy tắc được thiết lập.
3. " &amp;D492&amp;" có thể cấu hình xử lý giá trị thiếu dữ liệu về "&amp;C492&amp;". Hệ thống ghi nhận quy tắc được thiết lập.
4. " &amp;D492&amp;" có thể cấu hình xử lý loại bỏ hoặc thay thế giá trị ngoại lệ về "&amp;C492&amp;". Hệ thống ghi nhận quy tắc được thiết lập"</f>
        <v>1. Quản trị hệ thống thực hiện cấu hình kiểm tra quy tắc về chuẩn định dạng Tổ chức giám định tư pháp. Hệ thống ghi nhận quy tắc được thiết lập.
2. Quản trị hệ thống có thể cấu hình kiểm tra tính hợp lệ của dữ liệu về Tổ chức giám định tư pháp. Hệ thống ghi nhận quy tắc được thiết lập.
3. Quản trị hệ thống có thể cấu hình xử lý giá trị thiếu dữ liệu về Tổ chức giám định tư pháp. Hệ thống ghi nhận quy tắc được thiết lập.
4. Quản trị hệ thống có thể cấu hình xử lý loại bỏ hoặc thay thế giá trị ngoại lệ về Tổ chức giám định tư pháp. Hệ thống ghi nhận quy tắc được thiết lập</v>
      </c>
      <c r="H492" s="36" t="s">
        <v>5</v>
      </c>
      <c r="I492" s="36" t="s">
        <v>7</v>
      </c>
    </row>
    <row r="493" spans="1:9" ht="99">
      <c r="A493" s="36">
        <f>COUNTA($D$4:D493)</f>
        <v>433</v>
      </c>
      <c r="B493" s="38" t="str">
        <f>"Thiết lập quy tắc chuẩn hóa " &amp;C493</f>
        <v>Thiết lập quy tắc chuẩn hóa Tổ chức giám định tư pháp</v>
      </c>
      <c r="C493" s="50" t="s">
        <v>151</v>
      </c>
      <c r="D493" s="34" t="s">
        <v>28</v>
      </c>
      <c r="E493" s="35"/>
      <c r="F493" s="38"/>
      <c r="G493" s="38" t="str">
        <f>"1. "&amp;D493&amp; " thực hiện cấu hình kiểm tra đối sánh tồn tại dựa trên trường khóa của " &amp;C493&amp; ". Hệ thống ghi nhận quy tắc được thiết lập.
2. " &amp;D493&amp;" có thể cấu hình xử lý trùng lặp về "&amp;C493&amp;". Hệ thống ghi nhận quy tắc được thiết lập.
3. " &amp;D493&amp;" có thể cấu hình xử lý vi phạm về ràng buộc thuộc tính tham chiếu "&amp;C493&amp;". Hệ thống ghi nhận quy tắc được thiết lập."</f>
        <v>1. Quản trị hệ thống thực hiện cấu hình kiểm tra đối sánh tồn tại dựa trên trường khóa của Tổ chức giám định tư pháp. Hệ thống ghi nhận quy tắc được thiết lập.
2. Quản trị hệ thống có thể cấu hình xử lý trùng lặp về Tổ chức giám định tư pháp. Hệ thống ghi nhận quy tắc được thiết lập.
3. Quản trị hệ thống có thể cấu hình xử lý vi phạm về ràng buộc thuộc tính tham chiếu Tổ chức giám định tư pháp. Hệ thống ghi nhận quy tắc được thiết lập.</v>
      </c>
      <c r="H493" s="36" t="s">
        <v>5</v>
      </c>
      <c r="I493" s="36" t="s">
        <v>6</v>
      </c>
    </row>
    <row r="494" spans="1:9" ht="99">
      <c r="A494" s="36">
        <f>COUNTA($D$4:D494)</f>
        <v>434</v>
      </c>
      <c r="B494" s="38" t="str">
        <f>"Thiết lập quy tắc biến đổi " &amp;C494</f>
        <v>Thiết lập quy tắc biến đổi Tổ chức giám định tư pháp</v>
      </c>
      <c r="C494" s="50" t="s">
        <v>151</v>
      </c>
      <c r="D494" s="34" t="s">
        <v>28</v>
      </c>
      <c r="E494" s="35"/>
      <c r="F494" s="38"/>
      <c r="G494" s="38" t="str">
        <f>"1. "&amp;D494&amp; " thực hiện cấu hình kiểm tra quy tắc biến đổi định dạng dữ liệu về " &amp;C494&amp; ". Hệ thống ghi nhận quy tắc được thiết lập.
2. " &amp;D494&amp;" có thể cấu hình biến đổi gộp hoặc tách cột dữ liệu về "&amp;C494&amp;". Hệ thống ghi nhận quy tắc được thiết lập.
3. " &amp;D494&amp;" có thể cấu hình phân loại, gán nhãn dữ liệu về "&amp;C494&amp;". Hệ thống ghi nhận quy tắc được thiết lập."</f>
        <v>1. Quản trị hệ thống thực hiện cấu hình kiểm tra quy tắc biến đổi định dạng dữ liệu về Tổ chức giám định tư pháp. Hệ thống ghi nhận quy tắc được thiết lập.
2. Quản trị hệ thống có thể cấu hình biến đổi gộp hoặc tách cột dữ liệu về Tổ chức giám định tư pháp. Hệ thống ghi nhận quy tắc được thiết lập.
3. Quản trị hệ thống có thể cấu hình phân loại, gán nhãn dữ liệu về Tổ chức giám định tư pháp. Hệ thống ghi nhận quy tắc được thiết lập.</v>
      </c>
      <c r="H494" s="36" t="s">
        <v>5</v>
      </c>
      <c r="I494" s="36" t="s">
        <v>6</v>
      </c>
    </row>
    <row r="495" spans="1:9" ht="16.5">
      <c r="A495" s="41" t="s">
        <v>611</v>
      </c>
      <c r="B495" s="46" t="s">
        <v>600</v>
      </c>
      <c r="C495" s="46"/>
      <c r="D495" s="34"/>
      <c r="E495" s="35"/>
      <c r="F495" s="35"/>
      <c r="G495" s="35"/>
      <c r="H495" s="36"/>
      <c r="I495" s="36"/>
    </row>
    <row r="496" spans="1:9" ht="16.5">
      <c r="A496" s="41" t="s">
        <v>181</v>
      </c>
      <c r="B496" s="42" t="s">
        <v>601</v>
      </c>
      <c r="C496" s="42"/>
      <c r="D496" s="34"/>
      <c r="E496" s="35"/>
      <c r="F496" s="35"/>
      <c r="G496" s="35"/>
      <c r="H496" s="36"/>
      <c r="I496" s="36"/>
    </row>
    <row r="497" spans="1:9" ht="148.5">
      <c r="A497" s="36">
        <f>COUNTA($D$4:D497)</f>
        <v>435</v>
      </c>
      <c r="B497" s="38" t="str">
        <f t="shared" ref="B497" si="112">"Thiết lập quy tắc làm sạch " &amp;C497</f>
        <v>Thiết lập quy tắc làm sạch Thông tin điều ước quốc tế, thỏa thuận quốc tế</v>
      </c>
      <c r="C497" s="50" t="s">
        <v>602</v>
      </c>
      <c r="D497" s="34" t="s">
        <v>28</v>
      </c>
      <c r="E497" s="35"/>
      <c r="F497" s="38"/>
      <c r="G497" s="38" t="str">
        <f>"1. "&amp;D497&amp; " thực hiện cấu hình kiểm tra quy tắc về chuẩn định dạng " &amp;C497&amp; ". Hệ thống ghi nhận quy tắc được thiết lập.
2. " &amp;D497&amp;" có thể cấu hình kiểm tra tính hợp lệ của dữ liệu về "&amp;C497&amp;". Hệ thống ghi nhận quy tắc được thiết lập.
3. " &amp;D497&amp;" có thể cấu hình xử lý giá trị thiếu dữ liệu về "&amp;C497&amp;". Hệ thống ghi nhận quy tắc được thiết lập.
4. " &amp;D497&amp;" có thể cấu hình xử lý loại bỏ hoặc thay thế giá trị ngoại lệ về "&amp;C497&amp;". Hệ thống ghi nhận quy tắc được thiết lập"</f>
        <v>1. Quản trị hệ thống thực hiện cấu hình kiểm tra quy tắc về chuẩn định dạng Thông tin điều ước quốc tế, thỏa thuận quốc tế. Hệ thống ghi nhận quy tắc được thiết lập.
2. Quản trị hệ thống có thể cấu hình kiểm tra tính hợp lệ của dữ liệu về Thông tin điều ước quốc tế, thỏa thuận quốc tế. Hệ thống ghi nhận quy tắc được thiết lập.
3. Quản trị hệ thống có thể cấu hình xử lý giá trị thiếu dữ liệu về Thông tin điều ước quốc tế, thỏa thuận quốc tế. Hệ thống ghi nhận quy tắc được thiết lập.
4. Quản trị hệ thống có thể cấu hình xử lý loại bỏ hoặc thay thế giá trị ngoại lệ về Thông tin điều ước quốc tế, thỏa thuận quốc tế. Hệ thống ghi nhận quy tắc được thiết lập</v>
      </c>
      <c r="H497" s="36" t="s">
        <v>5</v>
      </c>
      <c r="I497" s="36" t="s">
        <v>7</v>
      </c>
    </row>
    <row r="498" spans="1:9" ht="132">
      <c r="A498" s="36">
        <f>COUNTA($D$4:D498)</f>
        <v>436</v>
      </c>
      <c r="B498" s="38" t="str">
        <f>"Thiết lập quy tắc chuẩn hóa " &amp;C498</f>
        <v>Thiết lập quy tắc chuẩn hóa Thông tin điều ước quốc tế, thỏa thuận quốc tế</v>
      </c>
      <c r="C498" s="50" t="s">
        <v>602</v>
      </c>
      <c r="D498" s="34" t="s">
        <v>28</v>
      </c>
      <c r="E498" s="35"/>
      <c r="F498" s="38"/>
      <c r="G498" s="38" t="str">
        <f>"1. "&amp;D498&amp; " thực hiện cấu hình kiểm tra đối sánh tồn tại dựa trên trường khóa của " &amp;C498&amp; ". Hệ thống ghi nhận quy tắc được thiết lập.
2. " &amp;D498&amp;" có thể cấu hình xử lý trùng lặp về "&amp;C498&amp;". Hệ thống ghi nhận quy tắc được thiết lập.
3. " &amp;D498&amp;" có thể cấu hình xử lý vi phạm về ràng buộc thuộc tính tham chiếu "&amp;C498&amp;". Hệ thống ghi nhận quy tắc được thiết lập."</f>
        <v>1. Quản trị hệ thống thực hiện cấu hình kiểm tra đối sánh tồn tại dựa trên trường khóa của Thông tin điều ước quốc tế, thỏa thuận quốc tế. Hệ thống ghi nhận quy tắc được thiết lập.
2. Quản trị hệ thống có thể cấu hình xử lý trùng lặp về Thông tin điều ước quốc tế, thỏa thuận quốc tế. Hệ thống ghi nhận quy tắc được thiết lập.
3. Quản trị hệ thống có thể cấu hình xử lý vi phạm về ràng buộc thuộc tính tham chiếu Thông tin điều ước quốc tế, thỏa thuận quốc tế. Hệ thống ghi nhận quy tắc được thiết lập.</v>
      </c>
      <c r="H498" s="36" t="s">
        <v>5</v>
      </c>
      <c r="I498" s="36" t="s">
        <v>6</v>
      </c>
    </row>
    <row r="499" spans="1:9" ht="115.5">
      <c r="A499" s="36">
        <f>COUNTA($D$4:D499)</f>
        <v>437</v>
      </c>
      <c r="B499" s="38" t="str">
        <f>"Thiết lập quy tắc biến đổi " &amp;C499</f>
        <v>Thiết lập quy tắc biến đổi Thông tin điều ước quốc tế, thỏa thuận quốc tế</v>
      </c>
      <c r="C499" s="50" t="s">
        <v>602</v>
      </c>
      <c r="D499" s="34" t="s">
        <v>28</v>
      </c>
      <c r="E499" s="35"/>
      <c r="F499" s="38"/>
      <c r="G499" s="38" t="str">
        <f>"1. "&amp;D499&amp; " thực hiện cấu hình kiểm tra quy tắc biến đổi định dạng dữ liệu về " &amp;C499&amp; ". Hệ thống ghi nhận quy tắc được thiết lập.
2. " &amp;D499&amp;" có thể cấu hình biến đổi gộp hoặc tách cột dữ liệu về "&amp;C499&amp;". Hệ thống ghi nhận quy tắc được thiết lập.
3. " &amp;D499&amp;" có thể cấu hình phân loại, gán nhãn dữ liệu về "&amp;C499&amp;". Hệ thống ghi nhận quy tắc được thiết lập."</f>
        <v>1. Quản trị hệ thống thực hiện cấu hình kiểm tra quy tắc biến đổi định dạng dữ liệu về Thông tin điều ước quốc tế, thỏa thuận quốc tế. Hệ thống ghi nhận quy tắc được thiết lập.
2. Quản trị hệ thống có thể cấu hình biến đổi gộp hoặc tách cột dữ liệu về Thông tin điều ước quốc tế, thỏa thuận quốc tế. Hệ thống ghi nhận quy tắc được thiết lập.
3. Quản trị hệ thống có thể cấu hình phân loại, gán nhãn dữ liệu về Thông tin điều ước quốc tế, thỏa thuận quốc tế. Hệ thống ghi nhận quy tắc được thiết lập.</v>
      </c>
      <c r="H499" s="36" t="s">
        <v>5</v>
      </c>
      <c r="I499" s="36" t="s">
        <v>6</v>
      </c>
    </row>
    <row r="500" spans="1:9" ht="132">
      <c r="A500" s="36">
        <f>COUNTA($D$4:D500)</f>
        <v>438</v>
      </c>
      <c r="B500" s="38" t="str">
        <f t="shared" ref="B500" si="113">"Thiết lập quy tắc làm sạch " &amp;C500</f>
        <v>Thiết lập quy tắc làm sạch Thông tin chương trình dự án</v>
      </c>
      <c r="C500" s="50" t="s">
        <v>603</v>
      </c>
      <c r="D500" s="34" t="s">
        <v>28</v>
      </c>
      <c r="E500" s="35"/>
      <c r="F500" s="38"/>
      <c r="G500" s="38" t="str">
        <f>"1. "&amp;D500&amp; " thực hiện cấu hình kiểm tra quy tắc về chuẩn định dạng " &amp;C500&amp; ". Hệ thống ghi nhận quy tắc được thiết lập.
2. " &amp;D500&amp;" có thể cấu hình kiểm tra tính hợp lệ của dữ liệu về "&amp;C500&amp;". Hệ thống ghi nhận quy tắc được thiết lập.
3. " &amp;D500&amp;" có thể cấu hình xử lý giá trị thiếu dữ liệu về "&amp;C500&amp;". Hệ thống ghi nhận quy tắc được thiết lập.
4. " &amp;D500&amp;" có thể cấu hình xử lý loại bỏ hoặc thay thế giá trị ngoại lệ về "&amp;C500&amp;". Hệ thống ghi nhận quy tắc được thiết lập"</f>
        <v>1. Quản trị hệ thống thực hiện cấu hình kiểm tra quy tắc về chuẩn định dạng Thông tin chương trình dự án. Hệ thống ghi nhận quy tắc được thiết lập.
2. Quản trị hệ thống có thể cấu hình kiểm tra tính hợp lệ của dữ liệu về Thông tin chương trình dự án. Hệ thống ghi nhận quy tắc được thiết lập.
3. Quản trị hệ thống có thể cấu hình xử lý giá trị thiếu dữ liệu về Thông tin chương trình dự án. Hệ thống ghi nhận quy tắc được thiết lập.
4. Quản trị hệ thống có thể cấu hình xử lý loại bỏ hoặc thay thế giá trị ngoại lệ về Thông tin chương trình dự án. Hệ thống ghi nhận quy tắc được thiết lập</v>
      </c>
      <c r="H500" s="36" t="s">
        <v>5</v>
      </c>
      <c r="I500" s="36" t="s">
        <v>7</v>
      </c>
    </row>
    <row r="501" spans="1:9" ht="99">
      <c r="A501" s="36">
        <f>COUNTA($D$4:D501)</f>
        <v>439</v>
      </c>
      <c r="B501" s="38" t="str">
        <f>"Thiết lập quy tắc chuẩn hóa " &amp;C501</f>
        <v>Thiết lập quy tắc chuẩn hóa Thông tin chương trình dự án</v>
      </c>
      <c r="C501" s="50" t="s">
        <v>603</v>
      </c>
      <c r="D501" s="34" t="s">
        <v>28</v>
      </c>
      <c r="E501" s="35"/>
      <c r="F501" s="38"/>
      <c r="G501" s="38" t="str">
        <f>"1. "&amp;D501&amp; " thực hiện cấu hình kiểm tra đối sánh tồn tại dựa trên trường khóa của " &amp;C501&amp; ". Hệ thống ghi nhận quy tắc được thiết lập.
2. " &amp;D501&amp;" có thể cấu hình xử lý trùng lặp về "&amp;C501&amp;". Hệ thống ghi nhận quy tắc được thiết lập.
3. " &amp;D501&amp;" có thể cấu hình xử lý vi phạm về ràng buộc thuộc tính tham chiếu "&amp;C501&amp;". Hệ thống ghi nhận quy tắc được thiết lập."</f>
        <v>1. Quản trị hệ thống thực hiện cấu hình kiểm tra đối sánh tồn tại dựa trên trường khóa của Thông tin chương trình dự án. Hệ thống ghi nhận quy tắc được thiết lập.
2. Quản trị hệ thống có thể cấu hình xử lý trùng lặp về Thông tin chương trình dự án. Hệ thống ghi nhận quy tắc được thiết lập.
3. Quản trị hệ thống có thể cấu hình xử lý vi phạm về ràng buộc thuộc tính tham chiếu Thông tin chương trình dự án. Hệ thống ghi nhận quy tắc được thiết lập.</v>
      </c>
      <c r="H501" s="36" t="s">
        <v>5</v>
      </c>
      <c r="I501" s="36" t="s">
        <v>6</v>
      </c>
    </row>
    <row r="502" spans="1:9" ht="99">
      <c r="A502" s="36">
        <f>COUNTA($D$4:D502)</f>
        <v>440</v>
      </c>
      <c r="B502" s="38" t="str">
        <f>"Thiết lập quy tắc biến đổi " &amp;C502</f>
        <v>Thiết lập quy tắc biến đổi Thông tin chương trình dự án</v>
      </c>
      <c r="C502" s="50" t="s">
        <v>603</v>
      </c>
      <c r="D502" s="34" t="s">
        <v>28</v>
      </c>
      <c r="E502" s="35"/>
      <c r="F502" s="38"/>
      <c r="G502" s="38" t="str">
        <f>"1. "&amp;D502&amp; " thực hiện cấu hình kiểm tra quy tắc biến đổi định dạng dữ liệu về " &amp;C502&amp; ". Hệ thống ghi nhận quy tắc được thiết lập.
2. " &amp;D502&amp;" có thể cấu hình biến đổi gộp hoặc tách cột dữ liệu về "&amp;C502&amp;". Hệ thống ghi nhận quy tắc được thiết lập.
3. " &amp;D502&amp;" có thể cấu hình phân loại, gán nhãn dữ liệu về "&amp;C502&amp;". Hệ thống ghi nhận quy tắc được thiết lập."</f>
        <v>1. Quản trị hệ thống thực hiện cấu hình kiểm tra quy tắc biến đổi định dạng dữ liệu về Thông tin chương trình dự án. Hệ thống ghi nhận quy tắc được thiết lập.
2. Quản trị hệ thống có thể cấu hình biến đổi gộp hoặc tách cột dữ liệu về Thông tin chương trình dự án. Hệ thống ghi nhận quy tắc được thiết lập.
3. Quản trị hệ thống có thể cấu hình phân loại, gán nhãn dữ liệu về Thông tin chương trình dự án. Hệ thống ghi nhận quy tắc được thiết lập.</v>
      </c>
      <c r="H502" s="36" t="s">
        <v>5</v>
      </c>
      <c r="I502" s="36" t="s">
        <v>6</v>
      </c>
    </row>
    <row r="503" spans="1:9" ht="132">
      <c r="A503" s="36">
        <f>COUNTA($D$4:D503)</f>
        <v>441</v>
      </c>
      <c r="B503" s="38" t="str">
        <f t="shared" ref="B503" si="114">"Thiết lập quy tắc làm sạch " &amp;C503</f>
        <v>Thiết lập quy tắc làm sạch Danh sách chuyên gia</v>
      </c>
      <c r="C503" s="50" t="s">
        <v>604</v>
      </c>
      <c r="D503" s="34" t="s">
        <v>28</v>
      </c>
      <c r="E503" s="35"/>
      <c r="F503" s="38"/>
      <c r="G503" s="38" t="str">
        <f>"1. "&amp;D503&amp; " thực hiện cấu hình kiểm tra quy tắc về chuẩn định dạng " &amp;C503&amp; ". Hệ thống ghi nhận quy tắc được thiết lập.
2. " &amp;D503&amp;" có thể cấu hình kiểm tra tính hợp lệ của dữ liệu về "&amp;C503&amp;". Hệ thống ghi nhận quy tắc được thiết lập.
3. " &amp;D503&amp;" có thể cấu hình xử lý giá trị thiếu dữ liệu về "&amp;C503&amp;". Hệ thống ghi nhận quy tắc được thiết lập.
4. " &amp;D503&amp;" có thể cấu hình xử lý loại bỏ hoặc thay thế giá trị ngoại lệ về "&amp;C503&amp;". Hệ thống ghi nhận quy tắc được thiết lập"</f>
        <v>1. Quản trị hệ thống thực hiện cấu hình kiểm tra quy tắc về chuẩn định dạng Danh sách chuyên gia. Hệ thống ghi nhận quy tắc được thiết lập.
2. Quản trị hệ thống có thể cấu hình kiểm tra tính hợp lệ của dữ liệu về Danh sách chuyên gia. Hệ thống ghi nhận quy tắc được thiết lập.
3. Quản trị hệ thống có thể cấu hình xử lý giá trị thiếu dữ liệu về Danh sách chuyên gia. Hệ thống ghi nhận quy tắc được thiết lập.
4. Quản trị hệ thống có thể cấu hình xử lý loại bỏ hoặc thay thế giá trị ngoại lệ về Danh sách chuyên gia. Hệ thống ghi nhận quy tắc được thiết lập</v>
      </c>
      <c r="H503" s="36" t="s">
        <v>5</v>
      </c>
      <c r="I503" s="36" t="s">
        <v>7</v>
      </c>
    </row>
    <row r="504" spans="1:9" ht="99">
      <c r="A504" s="36">
        <f>COUNTA($D$4:D504)</f>
        <v>442</v>
      </c>
      <c r="B504" s="38" t="str">
        <f>"Thiết lập quy tắc chuẩn hóa " &amp;C504</f>
        <v>Thiết lập quy tắc chuẩn hóa Danh sách chuyên gia</v>
      </c>
      <c r="C504" s="50" t="s">
        <v>604</v>
      </c>
      <c r="D504" s="34" t="s">
        <v>28</v>
      </c>
      <c r="E504" s="35"/>
      <c r="F504" s="38"/>
      <c r="G504" s="38" t="str">
        <f>"1. "&amp;D504&amp; " thực hiện cấu hình kiểm tra đối sánh tồn tại dựa trên trường khóa của " &amp;C504&amp; ". Hệ thống ghi nhận quy tắc được thiết lập.
2. " &amp;D504&amp;" có thể cấu hình xử lý trùng lặp về "&amp;C504&amp;". Hệ thống ghi nhận quy tắc được thiết lập.
3. " &amp;D504&amp;" có thể cấu hình xử lý vi phạm về ràng buộc thuộc tính tham chiếu "&amp;C504&amp;". Hệ thống ghi nhận quy tắc được thiết lập."</f>
        <v>1. Quản trị hệ thống thực hiện cấu hình kiểm tra đối sánh tồn tại dựa trên trường khóa của Danh sách chuyên gia. Hệ thống ghi nhận quy tắc được thiết lập.
2. Quản trị hệ thống có thể cấu hình xử lý trùng lặp về Danh sách chuyên gia. Hệ thống ghi nhận quy tắc được thiết lập.
3. Quản trị hệ thống có thể cấu hình xử lý vi phạm về ràng buộc thuộc tính tham chiếu Danh sách chuyên gia. Hệ thống ghi nhận quy tắc được thiết lập.</v>
      </c>
      <c r="H504" s="36" t="s">
        <v>5</v>
      </c>
      <c r="I504" s="36" t="s">
        <v>6</v>
      </c>
    </row>
    <row r="505" spans="1:9" ht="99">
      <c r="A505" s="36">
        <f>COUNTA($D$4:D505)</f>
        <v>443</v>
      </c>
      <c r="B505" s="38" t="str">
        <f>"Thiết lập quy tắc biến đổi " &amp;C505</f>
        <v>Thiết lập quy tắc biến đổi Danh sách chuyên gia</v>
      </c>
      <c r="C505" s="50" t="s">
        <v>604</v>
      </c>
      <c r="D505" s="34" t="s">
        <v>28</v>
      </c>
      <c r="E505" s="35"/>
      <c r="F505" s="38"/>
      <c r="G505" s="38" t="str">
        <f>"1. "&amp;D505&amp; " thực hiện cấu hình kiểm tra quy tắc biến đổi định dạng dữ liệu về " &amp;C505&amp; ". Hệ thống ghi nhận quy tắc được thiết lập.
2. " &amp;D505&amp;" có thể cấu hình biến đổi gộp hoặc tách cột dữ liệu về "&amp;C505&amp;". Hệ thống ghi nhận quy tắc được thiết lập.
3. " &amp;D505&amp;" có thể cấu hình phân loại, gán nhãn dữ liệu về "&amp;C505&amp;". Hệ thống ghi nhận quy tắc được thiết lập."</f>
        <v>1. Quản trị hệ thống thực hiện cấu hình kiểm tra quy tắc biến đổi định dạng dữ liệu về Danh sách chuyên gia. Hệ thống ghi nhận quy tắc được thiết lập.
2. Quản trị hệ thống có thể cấu hình biến đổi gộp hoặc tách cột dữ liệu về Danh sách chuyên gia. Hệ thống ghi nhận quy tắc được thiết lập.
3. Quản trị hệ thống có thể cấu hình phân loại, gán nhãn dữ liệu về Danh sách chuyên gia. Hệ thống ghi nhận quy tắc được thiết lập.</v>
      </c>
      <c r="H505" s="36" t="s">
        <v>5</v>
      </c>
      <c r="I505" s="36" t="s">
        <v>6</v>
      </c>
    </row>
    <row r="506" spans="1:9" ht="132">
      <c r="A506" s="36">
        <f>COUNTA($D$4:D506)</f>
        <v>444</v>
      </c>
      <c r="B506" s="38" t="str">
        <f t="shared" ref="B506" si="115">"Thiết lập quy tắc làm sạch " &amp;C506</f>
        <v>Thiết lập quy tắc làm sạch Thông tin hội nghị, hội thảo</v>
      </c>
      <c r="C506" s="50" t="s">
        <v>605</v>
      </c>
      <c r="D506" s="34" t="s">
        <v>28</v>
      </c>
      <c r="E506" s="35"/>
      <c r="F506" s="38"/>
      <c r="G506" s="38" t="str">
        <f>"1. "&amp;D506&amp; " thực hiện cấu hình kiểm tra quy tắc về chuẩn định dạng " &amp;C506&amp; ". Hệ thống ghi nhận quy tắc được thiết lập.
2. " &amp;D506&amp;" có thể cấu hình kiểm tra tính hợp lệ của dữ liệu về "&amp;C506&amp;". Hệ thống ghi nhận quy tắc được thiết lập.
3. " &amp;D506&amp;" có thể cấu hình xử lý giá trị thiếu dữ liệu về "&amp;C506&amp;". Hệ thống ghi nhận quy tắc được thiết lập.
4. " &amp;D506&amp;" có thể cấu hình xử lý loại bỏ hoặc thay thế giá trị ngoại lệ về "&amp;C506&amp;". Hệ thống ghi nhận quy tắc được thiết lập"</f>
        <v>1. Quản trị hệ thống thực hiện cấu hình kiểm tra quy tắc về chuẩn định dạng Thông tin hội nghị, hội thảo. Hệ thống ghi nhận quy tắc được thiết lập.
2. Quản trị hệ thống có thể cấu hình kiểm tra tính hợp lệ của dữ liệu về Thông tin hội nghị, hội thảo. Hệ thống ghi nhận quy tắc được thiết lập.
3. Quản trị hệ thống có thể cấu hình xử lý giá trị thiếu dữ liệu về Thông tin hội nghị, hội thảo. Hệ thống ghi nhận quy tắc được thiết lập.
4. Quản trị hệ thống có thể cấu hình xử lý loại bỏ hoặc thay thế giá trị ngoại lệ về Thông tin hội nghị, hội thảo. Hệ thống ghi nhận quy tắc được thiết lập</v>
      </c>
      <c r="H506" s="36" t="s">
        <v>5</v>
      </c>
      <c r="I506" s="36" t="s">
        <v>7</v>
      </c>
    </row>
    <row r="507" spans="1:9" ht="99">
      <c r="A507" s="36">
        <f>COUNTA($D$4:D507)</f>
        <v>445</v>
      </c>
      <c r="B507" s="38" t="str">
        <f>"Thiết lập quy tắc chuẩn hóa " &amp;C507</f>
        <v>Thiết lập quy tắc chuẩn hóa Thông tin hội nghị, hội thảo</v>
      </c>
      <c r="C507" s="50" t="s">
        <v>605</v>
      </c>
      <c r="D507" s="34" t="s">
        <v>28</v>
      </c>
      <c r="E507" s="35"/>
      <c r="F507" s="38"/>
      <c r="G507" s="38" t="str">
        <f>"1. "&amp;D507&amp; " thực hiện cấu hình kiểm tra đối sánh tồn tại dựa trên trường khóa của " &amp;C507&amp; ". Hệ thống ghi nhận quy tắc được thiết lập.
2. " &amp;D507&amp;" có thể cấu hình xử lý trùng lặp về "&amp;C507&amp;". Hệ thống ghi nhận quy tắc được thiết lập.
3. " &amp;D507&amp;" có thể cấu hình xử lý vi phạm về ràng buộc thuộc tính tham chiếu "&amp;C507&amp;". Hệ thống ghi nhận quy tắc được thiết lập."</f>
        <v>1. Quản trị hệ thống thực hiện cấu hình kiểm tra đối sánh tồn tại dựa trên trường khóa của Thông tin hội nghị, hội thảo. Hệ thống ghi nhận quy tắc được thiết lập.
2. Quản trị hệ thống có thể cấu hình xử lý trùng lặp về Thông tin hội nghị, hội thảo. Hệ thống ghi nhận quy tắc được thiết lập.
3. Quản trị hệ thống có thể cấu hình xử lý vi phạm về ràng buộc thuộc tính tham chiếu Thông tin hội nghị, hội thảo. Hệ thống ghi nhận quy tắc được thiết lập.</v>
      </c>
      <c r="H507" s="36" t="s">
        <v>5</v>
      </c>
      <c r="I507" s="36" t="s">
        <v>6</v>
      </c>
    </row>
    <row r="508" spans="1:9" ht="99">
      <c r="A508" s="36">
        <f>COUNTA($D$4:D508)</f>
        <v>446</v>
      </c>
      <c r="B508" s="38" t="str">
        <f>"Thiết lập quy tắc biến đổi " &amp;C508</f>
        <v>Thiết lập quy tắc biến đổi Thông tin hội nghị, hội thảo</v>
      </c>
      <c r="C508" s="50" t="s">
        <v>605</v>
      </c>
      <c r="D508" s="34" t="s">
        <v>28</v>
      </c>
      <c r="E508" s="35"/>
      <c r="F508" s="38"/>
      <c r="G508" s="38" t="str">
        <f>"1. "&amp;D508&amp; " thực hiện cấu hình kiểm tra quy tắc biến đổi định dạng dữ liệu về " &amp;C508&amp; ". Hệ thống ghi nhận quy tắc được thiết lập.
2. " &amp;D508&amp;" có thể cấu hình biến đổi gộp hoặc tách cột dữ liệu về "&amp;C508&amp;". Hệ thống ghi nhận quy tắc được thiết lập.
3. " &amp;D508&amp;" có thể cấu hình phân loại, gán nhãn dữ liệu về "&amp;C508&amp;". Hệ thống ghi nhận quy tắc được thiết lập."</f>
        <v>1. Quản trị hệ thống thực hiện cấu hình kiểm tra quy tắc biến đổi định dạng dữ liệu về Thông tin hội nghị, hội thảo. Hệ thống ghi nhận quy tắc được thiết lập.
2. Quản trị hệ thống có thể cấu hình biến đổi gộp hoặc tách cột dữ liệu về Thông tin hội nghị, hội thảo. Hệ thống ghi nhận quy tắc được thiết lập.
3. Quản trị hệ thống có thể cấu hình phân loại, gán nhãn dữ liệu về Thông tin hội nghị, hội thảo. Hệ thống ghi nhận quy tắc được thiết lập.</v>
      </c>
      <c r="H508" s="36" t="s">
        <v>5</v>
      </c>
      <c r="I508" s="36" t="s">
        <v>6</v>
      </c>
    </row>
    <row r="509" spans="1:9" ht="148.5">
      <c r="A509" s="36">
        <f>COUNTA($D$4:D509)</f>
        <v>447</v>
      </c>
      <c r="B509" s="38" t="str">
        <f t="shared" ref="B509" si="116">"Thiết lập quy tắc làm sạch " &amp;C509</f>
        <v>Thiết lập quy tắc làm sạch Thông tin sản phẩm nghiên cứu, truyền thông</v>
      </c>
      <c r="C509" s="50" t="s">
        <v>606</v>
      </c>
      <c r="D509" s="34" t="s">
        <v>28</v>
      </c>
      <c r="E509" s="35"/>
      <c r="F509" s="38"/>
      <c r="G509" s="38" t="str">
        <f>"1. "&amp;D509&amp; " thực hiện cấu hình kiểm tra quy tắc về chuẩn định dạng " &amp;C509&amp; ". Hệ thống ghi nhận quy tắc được thiết lập.
2. " &amp;D509&amp;" có thể cấu hình kiểm tra tính hợp lệ của dữ liệu về "&amp;C509&amp;". Hệ thống ghi nhận quy tắc được thiết lập.
3. " &amp;D509&amp;" có thể cấu hình xử lý giá trị thiếu dữ liệu về "&amp;C509&amp;". Hệ thống ghi nhận quy tắc được thiết lập.
4. " &amp;D509&amp;" có thể cấu hình xử lý loại bỏ hoặc thay thế giá trị ngoại lệ về "&amp;C509&amp;". Hệ thống ghi nhận quy tắc được thiết lập"</f>
        <v>1. Quản trị hệ thống thực hiện cấu hình kiểm tra quy tắc về chuẩn định dạng Thông tin sản phẩm nghiên cứu, truyền thông. Hệ thống ghi nhận quy tắc được thiết lập.
2. Quản trị hệ thống có thể cấu hình kiểm tra tính hợp lệ của dữ liệu về Thông tin sản phẩm nghiên cứu, truyền thông. Hệ thống ghi nhận quy tắc được thiết lập.
3. Quản trị hệ thống có thể cấu hình xử lý giá trị thiếu dữ liệu về Thông tin sản phẩm nghiên cứu, truyền thông. Hệ thống ghi nhận quy tắc được thiết lập.
4. Quản trị hệ thống có thể cấu hình xử lý loại bỏ hoặc thay thế giá trị ngoại lệ về Thông tin sản phẩm nghiên cứu, truyền thông. Hệ thống ghi nhận quy tắc được thiết lập</v>
      </c>
      <c r="H509" s="36" t="s">
        <v>5</v>
      </c>
      <c r="I509" s="36" t="s">
        <v>7</v>
      </c>
    </row>
    <row r="510" spans="1:9" ht="132">
      <c r="A510" s="36">
        <f>COUNTA($D$4:D510)</f>
        <v>448</v>
      </c>
      <c r="B510" s="38" t="str">
        <f>"Thiết lập quy tắc chuẩn hóa " &amp;C510</f>
        <v>Thiết lập quy tắc chuẩn hóa Thông tin sản phẩm nghiên cứu, truyền thông</v>
      </c>
      <c r="C510" s="50" t="s">
        <v>606</v>
      </c>
      <c r="D510" s="34" t="s">
        <v>28</v>
      </c>
      <c r="E510" s="35"/>
      <c r="F510" s="38"/>
      <c r="G510" s="38" t="str">
        <f>"1. "&amp;D510&amp; " thực hiện cấu hình kiểm tra đối sánh tồn tại dựa trên trường khóa của " &amp;C510&amp; ". Hệ thống ghi nhận quy tắc được thiết lập.
2. " &amp;D510&amp;" có thể cấu hình xử lý trùng lặp về "&amp;C510&amp;". Hệ thống ghi nhận quy tắc được thiết lập.
3. " &amp;D510&amp;" có thể cấu hình xử lý vi phạm về ràng buộc thuộc tính tham chiếu "&amp;C510&amp;". Hệ thống ghi nhận quy tắc được thiết lập."</f>
        <v>1. Quản trị hệ thống thực hiện cấu hình kiểm tra đối sánh tồn tại dựa trên trường khóa của Thông tin sản phẩm nghiên cứu, truyền thông. Hệ thống ghi nhận quy tắc được thiết lập.
2. Quản trị hệ thống có thể cấu hình xử lý trùng lặp về Thông tin sản phẩm nghiên cứu, truyền thông. Hệ thống ghi nhận quy tắc được thiết lập.
3. Quản trị hệ thống có thể cấu hình xử lý vi phạm về ràng buộc thuộc tính tham chiếu Thông tin sản phẩm nghiên cứu, truyền thông. Hệ thống ghi nhận quy tắc được thiết lập.</v>
      </c>
      <c r="H510" s="36" t="s">
        <v>5</v>
      </c>
      <c r="I510" s="36" t="s">
        <v>6</v>
      </c>
    </row>
    <row r="511" spans="1:9" ht="115.5">
      <c r="A511" s="36">
        <f>COUNTA($D$4:D511)</f>
        <v>449</v>
      </c>
      <c r="B511" s="38" t="str">
        <f>"Thiết lập quy tắc biến đổi " &amp;C511</f>
        <v>Thiết lập quy tắc biến đổi Thông tin sản phẩm nghiên cứu, truyền thông</v>
      </c>
      <c r="C511" s="50" t="s">
        <v>606</v>
      </c>
      <c r="D511" s="34" t="s">
        <v>28</v>
      </c>
      <c r="E511" s="35"/>
      <c r="F511" s="38"/>
      <c r="G511" s="38" t="str">
        <f>"1. "&amp;D511&amp; " thực hiện cấu hình kiểm tra quy tắc biến đổi định dạng dữ liệu về " &amp;C511&amp; ". Hệ thống ghi nhận quy tắc được thiết lập.
2. " &amp;D511&amp;" có thể cấu hình biến đổi gộp hoặc tách cột dữ liệu về "&amp;C511&amp;". Hệ thống ghi nhận quy tắc được thiết lập.
3. " &amp;D511&amp;" có thể cấu hình phân loại, gán nhãn dữ liệu về "&amp;C511&amp;". Hệ thống ghi nhận quy tắc được thiết lập."</f>
        <v>1. Quản trị hệ thống thực hiện cấu hình kiểm tra quy tắc biến đổi định dạng dữ liệu về Thông tin sản phẩm nghiên cứu, truyền thông. Hệ thống ghi nhận quy tắc được thiết lập.
2. Quản trị hệ thống có thể cấu hình biến đổi gộp hoặc tách cột dữ liệu về Thông tin sản phẩm nghiên cứu, truyền thông. Hệ thống ghi nhận quy tắc được thiết lập.
3. Quản trị hệ thống có thể cấu hình phân loại, gán nhãn dữ liệu về Thông tin sản phẩm nghiên cứu, truyền thông. Hệ thống ghi nhận quy tắc được thiết lập.</v>
      </c>
      <c r="H511" s="36" t="s">
        <v>5</v>
      </c>
      <c r="I511" s="36" t="s">
        <v>6</v>
      </c>
    </row>
    <row r="512" spans="1:9" ht="132">
      <c r="A512" s="36">
        <f>COUNTA($D$4:D512)</f>
        <v>450</v>
      </c>
      <c r="B512" s="38" t="str">
        <f t="shared" ref="B512" si="117">"Thiết lập quy tắc làm sạch " &amp;C512</f>
        <v>Thiết lập quy tắc làm sạch Thông tin Đoàn</v>
      </c>
      <c r="C512" s="50" t="s">
        <v>607</v>
      </c>
      <c r="D512" s="34" t="s">
        <v>28</v>
      </c>
      <c r="E512" s="35"/>
      <c r="F512" s="38"/>
      <c r="G512" s="38" t="str">
        <f>"1. "&amp;D512&amp; " thực hiện cấu hình kiểm tra quy tắc về chuẩn định dạng " &amp;C512&amp; ". Hệ thống ghi nhận quy tắc được thiết lập.
2. " &amp;D512&amp;" có thể cấu hình kiểm tra tính hợp lệ của dữ liệu về "&amp;C512&amp;". Hệ thống ghi nhận quy tắc được thiết lập.
3. " &amp;D512&amp;" có thể cấu hình xử lý giá trị thiếu dữ liệu về "&amp;C512&amp;". Hệ thống ghi nhận quy tắc được thiết lập.
4. " &amp;D512&amp;" có thể cấu hình xử lý loại bỏ hoặc thay thế giá trị ngoại lệ về "&amp;C512&amp;". Hệ thống ghi nhận quy tắc được thiết lập"</f>
        <v>1. Quản trị hệ thống thực hiện cấu hình kiểm tra quy tắc về chuẩn định dạng Thông tin Đoàn. Hệ thống ghi nhận quy tắc được thiết lập.
2. Quản trị hệ thống có thể cấu hình kiểm tra tính hợp lệ của dữ liệu về Thông tin Đoàn. Hệ thống ghi nhận quy tắc được thiết lập.
3. Quản trị hệ thống có thể cấu hình xử lý giá trị thiếu dữ liệu về Thông tin Đoàn. Hệ thống ghi nhận quy tắc được thiết lập.
4. Quản trị hệ thống có thể cấu hình xử lý loại bỏ hoặc thay thế giá trị ngoại lệ về Thông tin Đoàn. Hệ thống ghi nhận quy tắc được thiết lập</v>
      </c>
      <c r="H512" s="36" t="s">
        <v>5</v>
      </c>
      <c r="I512" s="36" t="s">
        <v>7</v>
      </c>
    </row>
    <row r="513" spans="1:9" ht="99">
      <c r="A513" s="36">
        <f>COUNTA($D$4:D513)</f>
        <v>451</v>
      </c>
      <c r="B513" s="38" t="str">
        <f>"Thiết lập quy tắc chuẩn hóa " &amp;C513</f>
        <v>Thiết lập quy tắc chuẩn hóa Thông tin Đoàn</v>
      </c>
      <c r="C513" s="50" t="s">
        <v>607</v>
      </c>
      <c r="D513" s="34" t="s">
        <v>28</v>
      </c>
      <c r="E513" s="35"/>
      <c r="F513" s="38"/>
      <c r="G513" s="38" t="str">
        <f>"1. "&amp;D513&amp; " thực hiện cấu hình kiểm tra đối sánh tồn tại dựa trên trường khóa của " &amp;C513&amp; ". Hệ thống ghi nhận quy tắc được thiết lập.
2. " &amp;D513&amp;" có thể cấu hình xử lý trùng lặp về "&amp;C513&amp;". Hệ thống ghi nhận quy tắc được thiết lập.
3. " &amp;D513&amp;" có thể cấu hình xử lý vi phạm về ràng buộc thuộc tính tham chiếu "&amp;C513&amp;". Hệ thống ghi nhận quy tắc được thiết lập."</f>
        <v>1. Quản trị hệ thống thực hiện cấu hình kiểm tra đối sánh tồn tại dựa trên trường khóa của Thông tin Đoàn. Hệ thống ghi nhận quy tắc được thiết lập.
2. Quản trị hệ thống có thể cấu hình xử lý trùng lặp về Thông tin Đoàn. Hệ thống ghi nhận quy tắc được thiết lập.
3. Quản trị hệ thống có thể cấu hình xử lý vi phạm về ràng buộc thuộc tính tham chiếu Thông tin Đoàn. Hệ thống ghi nhận quy tắc được thiết lập.</v>
      </c>
      <c r="H513" s="36" t="s">
        <v>5</v>
      </c>
      <c r="I513" s="36" t="s">
        <v>6</v>
      </c>
    </row>
    <row r="514" spans="1:9" ht="99">
      <c r="A514" s="36">
        <f>COUNTA($D$4:D514)</f>
        <v>452</v>
      </c>
      <c r="B514" s="38" t="str">
        <f>"Thiết lập quy tắc biến đổi " &amp;C514</f>
        <v>Thiết lập quy tắc biến đổi Thông tin Đoàn</v>
      </c>
      <c r="C514" s="50" t="s">
        <v>607</v>
      </c>
      <c r="D514" s="34" t="s">
        <v>28</v>
      </c>
      <c r="E514" s="35"/>
      <c r="F514" s="38"/>
      <c r="G514" s="38" t="str">
        <f>"1. "&amp;D514&amp; " thực hiện cấu hình kiểm tra quy tắc biến đổi định dạng dữ liệu về " &amp;C514&amp; ". Hệ thống ghi nhận quy tắc được thiết lập.
2. " &amp;D514&amp;" có thể cấu hình biến đổi gộp hoặc tách cột dữ liệu về "&amp;C514&amp;". Hệ thống ghi nhận quy tắc được thiết lập.
3. " &amp;D514&amp;" có thể cấu hình phân loại, gán nhãn dữ liệu về "&amp;C514&amp;". Hệ thống ghi nhận quy tắc được thiết lập."</f>
        <v>1. Quản trị hệ thống thực hiện cấu hình kiểm tra quy tắc biến đổi định dạng dữ liệu về Thông tin Đoàn. Hệ thống ghi nhận quy tắc được thiết lập.
2. Quản trị hệ thống có thể cấu hình biến đổi gộp hoặc tách cột dữ liệu về Thông tin Đoàn. Hệ thống ghi nhận quy tắc được thiết lập.
3. Quản trị hệ thống có thể cấu hình phân loại, gán nhãn dữ liệu về Thông tin Đoàn. Hệ thống ghi nhận quy tắc được thiết lập.</v>
      </c>
      <c r="H514" s="36" t="s">
        <v>5</v>
      </c>
      <c r="I514" s="36" t="s">
        <v>6</v>
      </c>
    </row>
    <row r="515" spans="1:9" ht="33">
      <c r="A515" s="32" t="s">
        <v>13</v>
      </c>
      <c r="B515" s="33" t="s">
        <v>182</v>
      </c>
      <c r="C515" s="33"/>
      <c r="D515" s="34"/>
      <c r="E515" s="35"/>
      <c r="F515" s="35"/>
      <c r="G515" s="35"/>
      <c r="H515" s="36"/>
      <c r="I515" s="36"/>
    </row>
    <row r="516" spans="1:9" ht="16.5">
      <c r="A516" s="41" t="s">
        <v>183</v>
      </c>
      <c r="B516" s="59" t="s">
        <v>184</v>
      </c>
      <c r="C516" s="28"/>
      <c r="D516" s="34"/>
      <c r="E516" s="35"/>
      <c r="F516" s="35"/>
      <c r="G516" s="35"/>
      <c r="H516" s="36"/>
      <c r="I516" s="36"/>
    </row>
    <row r="517" spans="1:9" ht="165">
      <c r="A517" s="36">
        <f>COUNTA($D$4:D517)</f>
        <v>453</v>
      </c>
      <c r="B517" s="28" t="s">
        <v>185</v>
      </c>
      <c r="C517" s="28" t="s">
        <v>186</v>
      </c>
      <c r="D517" s="34" t="s">
        <v>28</v>
      </c>
      <c r="E517" s="35"/>
      <c r="F517" s="38" t="s">
        <v>337</v>
      </c>
      <c r="G517" s="38" t="s">
        <v>509</v>
      </c>
      <c r="H517" s="36" t="s">
        <v>5</v>
      </c>
      <c r="I517" s="34" t="s">
        <v>7</v>
      </c>
    </row>
    <row r="518" spans="1:9" ht="297">
      <c r="A518" s="36">
        <f>COUNTA($D$4:D518)</f>
        <v>454</v>
      </c>
      <c r="B518" s="28" t="s">
        <v>187</v>
      </c>
      <c r="C518" s="28" t="s">
        <v>188</v>
      </c>
      <c r="D518" s="34" t="s">
        <v>28</v>
      </c>
      <c r="E518" s="35"/>
      <c r="F518" s="38" t="s">
        <v>338</v>
      </c>
      <c r="G518" s="38" t="s">
        <v>491</v>
      </c>
      <c r="H518" s="36" t="s">
        <v>5</v>
      </c>
      <c r="I518" s="34" t="s">
        <v>8</v>
      </c>
    </row>
    <row r="519" spans="1:9" ht="330">
      <c r="A519" s="36">
        <f>COUNTA($D$4:D519)</f>
        <v>455</v>
      </c>
      <c r="B519" s="28" t="s">
        <v>189</v>
      </c>
      <c r="C519" s="28" t="s">
        <v>190</v>
      </c>
      <c r="D519" s="34" t="s">
        <v>28</v>
      </c>
      <c r="E519" s="35"/>
      <c r="F519" s="38" t="s">
        <v>492</v>
      </c>
      <c r="G519" s="38" t="s">
        <v>493</v>
      </c>
      <c r="H519" s="36" t="s">
        <v>5</v>
      </c>
      <c r="I519" s="34" t="s">
        <v>8</v>
      </c>
    </row>
    <row r="520" spans="1:9" ht="132">
      <c r="A520" s="36">
        <f>COUNTA($D$4:D520)</f>
        <v>456</v>
      </c>
      <c r="B520" s="28" t="s">
        <v>191</v>
      </c>
      <c r="C520" s="28" t="s">
        <v>192</v>
      </c>
      <c r="D520" s="34" t="s">
        <v>28</v>
      </c>
      <c r="E520" s="35"/>
      <c r="F520" s="38" t="s">
        <v>423</v>
      </c>
      <c r="G520" s="38" t="s">
        <v>494</v>
      </c>
      <c r="H520" s="36" t="s">
        <v>5</v>
      </c>
      <c r="I520" s="34" t="s">
        <v>7</v>
      </c>
    </row>
    <row r="521" spans="1:9" ht="115.5">
      <c r="A521" s="36">
        <f>COUNTA($D$4:D521)</f>
        <v>457</v>
      </c>
      <c r="B521" s="28" t="s">
        <v>193</v>
      </c>
      <c r="C521" s="28"/>
      <c r="D521" s="28" t="s">
        <v>194</v>
      </c>
      <c r="E521" s="35"/>
      <c r="F521" s="38" t="s">
        <v>342</v>
      </c>
      <c r="G521" s="38" t="s">
        <v>495</v>
      </c>
      <c r="H521" s="36" t="s">
        <v>5</v>
      </c>
      <c r="I521" s="34" t="s">
        <v>6</v>
      </c>
    </row>
    <row r="522" spans="1:9" ht="115.5">
      <c r="A522" s="36">
        <f>COUNTA($D$4:D522)</f>
        <v>458</v>
      </c>
      <c r="B522" s="28" t="s">
        <v>339</v>
      </c>
      <c r="C522" s="28"/>
      <c r="D522" s="28" t="s">
        <v>194</v>
      </c>
      <c r="E522" s="35"/>
      <c r="F522" s="38" t="s">
        <v>343</v>
      </c>
      <c r="G522" s="38" t="s">
        <v>487</v>
      </c>
      <c r="H522" s="36" t="s">
        <v>5</v>
      </c>
      <c r="I522" s="34" t="s">
        <v>6</v>
      </c>
    </row>
    <row r="523" spans="1:9" ht="132">
      <c r="A523" s="36">
        <f>COUNTA($D$4:D523)</f>
        <v>459</v>
      </c>
      <c r="B523" s="28" t="s">
        <v>340</v>
      </c>
      <c r="C523" s="28"/>
      <c r="D523" s="28" t="s">
        <v>194</v>
      </c>
      <c r="E523" s="35"/>
      <c r="F523" s="38" t="s">
        <v>344</v>
      </c>
      <c r="G523" s="38" t="s">
        <v>488</v>
      </c>
      <c r="H523" s="36" t="s">
        <v>5</v>
      </c>
      <c r="I523" s="34" t="s">
        <v>6</v>
      </c>
    </row>
    <row r="524" spans="1:9" ht="99">
      <c r="A524" s="36">
        <f>COUNTA($D$4:D524)</f>
        <v>460</v>
      </c>
      <c r="B524" s="28" t="s">
        <v>195</v>
      </c>
      <c r="C524" s="28"/>
      <c r="D524" s="28" t="s">
        <v>28</v>
      </c>
      <c r="E524" s="35"/>
      <c r="F524" s="38" t="s">
        <v>345</v>
      </c>
      <c r="G524" s="38" t="s">
        <v>489</v>
      </c>
      <c r="H524" s="36" t="s">
        <v>5</v>
      </c>
      <c r="I524" s="34" t="s">
        <v>6</v>
      </c>
    </row>
    <row r="525" spans="1:9" ht="132">
      <c r="A525" s="36">
        <f>COUNTA($D$4:D525)</f>
        <v>461</v>
      </c>
      <c r="B525" s="28" t="s">
        <v>341</v>
      </c>
      <c r="C525" s="28"/>
      <c r="D525" s="28" t="s">
        <v>194</v>
      </c>
      <c r="E525" s="35"/>
      <c r="F525" s="38" t="s">
        <v>346</v>
      </c>
      <c r="G525" s="38" t="s">
        <v>490</v>
      </c>
      <c r="H525" s="36" t="s">
        <v>5</v>
      </c>
      <c r="I525" s="34" t="s">
        <v>7</v>
      </c>
    </row>
    <row r="526" spans="1:9" ht="33">
      <c r="A526" s="41" t="s">
        <v>196</v>
      </c>
      <c r="B526" s="59" t="s">
        <v>332</v>
      </c>
      <c r="C526" s="28"/>
      <c r="D526" s="34"/>
      <c r="E526" s="35"/>
      <c r="F526" s="35"/>
      <c r="G526" s="35"/>
      <c r="H526" s="36"/>
      <c r="I526" s="34"/>
    </row>
    <row r="527" spans="1:9" ht="148.5">
      <c r="A527" s="36">
        <f>COUNTA($D$4:D527)</f>
        <v>462</v>
      </c>
      <c r="B527" s="28" t="s">
        <v>333</v>
      </c>
      <c r="C527" s="28"/>
      <c r="D527" s="28" t="s">
        <v>28</v>
      </c>
      <c r="E527" s="35"/>
      <c r="F527" s="28" t="s">
        <v>197</v>
      </c>
      <c r="G527" s="38" t="s">
        <v>498</v>
      </c>
      <c r="H527" s="36" t="s">
        <v>5</v>
      </c>
      <c r="I527" s="34" t="s">
        <v>7</v>
      </c>
    </row>
    <row r="528" spans="1:9" ht="115.5">
      <c r="A528" s="36">
        <f>COUNTA($D$4:D528)</f>
        <v>463</v>
      </c>
      <c r="B528" s="28" t="s">
        <v>198</v>
      </c>
      <c r="C528" s="28"/>
      <c r="D528" s="28" t="s">
        <v>28</v>
      </c>
      <c r="E528" s="35"/>
      <c r="F528" s="28" t="s">
        <v>199</v>
      </c>
      <c r="G528" s="38" t="s">
        <v>497</v>
      </c>
      <c r="H528" s="36" t="s">
        <v>5</v>
      </c>
      <c r="I528" s="34" t="s">
        <v>6</v>
      </c>
    </row>
    <row r="529" spans="1:9" ht="132">
      <c r="A529" s="36">
        <f>COUNTA($D$4:D529)</f>
        <v>464</v>
      </c>
      <c r="B529" s="28" t="s">
        <v>200</v>
      </c>
      <c r="C529" s="28"/>
      <c r="D529" s="28" t="s">
        <v>28</v>
      </c>
      <c r="E529" s="35"/>
      <c r="F529" s="28" t="s">
        <v>201</v>
      </c>
      <c r="G529" s="38" t="s">
        <v>499</v>
      </c>
      <c r="H529" s="36" t="s">
        <v>5</v>
      </c>
      <c r="I529" s="34" t="s">
        <v>7</v>
      </c>
    </row>
    <row r="530" spans="1:9" ht="115.5">
      <c r="A530" s="36">
        <f>COUNTA($D$4:D530)</f>
        <v>465</v>
      </c>
      <c r="B530" s="28" t="s">
        <v>202</v>
      </c>
      <c r="C530" s="28"/>
      <c r="D530" s="28" t="s">
        <v>194</v>
      </c>
      <c r="E530" s="35"/>
      <c r="F530" s="28" t="s">
        <v>203</v>
      </c>
      <c r="G530" s="38" t="s">
        <v>500</v>
      </c>
      <c r="H530" s="36" t="s">
        <v>5</v>
      </c>
      <c r="I530" s="34" t="s">
        <v>6</v>
      </c>
    </row>
    <row r="531" spans="1:9" ht="99">
      <c r="A531" s="36">
        <f>COUNTA($D$4:D531)</f>
        <v>466</v>
      </c>
      <c r="B531" s="28" t="s">
        <v>204</v>
      </c>
      <c r="C531" s="28"/>
      <c r="D531" s="28" t="s">
        <v>194</v>
      </c>
      <c r="E531" s="35"/>
      <c r="F531" s="28" t="s">
        <v>205</v>
      </c>
      <c r="G531" s="38" t="s">
        <v>501</v>
      </c>
      <c r="H531" s="36" t="s">
        <v>5</v>
      </c>
      <c r="I531" s="34" t="s">
        <v>6</v>
      </c>
    </row>
    <row r="532" spans="1:9" ht="16.5">
      <c r="A532" s="41" t="s">
        <v>206</v>
      </c>
      <c r="B532" s="59" t="s">
        <v>207</v>
      </c>
      <c r="C532" s="28"/>
      <c r="D532" s="28"/>
      <c r="E532" s="35"/>
      <c r="F532" s="35"/>
      <c r="G532" s="35"/>
      <c r="H532" s="36"/>
      <c r="I532" s="34"/>
    </row>
    <row r="533" spans="1:9" ht="99">
      <c r="A533" s="36">
        <f>COUNTA($D$4:D533)</f>
        <v>467</v>
      </c>
      <c r="B533" s="28" t="s">
        <v>208</v>
      </c>
      <c r="C533" s="28"/>
      <c r="D533" s="28" t="s">
        <v>28</v>
      </c>
      <c r="E533" s="35"/>
      <c r="F533" s="28" t="s">
        <v>209</v>
      </c>
      <c r="G533" s="38" t="s">
        <v>502</v>
      </c>
      <c r="H533" s="36" t="s">
        <v>5</v>
      </c>
      <c r="I533" s="34" t="s">
        <v>6</v>
      </c>
    </row>
    <row r="534" spans="1:9" ht="82.5">
      <c r="A534" s="36">
        <f>COUNTA($D$4:D534)</f>
        <v>468</v>
      </c>
      <c r="B534" s="28" t="s">
        <v>210</v>
      </c>
      <c r="C534" s="28"/>
      <c r="D534" s="28" t="s">
        <v>28</v>
      </c>
      <c r="E534" s="35"/>
      <c r="F534" s="28" t="s">
        <v>211</v>
      </c>
      <c r="G534" s="38" t="s">
        <v>503</v>
      </c>
      <c r="H534" s="36" t="s">
        <v>5</v>
      </c>
      <c r="I534" s="34" t="s">
        <v>6</v>
      </c>
    </row>
    <row r="535" spans="1:9" ht="132">
      <c r="A535" s="36">
        <f>COUNTA($D$4:D535)</f>
        <v>469</v>
      </c>
      <c r="B535" s="28" t="s">
        <v>212</v>
      </c>
      <c r="C535" s="28"/>
      <c r="D535" s="28" t="s">
        <v>28</v>
      </c>
      <c r="E535" s="35"/>
      <c r="F535" s="28" t="s">
        <v>213</v>
      </c>
      <c r="G535" s="38" t="s">
        <v>504</v>
      </c>
      <c r="H535" s="36" t="s">
        <v>5</v>
      </c>
      <c r="I535" s="34" t="s">
        <v>7</v>
      </c>
    </row>
    <row r="536" spans="1:9" ht="198">
      <c r="A536" s="36">
        <f>COUNTA($D$4:D536)</f>
        <v>470</v>
      </c>
      <c r="B536" s="28" t="s">
        <v>214</v>
      </c>
      <c r="C536" s="28"/>
      <c r="D536" s="28" t="s">
        <v>28</v>
      </c>
      <c r="E536" s="35"/>
      <c r="F536" s="28" t="s">
        <v>215</v>
      </c>
      <c r="G536" s="38" t="s">
        <v>506</v>
      </c>
      <c r="H536" s="36" t="s">
        <v>5</v>
      </c>
      <c r="I536" s="34" t="s">
        <v>7</v>
      </c>
    </row>
    <row r="537" spans="1:9" ht="198">
      <c r="A537" s="36">
        <f>COUNTA($D$4:D537)</f>
        <v>471</v>
      </c>
      <c r="B537" s="28" t="s">
        <v>216</v>
      </c>
      <c r="C537" s="28"/>
      <c r="D537" s="28" t="s">
        <v>28</v>
      </c>
      <c r="E537" s="35"/>
      <c r="F537" s="28" t="s">
        <v>217</v>
      </c>
      <c r="G537" s="38" t="s">
        <v>505</v>
      </c>
      <c r="H537" s="36" t="s">
        <v>5</v>
      </c>
      <c r="I537" s="34" t="s">
        <v>7</v>
      </c>
    </row>
    <row r="538" spans="1:9" ht="66">
      <c r="A538" s="36">
        <f>COUNTA($D$4:D538)</f>
        <v>472</v>
      </c>
      <c r="B538" s="28" t="s">
        <v>218</v>
      </c>
      <c r="C538" s="28"/>
      <c r="D538" s="28" t="s">
        <v>28</v>
      </c>
      <c r="E538" s="35"/>
      <c r="F538" s="28"/>
      <c r="G538" s="38" t="s">
        <v>507</v>
      </c>
      <c r="H538" s="36" t="s">
        <v>5</v>
      </c>
      <c r="I538" s="34" t="s">
        <v>6</v>
      </c>
    </row>
    <row r="539" spans="1:9" ht="99">
      <c r="A539" s="36">
        <f>COUNTA($D$4:D539)</f>
        <v>473</v>
      </c>
      <c r="B539" s="28" t="s">
        <v>219</v>
      </c>
      <c r="C539" s="35"/>
      <c r="D539" s="28" t="s">
        <v>28</v>
      </c>
      <c r="E539" s="35"/>
      <c r="F539" s="35"/>
      <c r="G539" s="38" t="s">
        <v>508</v>
      </c>
      <c r="H539" s="36" t="s">
        <v>5</v>
      </c>
      <c r="I539" s="34" t="s">
        <v>6</v>
      </c>
    </row>
    <row r="540" spans="1:9" ht="33">
      <c r="A540" s="32" t="s">
        <v>14</v>
      </c>
      <c r="B540" s="33" t="s">
        <v>220</v>
      </c>
      <c r="C540" s="33"/>
      <c r="D540" s="28"/>
      <c r="E540" s="35"/>
      <c r="F540" s="35"/>
      <c r="G540" s="35"/>
      <c r="H540" s="36"/>
      <c r="I540" s="34"/>
    </row>
    <row r="541" spans="1:9" ht="16.5">
      <c r="A541" s="41" t="s">
        <v>221</v>
      </c>
      <c r="B541" s="59" t="s">
        <v>222</v>
      </c>
      <c r="C541" s="34"/>
      <c r="D541" s="28"/>
      <c r="E541" s="35"/>
      <c r="F541" s="35"/>
      <c r="G541" s="35"/>
      <c r="H541" s="36"/>
      <c r="I541" s="34"/>
    </row>
    <row r="542" spans="1:9" ht="181.5">
      <c r="A542" s="36">
        <f>COUNTA($D$4:D542)</f>
        <v>474</v>
      </c>
      <c r="B542" s="38" t="s">
        <v>222</v>
      </c>
      <c r="C542" s="35"/>
      <c r="D542" s="28" t="s">
        <v>28</v>
      </c>
      <c r="E542" s="35"/>
      <c r="F542" s="38" t="s">
        <v>223</v>
      </c>
      <c r="G542" s="38" t="s">
        <v>510</v>
      </c>
      <c r="H542" s="36" t="s">
        <v>5</v>
      </c>
      <c r="I542" s="34" t="s">
        <v>7</v>
      </c>
    </row>
    <row r="543" spans="1:9" ht="132">
      <c r="A543" s="36">
        <f>COUNTA($D$4:D543)</f>
        <v>475</v>
      </c>
      <c r="B543" s="38" t="s">
        <v>511</v>
      </c>
      <c r="C543" s="35"/>
      <c r="D543" s="28" t="s">
        <v>28</v>
      </c>
      <c r="E543" s="35"/>
      <c r="F543" s="38" t="s">
        <v>424</v>
      </c>
      <c r="G543" s="38" t="s">
        <v>512</v>
      </c>
      <c r="H543" s="36" t="s">
        <v>5</v>
      </c>
      <c r="I543" s="34" t="s">
        <v>7</v>
      </c>
    </row>
    <row r="544" spans="1:9" ht="165">
      <c r="A544" s="36">
        <f>COUNTA($D$4:D544)</f>
        <v>476</v>
      </c>
      <c r="B544" s="38" t="s">
        <v>369</v>
      </c>
      <c r="C544" s="35"/>
      <c r="D544" s="28" t="s">
        <v>28</v>
      </c>
      <c r="E544" s="35"/>
      <c r="F544" s="38" t="s">
        <v>224</v>
      </c>
      <c r="G544" s="38" t="s">
        <v>513</v>
      </c>
      <c r="H544" s="36" t="s">
        <v>5</v>
      </c>
      <c r="I544" s="34" t="s">
        <v>7</v>
      </c>
    </row>
    <row r="545" spans="1:9" ht="16.5">
      <c r="A545" s="41" t="s">
        <v>225</v>
      </c>
      <c r="B545" s="59" t="s">
        <v>226</v>
      </c>
      <c r="C545" s="35"/>
      <c r="D545" s="28"/>
      <c r="E545" s="35"/>
      <c r="F545" s="35"/>
      <c r="G545" s="35"/>
      <c r="H545" s="36"/>
      <c r="I545" s="36"/>
    </row>
    <row r="546" spans="1:9" ht="115.5">
      <c r="A546" s="36">
        <f>COUNTA($D$4:D546)</f>
        <v>477</v>
      </c>
      <c r="B546" s="38" t="s">
        <v>227</v>
      </c>
      <c r="C546" s="35"/>
      <c r="D546" s="28" t="s">
        <v>228</v>
      </c>
      <c r="E546" s="35"/>
      <c r="F546" s="38" t="s">
        <v>229</v>
      </c>
      <c r="G546" s="38" t="s">
        <v>514</v>
      </c>
      <c r="H546" s="36" t="s">
        <v>5</v>
      </c>
      <c r="I546" s="34" t="s">
        <v>6</v>
      </c>
    </row>
    <row r="547" spans="1:9" ht="181.5">
      <c r="A547" s="36">
        <f>COUNTA($D$4:D547)</f>
        <v>478</v>
      </c>
      <c r="B547" s="38" t="s">
        <v>230</v>
      </c>
      <c r="C547" s="35"/>
      <c r="D547" s="28" t="s">
        <v>28</v>
      </c>
      <c r="E547" s="35"/>
      <c r="F547" s="38" t="s">
        <v>391</v>
      </c>
      <c r="G547" s="38" t="s">
        <v>515</v>
      </c>
      <c r="H547" s="36" t="s">
        <v>5</v>
      </c>
      <c r="I547" s="34" t="s">
        <v>7</v>
      </c>
    </row>
    <row r="548" spans="1:9" ht="165">
      <c r="A548" s="36">
        <f>COUNTA($D$4:D548)</f>
        <v>479</v>
      </c>
      <c r="B548" s="38" t="s">
        <v>231</v>
      </c>
      <c r="C548" s="35"/>
      <c r="D548" s="28" t="s">
        <v>232</v>
      </c>
      <c r="E548" s="35"/>
      <c r="F548" s="38" t="s">
        <v>233</v>
      </c>
      <c r="G548" s="38" t="s">
        <v>516</v>
      </c>
      <c r="H548" s="36" t="s">
        <v>5</v>
      </c>
      <c r="I548" s="34" t="s">
        <v>6</v>
      </c>
    </row>
    <row r="549" spans="1:9" ht="115.5">
      <c r="A549" s="36">
        <f>COUNTA($D$4:D549)</f>
        <v>480</v>
      </c>
      <c r="B549" s="38" t="s">
        <v>234</v>
      </c>
      <c r="C549" s="35"/>
      <c r="D549" s="28" t="s">
        <v>228</v>
      </c>
      <c r="E549" s="35"/>
      <c r="F549" s="38" t="s">
        <v>235</v>
      </c>
      <c r="G549" s="38" t="s">
        <v>517</v>
      </c>
      <c r="H549" s="36" t="s">
        <v>5</v>
      </c>
      <c r="I549" s="34" t="s">
        <v>7</v>
      </c>
    </row>
    <row r="550" spans="1:9" ht="16.5">
      <c r="A550" s="41" t="s">
        <v>236</v>
      </c>
      <c r="B550" s="42" t="s">
        <v>370</v>
      </c>
      <c r="C550" s="35"/>
      <c r="D550" s="28"/>
      <c r="E550" s="35"/>
      <c r="F550" s="35"/>
      <c r="G550" s="35"/>
      <c r="H550" s="36"/>
      <c r="I550" s="36"/>
    </row>
    <row r="551" spans="1:9" ht="165">
      <c r="A551" s="36">
        <f>COUNTA($D$4:D551)</f>
        <v>481</v>
      </c>
      <c r="B551" s="38" t="s">
        <v>237</v>
      </c>
      <c r="C551" s="35"/>
      <c r="D551" s="28" t="s">
        <v>28</v>
      </c>
      <c r="E551" s="35"/>
      <c r="F551" s="38" t="s">
        <v>238</v>
      </c>
      <c r="G551" s="38" t="s">
        <v>518</v>
      </c>
      <c r="H551" s="36" t="s">
        <v>5</v>
      </c>
      <c r="I551" s="34" t="s">
        <v>7</v>
      </c>
    </row>
    <row r="552" spans="1:9" ht="132">
      <c r="A552" s="36">
        <f>COUNTA($D$4:D552)</f>
        <v>482</v>
      </c>
      <c r="B552" s="38" t="s">
        <v>370</v>
      </c>
      <c r="C552" s="35"/>
      <c r="D552" s="28" t="s">
        <v>28</v>
      </c>
      <c r="E552" s="35"/>
      <c r="F552" s="38"/>
      <c r="G552" s="38" t="s">
        <v>520</v>
      </c>
      <c r="H552" s="36" t="s">
        <v>5</v>
      </c>
      <c r="I552" s="34" t="s">
        <v>7</v>
      </c>
    </row>
    <row r="553" spans="1:9" ht="132">
      <c r="A553" s="36">
        <f>COUNTA($D$4:D553)</f>
        <v>483</v>
      </c>
      <c r="B553" s="38" t="s">
        <v>239</v>
      </c>
      <c r="C553" s="35"/>
      <c r="D553" s="28" t="s">
        <v>28</v>
      </c>
      <c r="E553" s="35"/>
      <c r="F553" s="38" t="s">
        <v>240</v>
      </c>
      <c r="G553" s="38" t="s">
        <v>519</v>
      </c>
      <c r="H553" s="36" t="s">
        <v>5</v>
      </c>
      <c r="I553" s="34" t="s">
        <v>7</v>
      </c>
    </row>
    <row r="554" spans="1:9" ht="132">
      <c r="A554" s="36">
        <f>COUNTA($D$4:D554)</f>
        <v>484</v>
      </c>
      <c r="B554" s="38" t="s">
        <v>241</v>
      </c>
      <c r="C554" s="35"/>
      <c r="D554" s="28" t="s">
        <v>28</v>
      </c>
      <c r="E554" s="35"/>
      <c r="F554" s="38" t="s">
        <v>242</v>
      </c>
      <c r="G554" s="38" t="s">
        <v>521</v>
      </c>
      <c r="H554" s="36" t="s">
        <v>5</v>
      </c>
      <c r="I554" s="34" t="s">
        <v>6</v>
      </c>
    </row>
    <row r="555" spans="1:9" ht="33">
      <c r="A555" s="32" t="s">
        <v>243</v>
      </c>
      <c r="B555" s="33" t="s">
        <v>244</v>
      </c>
      <c r="C555" s="33"/>
      <c r="D555" s="28"/>
      <c r="E555" s="35"/>
      <c r="F555" s="35"/>
      <c r="G555" s="35"/>
      <c r="H555" s="36"/>
      <c r="I555" s="34"/>
    </row>
    <row r="556" spans="1:9" ht="16.5">
      <c r="A556" s="41" t="s">
        <v>245</v>
      </c>
      <c r="B556" s="42" t="s">
        <v>246</v>
      </c>
      <c r="C556" s="35"/>
      <c r="D556" s="28"/>
      <c r="E556" s="35"/>
      <c r="F556" s="35"/>
      <c r="G556" s="35"/>
      <c r="H556" s="36"/>
      <c r="I556" s="36"/>
    </row>
    <row r="557" spans="1:9" ht="99">
      <c r="A557" s="36">
        <f>COUNTA($D$4:D557)</f>
        <v>485</v>
      </c>
      <c r="B557" s="38" t="s">
        <v>247</v>
      </c>
      <c r="C557" s="35"/>
      <c r="D557" s="28" t="s">
        <v>28</v>
      </c>
      <c r="E557" s="28"/>
      <c r="F557" s="28" t="s">
        <v>248</v>
      </c>
      <c r="G557" s="38" t="s">
        <v>522</v>
      </c>
      <c r="H557" s="36" t="s">
        <v>5</v>
      </c>
      <c r="I557" s="34" t="s">
        <v>6</v>
      </c>
    </row>
    <row r="558" spans="1:9" ht="132">
      <c r="A558" s="36">
        <f>COUNTA($D$4:D558)</f>
        <v>486</v>
      </c>
      <c r="B558" s="38" t="s">
        <v>249</v>
      </c>
      <c r="C558" s="35"/>
      <c r="D558" s="28" t="s">
        <v>28</v>
      </c>
      <c r="E558" s="28"/>
      <c r="F558" s="28" t="s">
        <v>250</v>
      </c>
      <c r="G558" s="38" t="s">
        <v>523</v>
      </c>
      <c r="H558" s="36" t="s">
        <v>5</v>
      </c>
      <c r="I558" s="34" t="s">
        <v>7</v>
      </c>
    </row>
    <row r="559" spans="1:9" ht="132">
      <c r="A559" s="36">
        <f>COUNTA($D$4:D559)</f>
        <v>487</v>
      </c>
      <c r="B559" s="38" t="s">
        <v>251</v>
      </c>
      <c r="C559" s="35"/>
      <c r="D559" s="28" t="s">
        <v>28</v>
      </c>
      <c r="E559" s="28"/>
      <c r="F559" s="28" t="s">
        <v>252</v>
      </c>
      <c r="G559" s="38" t="s">
        <v>525</v>
      </c>
      <c r="H559" s="36" t="s">
        <v>5</v>
      </c>
      <c r="I559" s="34" t="s">
        <v>6</v>
      </c>
    </row>
    <row r="560" spans="1:9" ht="99">
      <c r="A560" s="36">
        <f>COUNTA($D$4:D560)</f>
        <v>488</v>
      </c>
      <c r="B560" s="38" t="s">
        <v>253</v>
      </c>
      <c r="C560" s="35"/>
      <c r="D560" s="28" t="s">
        <v>28</v>
      </c>
      <c r="E560" s="28"/>
      <c r="F560" s="28" t="s">
        <v>254</v>
      </c>
      <c r="G560" s="38" t="s">
        <v>526</v>
      </c>
      <c r="H560" s="36" t="s">
        <v>5</v>
      </c>
      <c r="I560" s="34" t="s">
        <v>7</v>
      </c>
    </row>
    <row r="561" spans="1:9" ht="99">
      <c r="A561" s="36">
        <f>COUNTA($D$4:D561)</f>
        <v>489</v>
      </c>
      <c r="B561" s="38" t="s">
        <v>524</v>
      </c>
      <c r="C561" s="35"/>
      <c r="D561" s="28" t="s">
        <v>28</v>
      </c>
      <c r="E561" s="28"/>
      <c r="F561" s="28" t="s">
        <v>255</v>
      </c>
      <c r="G561" s="38" t="s">
        <v>527</v>
      </c>
      <c r="H561" s="36" t="s">
        <v>5</v>
      </c>
      <c r="I561" s="34" t="s">
        <v>7</v>
      </c>
    </row>
    <row r="562" spans="1:9" ht="132">
      <c r="A562" s="36">
        <f>COUNTA($D$4:D562)</f>
        <v>490</v>
      </c>
      <c r="B562" s="38" t="s">
        <v>256</v>
      </c>
      <c r="C562" s="35"/>
      <c r="D562" s="28" t="s">
        <v>232</v>
      </c>
      <c r="E562" s="28"/>
      <c r="F562" s="28" t="s">
        <v>257</v>
      </c>
      <c r="G562" s="38" t="s">
        <v>528</v>
      </c>
      <c r="H562" s="36" t="s">
        <v>5</v>
      </c>
      <c r="I562" s="34" t="s">
        <v>7</v>
      </c>
    </row>
    <row r="563" spans="1:9" ht="16.5">
      <c r="A563" s="41" t="s">
        <v>258</v>
      </c>
      <c r="B563" s="42" t="s">
        <v>259</v>
      </c>
      <c r="C563" s="35"/>
      <c r="D563" s="28"/>
      <c r="E563" s="35"/>
      <c r="F563" s="35"/>
      <c r="G563" s="35"/>
      <c r="H563" s="36"/>
      <c r="I563" s="36"/>
    </row>
    <row r="564" spans="1:9" ht="132">
      <c r="A564" s="36">
        <f>COUNTA($D$4:D564)</f>
        <v>491</v>
      </c>
      <c r="B564" s="38" t="s">
        <v>260</v>
      </c>
      <c r="C564" s="35"/>
      <c r="D564" s="34" t="s">
        <v>228</v>
      </c>
      <c r="E564" s="28"/>
      <c r="F564" s="28" t="s">
        <v>261</v>
      </c>
      <c r="G564" s="38" t="s">
        <v>529</v>
      </c>
      <c r="H564" s="36" t="s">
        <v>5</v>
      </c>
      <c r="I564" s="34" t="s">
        <v>7</v>
      </c>
    </row>
    <row r="565" spans="1:9" ht="148.5">
      <c r="A565" s="36">
        <f>COUNTA($D$4:D565)</f>
        <v>492</v>
      </c>
      <c r="B565" s="38" t="s">
        <v>262</v>
      </c>
      <c r="C565" s="35"/>
      <c r="D565" s="34" t="s">
        <v>232</v>
      </c>
      <c r="E565" s="28"/>
      <c r="F565" s="28" t="s">
        <v>263</v>
      </c>
      <c r="G565" s="38" t="s">
        <v>530</v>
      </c>
      <c r="H565" s="36" t="s">
        <v>5</v>
      </c>
      <c r="I565" s="34" t="s">
        <v>7</v>
      </c>
    </row>
    <row r="566" spans="1:9" ht="82.5">
      <c r="A566" s="36">
        <f>COUNTA($D$4:D566)</f>
        <v>493</v>
      </c>
      <c r="B566" s="38" t="s">
        <v>264</v>
      </c>
      <c r="C566" s="35"/>
      <c r="D566" s="34" t="s">
        <v>232</v>
      </c>
      <c r="E566" s="28"/>
      <c r="F566" s="28" t="s">
        <v>265</v>
      </c>
      <c r="G566" s="38" t="s">
        <v>531</v>
      </c>
      <c r="H566" s="36" t="s">
        <v>5</v>
      </c>
      <c r="I566" s="34" t="s">
        <v>6</v>
      </c>
    </row>
    <row r="567" spans="1:9" ht="99">
      <c r="A567" s="36">
        <f>COUNTA($D$4:D567)</f>
        <v>494</v>
      </c>
      <c r="B567" s="38" t="s">
        <v>266</v>
      </c>
      <c r="C567" s="35"/>
      <c r="D567" s="34" t="s">
        <v>232</v>
      </c>
      <c r="E567" s="28"/>
      <c r="F567" s="28" t="s">
        <v>267</v>
      </c>
      <c r="G567" s="38" t="s">
        <v>532</v>
      </c>
      <c r="H567" s="36" t="s">
        <v>5</v>
      </c>
      <c r="I567" s="34" t="s">
        <v>6</v>
      </c>
    </row>
    <row r="568" spans="1:9" ht="82.5">
      <c r="A568" s="36">
        <f>COUNTA($D$4:D568)</f>
        <v>495</v>
      </c>
      <c r="B568" s="38" t="s">
        <v>268</v>
      </c>
      <c r="C568" s="35"/>
      <c r="D568" s="34" t="s">
        <v>228</v>
      </c>
      <c r="E568" s="28"/>
      <c r="F568" s="28" t="s">
        <v>269</v>
      </c>
      <c r="G568" s="38" t="s">
        <v>533</v>
      </c>
      <c r="H568" s="36" t="s">
        <v>5</v>
      </c>
      <c r="I568" s="34" t="s">
        <v>6</v>
      </c>
    </row>
    <row r="569" spans="1:9" ht="115.5">
      <c r="A569" s="36">
        <f>COUNTA($D$4:D569)</f>
        <v>496</v>
      </c>
      <c r="B569" s="38" t="s">
        <v>270</v>
      </c>
      <c r="C569" s="35"/>
      <c r="D569" s="34" t="s">
        <v>228</v>
      </c>
      <c r="E569" s="28"/>
      <c r="F569" s="28" t="s">
        <v>271</v>
      </c>
      <c r="G569" s="38" t="s">
        <v>534</v>
      </c>
      <c r="H569" s="36" t="s">
        <v>5</v>
      </c>
      <c r="I569" s="34" t="s">
        <v>6</v>
      </c>
    </row>
    <row r="570" spans="1:9" ht="66">
      <c r="A570" s="36">
        <f>COUNTA($D$4:D570)</f>
        <v>497</v>
      </c>
      <c r="B570" s="38" t="s">
        <v>272</v>
      </c>
      <c r="C570" s="35"/>
      <c r="D570" s="34" t="s">
        <v>228</v>
      </c>
      <c r="E570" s="28"/>
      <c r="F570" s="28" t="s">
        <v>273</v>
      </c>
      <c r="G570" s="38" t="s">
        <v>535</v>
      </c>
      <c r="H570" s="36" t="s">
        <v>5</v>
      </c>
      <c r="I570" s="34" t="s">
        <v>6</v>
      </c>
    </row>
    <row r="571" spans="1:9" ht="66">
      <c r="A571" s="36">
        <f>COUNTA($D$4:D571)</f>
        <v>498</v>
      </c>
      <c r="B571" s="38" t="s">
        <v>274</v>
      </c>
      <c r="C571" s="35"/>
      <c r="D571" s="34" t="s">
        <v>228</v>
      </c>
      <c r="E571" s="28"/>
      <c r="F571" s="28" t="s">
        <v>275</v>
      </c>
      <c r="G571" s="38" t="s">
        <v>536</v>
      </c>
      <c r="H571" s="36" t="s">
        <v>5</v>
      </c>
      <c r="I571" s="34" t="s">
        <v>6</v>
      </c>
    </row>
    <row r="572" spans="1:9" ht="16.5">
      <c r="A572" s="41" t="s">
        <v>276</v>
      </c>
      <c r="B572" s="42" t="s">
        <v>371</v>
      </c>
      <c r="C572" s="35"/>
      <c r="D572" s="34"/>
      <c r="E572" s="35"/>
      <c r="F572" s="35"/>
      <c r="G572" s="35"/>
      <c r="H572" s="36"/>
      <c r="I572" s="36"/>
    </row>
    <row r="573" spans="1:9" ht="82.5">
      <c r="A573" s="36">
        <f>COUNTA($D$4:D573)</f>
        <v>499</v>
      </c>
      <c r="B573" s="38" t="s">
        <v>277</v>
      </c>
      <c r="C573" s="35"/>
      <c r="D573" s="34" t="s">
        <v>278</v>
      </c>
      <c r="E573" s="28"/>
      <c r="F573" s="28" t="s">
        <v>279</v>
      </c>
      <c r="G573" s="38" t="s">
        <v>537</v>
      </c>
      <c r="H573" s="36" t="s">
        <v>5</v>
      </c>
      <c r="I573" s="34" t="s">
        <v>6</v>
      </c>
    </row>
    <row r="574" spans="1:9" ht="132">
      <c r="A574" s="36">
        <f>COUNTA($D$4:D574)</f>
        <v>500</v>
      </c>
      <c r="B574" s="38" t="s">
        <v>280</v>
      </c>
      <c r="C574" s="35"/>
      <c r="D574" s="34" t="s">
        <v>278</v>
      </c>
      <c r="E574" s="28"/>
      <c r="F574" s="28" t="s">
        <v>281</v>
      </c>
      <c r="G574" s="38" t="s">
        <v>539</v>
      </c>
      <c r="H574" s="36" t="s">
        <v>5</v>
      </c>
      <c r="I574" s="34" t="s">
        <v>7</v>
      </c>
    </row>
    <row r="575" spans="1:9" ht="99">
      <c r="A575" s="36">
        <f>COUNTA($D$4:D575)</f>
        <v>501</v>
      </c>
      <c r="B575" s="38" t="s">
        <v>282</v>
      </c>
      <c r="C575" s="35"/>
      <c r="D575" s="34" t="s">
        <v>278</v>
      </c>
      <c r="E575" s="28"/>
      <c r="F575" s="28" t="s">
        <v>283</v>
      </c>
      <c r="G575" s="38" t="s">
        <v>538</v>
      </c>
      <c r="H575" s="36" t="s">
        <v>5</v>
      </c>
      <c r="I575" s="34" t="s">
        <v>6</v>
      </c>
    </row>
    <row r="576" spans="1:9" ht="33">
      <c r="A576" s="32" t="s">
        <v>284</v>
      </c>
      <c r="B576" s="33" t="s">
        <v>285</v>
      </c>
      <c r="C576" s="33"/>
      <c r="D576" s="34"/>
      <c r="E576" s="35"/>
      <c r="F576" s="35"/>
      <c r="G576" s="35"/>
      <c r="H576" s="36"/>
      <c r="I576" s="34"/>
    </row>
    <row r="577" spans="1:9" ht="33">
      <c r="A577" s="41" t="s">
        <v>286</v>
      </c>
      <c r="B577" s="42" t="s">
        <v>287</v>
      </c>
      <c r="C577" s="35"/>
      <c r="D577" s="34"/>
      <c r="E577" s="35"/>
      <c r="F577" s="35"/>
      <c r="G577" s="35"/>
      <c r="H577" s="36"/>
      <c r="I577" s="36"/>
    </row>
    <row r="578" spans="1:9" ht="115.5">
      <c r="A578" s="36">
        <f>COUNTA($D$4:D578)</f>
        <v>502</v>
      </c>
      <c r="B578" s="38" t="s">
        <v>288</v>
      </c>
      <c r="C578" s="35"/>
      <c r="D578" s="34" t="s">
        <v>28</v>
      </c>
      <c r="E578" s="35"/>
      <c r="F578" s="38" t="s">
        <v>289</v>
      </c>
      <c r="G578" s="38" t="s">
        <v>540</v>
      </c>
      <c r="H578" s="36" t="s">
        <v>5</v>
      </c>
      <c r="I578" s="34" t="s">
        <v>7</v>
      </c>
    </row>
    <row r="579" spans="1:9" ht="99">
      <c r="A579" s="36">
        <f>COUNTA($D$4:D579)</f>
        <v>503</v>
      </c>
      <c r="B579" s="38" t="s">
        <v>290</v>
      </c>
      <c r="C579" s="35"/>
      <c r="D579" s="34" t="s">
        <v>194</v>
      </c>
      <c r="E579" s="35"/>
      <c r="F579" s="38" t="s">
        <v>291</v>
      </c>
      <c r="G579" s="38" t="s">
        <v>541</v>
      </c>
      <c r="H579" s="36" t="s">
        <v>5</v>
      </c>
      <c r="I579" s="34" t="s">
        <v>7</v>
      </c>
    </row>
    <row r="580" spans="1:9" ht="66">
      <c r="A580" s="36">
        <f>COUNTA($D$4:D580)</f>
        <v>504</v>
      </c>
      <c r="B580" s="38" t="s">
        <v>292</v>
      </c>
      <c r="C580" s="35"/>
      <c r="D580" s="34" t="s">
        <v>194</v>
      </c>
      <c r="E580" s="35"/>
      <c r="F580" s="38" t="s">
        <v>293</v>
      </c>
      <c r="G580" s="38" t="s">
        <v>542</v>
      </c>
      <c r="H580" s="36" t="s">
        <v>5</v>
      </c>
      <c r="I580" s="34" t="s">
        <v>6</v>
      </c>
    </row>
    <row r="581" spans="1:9" ht="66">
      <c r="A581" s="36">
        <f>COUNTA($D$4:D581)</f>
        <v>505</v>
      </c>
      <c r="B581" s="38" t="s">
        <v>294</v>
      </c>
      <c r="C581" s="35"/>
      <c r="D581" s="34" t="s">
        <v>194</v>
      </c>
      <c r="E581" s="35"/>
      <c r="F581" s="38" t="s">
        <v>295</v>
      </c>
      <c r="G581" s="38" t="s">
        <v>543</v>
      </c>
      <c r="H581" s="36" t="s">
        <v>5</v>
      </c>
      <c r="I581" s="34" t="s">
        <v>6</v>
      </c>
    </row>
    <row r="582" spans="1:9" ht="82.5">
      <c r="A582" s="36">
        <f>COUNTA($D$4:D582)</f>
        <v>506</v>
      </c>
      <c r="B582" s="38" t="s">
        <v>389</v>
      </c>
      <c r="C582" s="35"/>
      <c r="D582" s="34" t="s">
        <v>28</v>
      </c>
      <c r="E582" s="35"/>
      <c r="F582" s="38" t="s">
        <v>296</v>
      </c>
      <c r="G582" s="38" t="s">
        <v>544</v>
      </c>
      <c r="H582" s="36" t="s">
        <v>5</v>
      </c>
      <c r="I582" s="34" t="s">
        <v>6</v>
      </c>
    </row>
    <row r="583" spans="1:9" ht="49.5">
      <c r="A583" s="41" t="s">
        <v>297</v>
      </c>
      <c r="B583" s="59" t="s">
        <v>385</v>
      </c>
      <c r="C583" s="35"/>
      <c r="D583" s="34"/>
      <c r="E583" s="35"/>
      <c r="F583" s="60"/>
      <c r="G583" s="35"/>
      <c r="H583" s="36"/>
      <c r="I583" s="60"/>
    </row>
    <row r="584" spans="1:9" ht="132">
      <c r="A584" s="36">
        <f>COUNTA($D$4:D584)</f>
        <v>507</v>
      </c>
      <c r="B584" s="38" t="s">
        <v>298</v>
      </c>
      <c r="C584" s="35"/>
      <c r="D584" s="34" t="s">
        <v>28</v>
      </c>
      <c r="E584" s="35"/>
      <c r="F584" s="38" t="s">
        <v>299</v>
      </c>
      <c r="G584" s="38" t="s">
        <v>570</v>
      </c>
      <c r="H584" s="36" t="s">
        <v>5</v>
      </c>
      <c r="I584" s="34" t="s">
        <v>7</v>
      </c>
    </row>
    <row r="585" spans="1:9" ht="132">
      <c r="A585" s="36">
        <f>COUNTA($D$4:D585)</f>
        <v>508</v>
      </c>
      <c r="B585" s="38" t="s">
        <v>386</v>
      </c>
      <c r="C585" s="35"/>
      <c r="D585" s="36" t="s">
        <v>28</v>
      </c>
      <c r="E585" s="35"/>
      <c r="F585" s="38" t="s">
        <v>387</v>
      </c>
      <c r="G585" s="38" t="s">
        <v>571</v>
      </c>
      <c r="H585" s="36" t="s">
        <v>5</v>
      </c>
      <c r="I585" s="34" t="s">
        <v>7</v>
      </c>
    </row>
    <row r="586" spans="1:9" ht="132">
      <c r="A586" s="36">
        <f>COUNTA($D$4:D586)</f>
        <v>509</v>
      </c>
      <c r="B586" s="38" t="s">
        <v>300</v>
      </c>
      <c r="C586" s="35"/>
      <c r="D586" s="36" t="s">
        <v>28</v>
      </c>
      <c r="E586" s="35"/>
      <c r="F586" s="38" t="s">
        <v>301</v>
      </c>
      <c r="G586" s="38" t="s">
        <v>572</v>
      </c>
      <c r="H586" s="36" t="s">
        <v>5</v>
      </c>
      <c r="I586" s="34" t="s">
        <v>7</v>
      </c>
    </row>
    <row r="587" spans="1:9" ht="99">
      <c r="A587" s="36">
        <f>COUNTA($D$4:D587)</f>
        <v>510</v>
      </c>
      <c r="B587" s="38" t="s">
        <v>302</v>
      </c>
      <c r="C587" s="35"/>
      <c r="D587" s="36" t="s">
        <v>28</v>
      </c>
      <c r="E587" s="35"/>
      <c r="F587" s="38" t="s">
        <v>303</v>
      </c>
      <c r="G587" s="38" t="s">
        <v>573</v>
      </c>
      <c r="H587" s="36" t="s">
        <v>5</v>
      </c>
      <c r="I587" s="34" t="s">
        <v>6</v>
      </c>
    </row>
    <row r="588" spans="1:9" ht="115.5">
      <c r="A588" s="36">
        <f>COUNTA($D$4:D588)</f>
        <v>511</v>
      </c>
      <c r="B588" s="38" t="s">
        <v>388</v>
      </c>
      <c r="C588" s="35"/>
      <c r="D588" s="36" t="s">
        <v>28</v>
      </c>
      <c r="E588" s="35"/>
      <c r="F588" s="38" t="s">
        <v>425</v>
      </c>
      <c r="G588" s="38" t="s">
        <v>574</v>
      </c>
      <c r="H588" s="36" t="s">
        <v>5</v>
      </c>
      <c r="I588" s="34" t="s">
        <v>7</v>
      </c>
    </row>
    <row r="589" spans="1:9" ht="49.5">
      <c r="A589" s="41" t="s">
        <v>304</v>
      </c>
      <c r="B589" s="59" t="s">
        <v>305</v>
      </c>
      <c r="C589" s="35"/>
      <c r="D589" s="34"/>
      <c r="E589" s="35"/>
      <c r="F589" s="35"/>
      <c r="G589" s="35"/>
      <c r="H589" s="36"/>
      <c r="I589" s="36"/>
    </row>
    <row r="590" spans="1:9" ht="66">
      <c r="A590" s="36">
        <f>COUNTA($D$4:D590)</f>
        <v>512</v>
      </c>
      <c r="B590" s="38" t="s">
        <v>306</v>
      </c>
      <c r="C590" s="35"/>
      <c r="D590" s="36" t="s">
        <v>28</v>
      </c>
      <c r="E590" s="35"/>
      <c r="F590" s="38" t="s">
        <v>307</v>
      </c>
      <c r="G590" s="38" t="s">
        <v>575</v>
      </c>
      <c r="H590" s="36" t="s">
        <v>5</v>
      </c>
      <c r="I590" s="34" t="s">
        <v>6</v>
      </c>
    </row>
    <row r="591" spans="1:9" ht="66">
      <c r="A591" s="36">
        <f>COUNTA($D$4:D591)</f>
        <v>513</v>
      </c>
      <c r="B591" s="38" t="s">
        <v>308</v>
      </c>
      <c r="C591" s="35"/>
      <c r="D591" s="36" t="s">
        <v>28</v>
      </c>
      <c r="E591" s="35"/>
      <c r="F591" s="38" t="s">
        <v>309</v>
      </c>
      <c r="G591" s="38" t="s">
        <v>578</v>
      </c>
      <c r="H591" s="36" t="s">
        <v>5</v>
      </c>
      <c r="I591" s="34" t="s">
        <v>6</v>
      </c>
    </row>
    <row r="592" spans="1:9" ht="99">
      <c r="A592" s="36">
        <f>COUNTA($D$4:D592)</f>
        <v>514</v>
      </c>
      <c r="B592" s="38" t="s">
        <v>310</v>
      </c>
      <c r="C592" s="35"/>
      <c r="D592" s="36" t="s">
        <v>28</v>
      </c>
      <c r="E592" s="35"/>
      <c r="F592" s="38" t="s">
        <v>311</v>
      </c>
      <c r="G592" s="38" t="s">
        <v>579</v>
      </c>
      <c r="H592" s="36" t="s">
        <v>5</v>
      </c>
      <c r="I592" s="34" t="s">
        <v>6</v>
      </c>
    </row>
    <row r="593" spans="1:9" ht="66">
      <c r="A593" s="36">
        <f>COUNTA($D$4:D593)</f>
        <v>515</v>
      </c>
      <c r="B593" s="38" t="s">
        <v>312</v>
      </c>
      <c r="C593" s="35"/>
      <c r="D593" s="36" t="s">
        <v>28</v>
      </c>
      <c r="E593" s="35"/>
      <c r="F593" s="38" t="s">
        <v>313</v>
      </c>
      <c r="G593" s="38" t="s">
        <v>580</v>
      </c>
      <c r="H593" s="36" t="s">
        <v>5</v>
      </c>
      <c r="I593" s="34" t="s">
        <v>6</v>
      </c>
    </row>
    <row r="594" spans="1:9" ht="82.5">
      <c r="A594" s="36">
        <f>COUNTA($D$4:D594)</f>
        <v>516</v>
      </c>
      <c r="B594" s="38" t="s">
        <v>314</v>
      </c>
      <c r="C594" s="35"/>
      <c r="D594" s="36" t="s">
        <v>228</v>
      </c>
      <c r="E594" s="35"/>
      <c r="F594" s="38" t="s">
        <v>315</v>
      </c>
      <c r="G594" s="38" t="s">
        <v>581</v>
      </c>
      <c r="H594" s="36" t="s">
        <v>5</v>
      </c>
      <c r="I594" s="34" t="s">
        <v>6</v>
      </c>
    </row>
    <row r="595" spans="1:9" ht="66">
      <c r="A595" s="36">
        <f>COUNTA($D$4:D595)</f>
        <v>517</v>
      </c>
      <c r="B595" s="38" t="s">
        <v>316</v>
      </c>
      <c r="C595" s="35"/>
      <c r="D595" s="36" t="s">
        <v>228</v>
      </c>
      <c r="E595" s="35"/>
      <c r="F595" s="38" t="s">
        <v>426</v>
      </c>
      <c r="G595" s="38" t="s">
        <v>582</v>
      </c>
      <c r="H595" s="36" t="s">
        <v>5</v>
      </c>
      <c r="I595" s="34" t="s">
        <v>6</v>
      </c>
    </row>
    <row r="596" spans="1:9" ht="33">
      <c r="A596" s="41" t="s">
        <v>317</v>
      </c>
      <c r="B596" s="59" t="s">
        <v>318</v>
      </c>
      <c r="C596" s="35"/>
      <c r="D596" s="34"/>
      <c r="E596" s="35"/>
      <c r="F596" s="35"/>
      <c r="G596" s="35"/>
      <c r="H596" s="36"/>
      <c r="I596" s="36"/>
    </row>
    <row r="597" spans="1:9" ht="66">
      <c r="A597" s="36">
        <f>COUNTA($D$4:D597)</f>
        <v>518</v>
      </c>
      <c r="B597" s="38" t="s">
        <v>319</v>
      </c>
      <c r="C597" s="35"/>
      <c r="D597" s="36" t="s">
        <v>28</v>
      </c>
      <c r="E597" s="35"/>
      <c r="F597" s="38" t="s">
        <v>320</v>
      </c>
      <c r="G597" s="38" t="s">
        <v>576</v>
      </c>
      <c r="H597" s="36" t="s">
        <v>5</v>
      </c>
      <c r="I597" s="34" t="s">
        <v>7</v>
      </c>
    </row>
    <row r="598" spans="1:9" ht="99">
      <c r="A598" s="36">
        <f>COUNTA($D$4:D598)</f>
        <v>519</v>
      </c>
      <c r="B598" s="38" t="s">
        <v>321</v>
      </c>
      <c r="C598" s="35"/>
      <c r="D598" s="36" t="s">
        <v>28</v>
      </c>
      <c r="E598" s="35"/>
      <c r="F598" s="38" t="s">
        <v>322</v>
      </c>
      <c r="G598" s="38" t="s">
        <v>577</v>
      </c>
      <c r="H598" s="36" t="s">
        <v>5</v>
      </c>
      <c r="I598" s="34" t="s">
        <v>6</v>
      </c>
    </row>
    <row r="599" spans="1:9" ht="16.5">
      <c r="A599" s="40" t="s">
        <v>372</v>
      </c>
      <c r="B599" s="39" t="s">
        <v>392</v>
      </c>
      <c r="C599" s="39"/>
      <c r="D599" s="34"/>
      <c r="E599" s="35"/>
      <c r="F599" s="35"/>
      <c r="G599" s="35"/>
      <c r="H599" s="36"/>
      <c r="I599" s="34"/>
    </row>
    <row r="600" spans="1:9" ht="33">
      <c r="A600" s="41" t="s">
        <v>393</v>
      </c>
      <c r="B600" s="42" t="s">
        <v>409</v>
      </c>
      <c r="C600" s="42"/>
      <c r="D600" s="34"/>
      <c r="E600" s="35"/>
      <c r="F600" s="38"/>
      <c r="G600" s="38"/>
      <c r="H600" s="36"/>
      <c r="I600" s="34"/>
    </row>
    <row r="601" spans="1:9" ht="66">
      <c r="A601" s="36">
        <f>COUNTA($D$4:D601)</f>
        <v>520</v>
      </c>
      <c r="B601" s="61" t="str">
        <f>"Cung cấp dữ liệu "&amp;C601</f>
        <v>Cung cấp dữ liệu Bản án, quyết định của Tòa án được cơ quan thi hành án dân sự đưa ra tổ chức thi hành</v>
      </c>
      <c r="C601" s="50" t="s">
        <v>76</v>
      </c>
      <c r="D601" s="36" t="s">
        <v>28</v>
      </c>
      <c r="E601" s="38"/>
      <c r="F601" s="38"/>
      <c r="G601" s="38" t="str">
        <f>"1. " &amp;D601 &amp; " thiết kế cấu trúc gói tin "&amp;C601&amp;" cần cung cấp. Hệ thống lưu cấu hình gói dữ liệu
2. "&amp;D601&amp;" cấu hình quyền truy cập. Hệ thống ghi nhận cấu hình"</f>
        <v>1. Quản trị hệ thống thiết kế cấu trúc gói tin Bản án, quyết định của Tòa án được cơ quan thi hành án dân sự đưa ra tổ chức thi hành cần cung cấp. Hệ thống lưu cấu hình gói dữ liệu
2. Quản trị hệ thống cấu hình quyền truy cập. Hệ thống ghi nhận cấu hình</v>
      </c>
      <c r="H601" s="36" t="s">
        <v>5</v>
      </c>
      <c r="I601" s="34" t="s">
        <v>6</v>
      </c>
    </row>
    <row r="602" spans="1:9" ht="49.5">
      <c r="A602" s="36">
        <f>COUNTA($D$4:D602)</f>
        <v>521</v>
      </c>
      <c r="B602" s="38" t="s">
        <v>410</v>
      </c>
      <c r="C602" s="38" t="s">
        <v>411</v>
      </c>
      <c r="D602" s="36" t="s">
        <v>28</v>
      </c>
      <c r="E602" s="38"/>
      <c r="F602" s="38"/>
      <c r="G602" s="38" t="str">
        <f>"1. " &amp;D602 &amp; " thiết kế cấu trúc gói tin "&amp;C602&amp;" cần cung cấp. Hệ thống lưu cấu hình gói dữ liệu
2. "&amp;D602&amp;" cấu hình quyền truy cập. Hệ thống ghi nhận cấu hình"</f>
        <v>1. Quản trị hệ thống thiết kế cấu trúc gói tin Dữ liệu danh mục cần cung cấp. Hệ thống lưu cấu hình gói dữ liệu
2. Quản trị hệ thống cấu hình quyền truy cập. Hệ thống ghi nhận cấu hình</v>
      </c>
      <c r="H602" s="36" t="s">
        <v>5</v>
      </c>
      <c r="I602" s="34" t="s">
        <v>6</v>
      </c>
    </row>
    <row r="603" spans="1:9" ht="49.5">
      <c r="A603" s="49">
        <f>COUNTA($D$4:D603)</f>
        <v>522</v>
      </c>
      <c r="B603" s="61" t="str">
        <f t="shared" ref="B603:B614" si="118">"Cung cấp dữ liệu "&amp;C603</f>
        <v>Cung cấp dữ liệu Bảo trợ xã hội và giảm nghèo - Hưởng trợ giúp xã hội</v>
      </c>
      <c r="C603" s="50" t="s">
        <v>639</v>
      </c>
      <c r="D603" s="36" t="s">
        <v>28</v>
      </c>
      <c r="E603" s="35"/>
      <c r="F603" s="38"/>
      <c r="G603" s="38" t="str">
        <f t="shared" ref="G603:G614" si="119">"1. " &amp;D603 &amp; " thiết kế cấu trúc gói tin "&amp;C603&amp;" cần cung cấp. Hệ thống lưu cấu hình gói dữ liệu
2. "&amp;D603&amp;" cấu hình quyền truy cập. Hệ thống ghi nhận cấu hình"</f>
        <v>1. Quản trị hệ thống thiết kế cấu trúc gói tin Bảo trợ xã hội và giảm nghèo - Hưởng trợ giúp xã hội cần cung cấp. Hệ thống lưu cấu hình gói dữ liệu
2. Quản trị hệ thống cấu hình quyền truy cập. Hệ thống ghi nhận cấu hình</v>
      </c>
      <c r="H603" s="36" t="s">
        <v>5</v>
      </c>
      <c r="I603" s="34" t="s">
        <v>6</v>
      </c>
    </row>
    <row r="604" spans="1:9" ht="49.5">
      <c r="A604" s="49">
        <f>COUNTA($D$4:D604)</f>
        <v>523</v>
      </c>
      <c r="B604" s="61" t="str">
        <f t="shared" si="118"/>
        <v>Cung cấp dữ liệu Bảo trợ xã hội và giảm nghèo - Hưởng trợ giúp xã hội</v>
      </c>
      <c r="C604" s="50" t="s">
        <v>639</v>
      </c>
      <c r="D604" s="36" t="s">
        <v>28</v>
      </c>
      <c r="E604" s="35"/>
      <c r="F604" s="38"/>
      <c r="G604" s="38" t="str">
        <f t="shared" si="119"/>
        <v>1. Quản trị hệ thống thiết kế cấu trúc gói tin Bảo trợ xã hội và giảm nghèo - Hưởng trợ giúp xã hội cần cung cấp. Hệ thống lưu cấu hình gói dữ liệu
2. Quản trị hệ thống cấu hình quyền truy cập. Hệ thống ghi nhận cấu hình</v>
      </c>
      <c r="H604" s="36" t="s">
        <v>5</v>
      </c>
      <c r="I604" s="34" t="s">
        <v>6</v>
      </c>
    </row>
    <row r="605" spans="1:9" ht="49.5">
      <c r="A605" s="49">
        <f>COUNTA($D$4:D605)</f>
        <v>524</v>
      </c>
      <c r="B605" s="61" t="str">
        <f t="shared" si="118"/>
        <v>Cung cấp dữ liệu Bảo trợ xã hội và giảm nghèo - Thông tin người nghèo, cận nghèo</v>
      </c>
      <c r="C605" s="63" t="s">
        <v>640</v>
      </c>
      <c r="D605" s="36" t="s">
        <v>28</v>
      </c>
      <c r="E605" s="35"/>
      <c r="F605" s="38"/>
      <c r="G605" s="38" t="str">
        <f t="shared" si="119"/>
        <v>1. Quản trị hệ thống thiết kế cấu trúc gói tin Bảo trợ xã hội và giảm nghèo - Thông tin người nghèo, cận nghèo cần cung cấp. Hệ thống lưu cấu hình gói dữ liệu
2. Quản trị hệ thống cấu hình quyền truy cập. Hệ thống ghi nhận cấu hình</v>
      </c>
      <c r="H605" s="36" t="s">
        <v>5</v>
      </c>
      <c r="I605" s="34" t="s">
        <v>6</v>
      </c>
    </row>
    <row r="606" spans="1:9" ht="49.5">
      <c r="A606" s="49">
        <f>COUNTA($D$4:D606)</f>
        <v>525</v>
      </c>
      <c r="B606" s="61" t="str">
        <f t="shared" si="118"/>
        <v>Cung cấp dữ liệu Bảo trợ xã hội và giảm nghèo - Người đơn thân</v>
      </c>
      <c r="C606" s="63" t="s">
        <v>641</v>
      </c>
      <c r="D606" s="36" t="s">
        <v>28</v>
      </c>
      <c r="E606" s="35"/>
      <c r="F606" s="38"/>
      <c r="G606" s="38" t="str">
        <f t="shared" si="119"/>
        <v>1. Quản trị hệ thống thiết kế cấu trúc gói tin Bảo trợ xã hội và giảm nghèo - Người đơn thân cần cung cấp. Hệ thống lưu cấu hình gói dữ liệu
2. Quản trị hệ thống cấu hình quyền truy cập. Hệ thống ghi nhận cấu hình</v>
      </c>
      <c r="H606" s="36" t="s">
        <v>5</v>
      </c>
      <c r="I606" s="34" t="s">
        <v>6</v>
      </c>
    </row>
    <row r="607" spans="1:9" ht="49.5">
      <c r="A607" s="49">
        <f>COUNTA($D$4:D607)</f>
        <v>526</v>
      </c>
      <c r="B607" s="61" t="str">
        <f t="shared" si="118"/>
        <v>Cung cấp dữ liệu Bảo trợ xã hội và giảm nghèo - Trẻ em là đối tượng bảo trợ xã hội</v>
      </c>
      <c r="C607" s="63" t="s">
        <v>642</v>
      </c>
      <c r="D607" s="36" t="s">
        <v>28</v>
      </c>
      <c r="E607" s="35"/>
      <c r="F607" s="38"/>
      <c r="G607" s="38" t="str">
        <f t="shared" si="119"/>
        <v>1. Quản trị hệ thống thiết kế cấu trúc gói tin Bảo trợ xã hội và giảm nghèo - Trẻ em là đối tượng bảo trợ xã hội cần cung cấp. Hệ thống lưu cấu hình gói dữ liệu
2. Quản trị hệ thống cấu hình quyền truy cập. Hệ thống ghi nhận cấu hình</v>
      </c>
      <c r="H607" s="36" t="s">
        <v>5</v>
      </c>
      <c r="I607" s="34" t="s">
        <v>6</v>
      </c>
    </row>
    <row r="608" spans="1:9" ht="49.5">
      <c r="A608" s="49">
        <f>COUNTA($D$4:D608)</f>
        <v>527</v>
      </c>
      <c r="B608" s="61" t="str">
        <f t="shared" si="118"/>
        <v>Cung cấp dữ liệu Bảo trợ xã hội và giảm nghèo -Người có HIV</v>
      </c>
      <c r="C608" s="63" t="s">
        <v>643</v>
      </c>
      <c r="D608" s="36" t="s">
        <v>28</v>
      </c>
      <c r="E608" s="35"/>
      <c r="F608" s="38"/>
      <c r="G608" s="38" t="str">
        <f t="shared" si="119"/>
        <v>1. Quản trị hệ thống thiết kế cấu trúc gói tin Bảo trợ xã hội và giảm nghèo -Người có HIV cần cung cấp. Hệ thống lưu cấu hình gói dữ liệu
2. Quản trị hệ thống cấu hình quyền truy cập. Hệ thống ghi nhận cấu hình</v>
      </c>
      <c r="H608" s="36" t="s">
        <v>5</v>
      </c>
      <c r="I608" s="34" t="s">
        <v>6</v>
      </c>
    </row>
    <row r="609" spans="1:9" ht="49.5">
      <c r="A609" s="49">
        <f>COUNTA($D$4:D609)</f>
        <v>528</v>
      </c>
      <c r="B609" s="61" t="str">
        <f t="shared" si="118"/>
        <v>Cung cấp dữ liệu Bảo trợ xã hội và giảm nghèo -Người cao tuổi</v>
      </c>
      <c r="C609" s="63" t="s">
        <v>644</v>
      </c>
      <c r="D609" s="36" t="s">
        <v>28</v>
      </c>
      <c r="E609" s="35"/>
      <c r="F609" s="38"/>
      <c r="G609" s="38" t="str">
        <f t="shared" si="119"/>
        <v>1. Quản trị hệ thống thiết kế cấu trúc gói tin Bảo trợ xã hội và giảm nghèo -Người cao tuổi cần cung cấp. Hệ thống lưu cấu hình gói dữ liệu
2. Quản trị hệ thống cấu hình quyền truy cập. Hệ thống ghi nhận cấu hình</v>
      </c>
      <c r="H609" s="36" t="s">
        <v>5</v>
      </c>
      <c r="I609" s="34" t="s">
        <v>6</v>
      </c>
    </row>
    <row r="610" spans="1:9" ht="49.5">
      <c r="A610" s="49">
        <f>COUNTA($D$4:D610)</f>
        <v>529</v>
      </c>
      <c r="B610" s="61" t="str">
        <f t="shared" si="118"/>
        <v>Cung cấp dữ liệu Bảo trợ xã hội và giảm nghèo - Thông tin về người khuyết tật</v>
      </c>
      <c r="C610" s="63" t="s">
        <v>645</v>
      </c>
      <c r="D610" s="36" t="s">
        <v>28</v>
      </c>
      <c r="E610" s="35"/>
      <c r="F610" s="38"/>
      <c r="G610" s="38" t="str">
        <f t="shared" si="119"/>
        <v>1. Quản trị hệ thống thiết kế cấu trúc gói tin Bảo trợ xã hội và giảm nghèo - Thông tin về người khuyết tật cần cung cấp. Hệ thống lưu cấu hình gói dữ liệu
2. Quản trị hệ thống cấu hình quyền truy cập. Hệ thống ghi nhận cấu hình</v>
      </c>
      <c r="H610" s="36" t="s">
        <v>5</v>
      </c>
      <c r="I610" s="34" t="s">
        <v>6</v>
      </c>
    </row>
    <row r="611" spans="1:9" ht="49.5">
      <c r="A611" s="49">
        <f>COUNTA($D$4:D611)</f>
        <v>530</v>
      </c>
      <c r="B611" s="61" t="str">
        <f t="shared" si="118"/>
        <v>Cung cấp dữ liệu Người có công - Hồ sơ công nhận người có công</v>
      </c>
      <c r="C611" s="63" t="s">
        <v>646</v>
      </c>
      <c r="D611" s="36" t="s">
        <v>28</v>
      </c>
      <c r="E611" s="35"/>
      <c r="F611" s="38"/>
      <c r="G611" s="38" t="str">
        <f t="shared" si="119"/>
        <v>1. Quản trị hệ thống thiết kế cấu trúc gói tin Người có công - Hồ sơ công nhận người có công cần cung cấp. Hệ thống lưu cấu hình gói dữ liệu
2. Quản trị hệ thống cấu hình quyền truy cập. Hệ thống ghi nhận cấu hình</v>
      </c>
      <c r="H611" s="36" t="s">
        <v>5</v>
      </c>
      <c r="I611" s="34" t="s">
        <v>6</v>
      </c>
    </row>
    <row r="612" spans="1:9" ht="49.5">
      <c r="A612" s="49">
        <f>COUNTA($D$4:D612)</f>
        <v>531</v>
      </c>
      <c r="B612" s="61" t="str">
        <f t="shared" si="118"/>
        <v>Cung cấp dữ liệu Người có công - Hồ sơ liệt sĩ:</v>
      </c>
      <c r="C612" s="63" t="s">
        <v>647</v>
      </c>
      <c r="D612" s="36" t="s">
        <v>28</v>
      </c>
      <c r="E612" s="35"/>
      <c r="F612" s="38"/>
      <c r="G612" s="38" t="str">
        <f t="shared" si="119"/>
        <v>1. Quản trị hệ thống thiết kế cấu trúc gói tin Người có công - Hồ sơ liệt sĩ: cần cung cấp. Hệ thống lưu cấu hình gói dữ liệu
2. Quản trị hệ thống cấu hình quyền truy cập. Hệ thống ghi nhận cấu hình</v>
      </c>
      <c r="H612" s="36" t="s">
        <v>5</v>
      </c>
      <c r="I612" s="34" t="s">
        <v>6</v>
      </c>
    </row>
    <row r="613" spans="1:9" ht="49.5">
      <c r="A613" s="49">
        <f>COUNTA($D$4:D613)</f>
        <v>532</v>
      </c>
      <c r="B613" s="61" t="str">
        <f t="shared" si="118"/>
        <v>Cung cấp dữ liệu Người có công - Hồ sơ công nhận thân nhân người có công</v>
      </c>
      <c r="C613" s="63" t="s">
        <v>648</v>
      </c>
      <c r="D613" s="36" t="s">
        <v>28</v>
      </c>
      <c r="E613" s="35"/>
      <c r="F613" s="38"/>
      <c r="G613" s="38" t="str">
        <f t="shared" si="119"/>
        <v>1. Quản trị hệ thống thiết kế cấu trúc gói tin Người có công - Hồ sơ công nhận thân nhân người có công cần cung cấp. Hệ thống lưu cấu hình gói dữ liệu
2. Quản trị hệ thống cấu hình quyền truy cập. Hệ thống ghi nhận cấu hình</v>
      </c>
      <c r="H613" s="36" t="s">
        <v>5</v>
      </c>
      <c r="I613" s="34" t="s">
        <v>6</v>
      </c>
    </row>
    <row r="614" spans="1:9" ht="49.5">
      <c r="A614" s="49">
        <f>COUNTA($D$4:D614)</f>
        <v>533</v>
      </c>
      <c r="B614" s="61" t="str">
        <f t="shared" si="118"/>
        <v xml:space="preserve">Cung cấp dữ liệu Trẻ em -Trẻ em </v>
      </c>
      <c r="C614" s="63" t="s">
        <v>649</v>
      </c>
      <c r="D614" s="36" t="s">
        <v>28</v>
      </c>
      <c r="E614" s="35"/>
      <c r="F614" s="38"/>
      <c r="G614" s="38" t="str">
        <f t="shared" si="119"/>
        <v>1. Quản trị hệ thống thiết kế cấu trúc gói tin Trẻ em -Trẻ em  cần cung cấp. Hệ thống lưu cấu hình gói dữ liệu
2. Quản trị hệ thống cấu hình quyền truy cập. Hệ thống ghi nhận cấu hình</v>
      </c>
      <c r="H614" s="36" t="s">
        <v>5</v>
      </c>
      <c r="I614" s="34" t="s">
        <v>6</v>
      </c>
    </row>
    <row r="615" spans="1:9" ht="16.5">
      <c r="A615" s="40" t="s">
        <v>394</v>
      </c>
      <c r="B615" s="39" t="s">
        <v>612</v>
      </c>
      <c r="C615" s="39"/>
      <c r="D615" s="34"/>
      <c r="E615" s="38"/>
      <c r="F615" s="35"/>
      <c r="G615" s="35"/>
      <c r="H615" s="36"/>
      <c r="I615" s="34"/>
    </row>
    <row r="616" spans="1:9" ht="16.5">
      <c r="A616" s="41" t="s">
        <v>395</v>
      </c>
      <c r="B616" s="42" t="s">
        <v>50</v>
      </c>
      <c r="C616" s="42"/>
      <c r="D616" s="34"/>
      <c r="E616" s="38"/>
      <c r="F616" s="35"/>
      <c r="G616" s="35"/>
      <c r="H616" s="36"/>
      <c r="I616" s="34"/>
    </row>
    <row r="617" spans="1:9" ht="16.5">
      <c r="A617" s="41" t="s">
        <v>396</v>
      </c>
      <c r="B617" s="42" t="s">
        <v>52</v>
      </c>
      <c r="C617" s="42"/>
      <c r="D617" s="34"/>
      <c r="E617" s="38"/>
      <c r="F617" s="35"/>
      <c r="G617" s="38"/>
      <c r="H617" s="36"/>
      <c r="I617" s="34"/>
    </row>
    <row r="618" spans="1:9" ht="49.5">
      <c r="A618" s="36">
        <f>COUNTA($D$4:D618)</f>
        <v>534</v>
      </c>
      <c r="B618" s="43" t="str">
        <f>"Cung cấp "&amp;C618</f>
        <v>Cung cấp Bộ dữ liệu hồ sơ đăng ký khai sinh</v>
      </c>
      <c r="C618" s="43" t="s">
        <v>53</v>
      </c>
      <c r="D618" s="36" t="s">
        <v>28</v>
      </c>
      <c r="E618" s="38"/>
      <c r="F618" s="38"/>
      <c r="G618" s="38" t="str">
        <f t="shared" ref="G618:G629" si="120">"1. " &amp;D618 &amp; " thiết kế cấu trúc gói tin "&amp;C618&amp;" cần cung cấp. Hệ thống lưu cấu hình gói dữ liệu
2. "&amp;D618&amp;" cấu hình quyền truy cập. Hệ thống ghi nhận cấu hình"</f>
        <v>1. Quản trị hệ thống thiết kế cấu trúc gói tin Bộ dữ liệu hồ sơ đăng ký khai sinh cần cung cấp. Hệ thống lưu cấu hình gói dữ liệu
2. Quản trị hệ thống cấu hình quyền truy cập. Hệ thống ghi nhận cấu hình</v>
      </c>
      <c r="H618" s="36" t="s">
        <v>5</v>
      </c>
      <c r="I618" s="34" t="s">
        <v>6</v>
      </c>
    </row>
    <row r="619" spans="1:9" ht="49.5">
      <c r="A619" s="36">
        <f>COUNTA($D$4:D619)</f>
        <v>535</v>
      </c>
      <c r="B619" s="43" t="str">
        <f t="shared" ref="B619:B629" si="121">"Cung cấp "&amp;C619</f>
        <v>Cung cấp Bộ dữ liệu hồ sơ đăng ký kết hôn</v>
      </c>
      <c r="C619" s="43" t="s">
        <v>55</v>
      </c>
      <c r="D619" s="36" t="s">
        <v>28</v>
      </c>
      <c r="E619" s="38"/>
      <c r="F619" s="38"/>
      <c r="G619" s="38" t="str">
        <f t="shared" si="120"/>
        <v>1. Quản trị hệ thống thiết kế cấu trúc gói tin Bộ dữ liệu hồ sơ đăng ký kết hôn cần cung cấp. Hệ thống lưu cấu hình gói dữ liệu
2. Quản trị hệ thống cấu hình quyền truy cập. Hệ thống ghi nhận cấu hình</v>
      </c>
      <c r="H619" s="36" t="s">
        <v>5</v>
      </c>
      <c r="I619" s="34" t="s">
        <v>6</v>
      </c>
    </row>
    <row r="620" spans="1:9" ht="49.5">
      <c r="A620" s="36">
        <f>COUNTA($D$4:D620)</f>
        <v>536</v>
      </c>
      <c r="B620" s="43" t="str">
        <f t="shared" si="121"/>
        <v>Cung cấp Bộ dữ liệu hồ sơ cấp Giấy xác nhận tình trạng hôn nhân</v>
      </c>
      <c r="C620" s="43" t="s">
        <v>56</v>
      </c>
      <c r="D620" s="36" t="s">
        <v>28</v>
      </c>
      <c r="E620" s="38"/>
      <c r="F620" s="38"/>
      <c r="G620" s="38" t="str">
        <f t="shared" si="120"/>
        <v>1. Quản trị hệ thống thiết kế cấu trúc gói tin Bộ dữ liệu hồ sơ cấp Giấy xác nhận tình trạng hôn nhân cần cung cấp. Hệ thống lưu cấu hình gói dữ liệu
2. Quản trị hệ thống cấu hình quyền truy cập. Hệ thống ghi nhận cấu hình</v>
      </c>
      <c r="H620" s="36" t="s">
        <v>5</v>
      </c>
      <c r="I620" s="34" t="s">
        <v>6</v>
      </c>
    </row>
    <row r="621" spans="1:9" ht="49.5">
      <c r="A621" s="36">
        <f>COUNTA($D$4:D621)</f>
        <v>537</v>
      </c>
      <c r="B621" s="43" t="str">
        <f t="shared" si="121"/>
        <v>Cung cấp Bộ dữ liệu hồ sơ đăng ký khai tử</v>
      </c>
      <c r="C621" s="43" t="s">
        <v>57</v>
      </c>
      <c r="D621" s="36" t="s">
        <v>28</v>
      </c>
      <c r="E621" s="38"/>
      <c r="F621" s="38"/>
      <c r="G621" s="38" t="str">
        <f t="shared" si="120"/>
        <v>1. Quản trị hệ thống thiết kế cấu trúc gói tin Bộ dữ liệu hồ sơ đăng ký khai tử cần cung cấp. Hệ thống lưu cấu hình gói dữ liệu
2. Quản trị hệ thống cấu hình quyền truy cập. Hệ thống ghi nhận cấu hình</v>
      </c>
      <c r="H621" s="36" t="s">
        <v>5</v>
      </c>
      <c r="I621" s="34" t="s">
        <v>6</v>
      </c>
    </row>
    <row r="622" spans="1:9" ht="49.5">
      <c r="A622" s="36">
        <f>COUNTA($D$4:D622)</f>
        <v>538</v>
      </c>
      <c r="B622" s="43" t="str">
        <f t="shared" si="121"/>
        <v>Cung cấp Bộ dữ liệu hồ sơ đăng ký nhận cha, mẹ, con</v>
      </c>
      <c r="C622" s="43" t="s">
        <v>58</v>
      </c>
      <c r="D622" s="36" t="s">
        <v>28</v>
      </c>
      <c r="E622" s="38"/>
      <c r="F622" s="38"/>
      <c r="G622" s="38" t="str">
        <f t="shared" si="120"/>
        <v>1. Quản trị hệ thống thiết kế cấu trúc gói tin Bộ dữ liệu hồ sơ đăng ký nhận cha, mẹ, con cần cung cấp. Hệ thống lưu cấu hình gói dữ liệu
2. Quản trị hệ thống cấu hình quyền truy cập. Hệ thống ghi nhận cấu hình</v>
      </c>
      <c r="H622" s="36" t="s">
        <v>5</v>
      </c>
      <c r="I622" s="34" t="s">
        <v>6</v>
      </c>
    </row>
    <row r="623" spans="1:9" ht="49.5">
      <c r="A623" s="36">
        <f>COUNTA($D$4:D623)</f>
        <v>539</v>
      </c>
      <c r="B623" s="43" t="str">
        <f t="shared" si="121"/>
        <v>Cung cấp Bộ dữ liệu hồ sơ đăng ký nuôi con nuôi</v>
      </c>
      <c r="C623" s="43" t="s">
        <v>59</v>
      </c>
      <c r="D623" s="36" t="s">
        <v>28</v>
      </c>
      <c r="E623" s="38"/>
      <c r="F623" s="38"/>
      <c r="G623" s="38" t="str">
        <f t="shared" si="120"/>
        <v>1. Quản trị hệ thống thiết kế cấu trúc gói tin Bộ dữ liệu hồ sơ đăng ký nuôi con nuôi cần cung cấp. Hệ thống lưu cấu hình gói dữ liệu
2. Quản trị hệ thống cấu hình quyền truy cập. Hệ thống ghi nhận cấu hình</v>
      </c>
      <c r="H623" s="36" t="s">
        <v>5</v>
      </c>
      <c r="I623" s="34" t="s">
        <v>6</v>
      </c>
    </row>
    <row r="624" spans="1:9" ht="49.5">
      <c r="A624" s="36">
        <f>COUNTA($D$4:D624)</f>
        <v>540</v>
      </c>
      <c r="B624" s="43" t="str">
        <f t="shared" si="121"/>
        <v>Cung cấp Bộ dữ liệu hồ sơ đăng ký giám hộ</v>
      </c>
      <c r="C624" s="43" t="s">
        <v>60</v>
      </c>
      <c r="D624" s="36" t="s">
        <v>28</v>
      </c>
      <c r="E624" s="38"/>
      <c r="F624" s="38"/>
      <c r="G624" s="38" t="str">
        <f t="shared" si="120"/>
        <v>1. Quản trị hệ thống thiết kế cấu trúc gói tin Bộ dữ liệu hồ sơ đăng ký giám hộ cần cung cấp. Hệ thống lưu cấu hình gói dữ liệu
2. Quản trị hệ thống cấu hình quyền truy cập. Hệ thống ghi nhận cấu hình</v>
      </c>
      <c r="H624" s="36" t="s">
        <v>5</v>
      </c>
      <c r="I624" s="34" t="s">
        <v>6</v>
      </c>
    </row>
    <row r="625" spans="1:9" ht="49.5">
      <c r="A625" s="36">
        <f>COUNTA($D$4:D625)</f>
        <v>541</v>
      </c>
      <c r="B625" s="43" t="str">
        <f t="shared" si="121"/>
        <v>Cung cấp Bộ dữ liệu hồ sơ đăng ký chấm dứt giám hộ</v>
      </c>
      <c r="C625" s="43" t="s">
        <v>61</v>
      </c>
      <c r="D625" s="36" t="s">
        <v>28</v>
      </c>
      <c r="E625" s="38"/>
      <c r="F625" s="38"/>
      <c r="G625" s="38" t="str">
        <f t="shared" si="120"/>
        <v>1. Quản trị hệ thống thiết kế cấu trúc gói tin Bộ dữ liệu hồ sơ đăng ký chấm dứt giám hộ cần cung cấp. Hệ thống lưu cấu hình gói dữ liệu
2. Quản trị hệ thống cấu hình quyền truy cập. Hệ thống ghi nhận cấu hình</v>
      </c>
      <c r="H625" s="36" t="s">
        <v>5</v>
      </c>
      <c r="I625" s="34" t="s">
        <v>6</v>
      </c>
    </row>
    <row r="626" spans="1:9" ht="66">
      <c r="A626" s="36">
        <f>COUNTA($D$4:D626)</f>
        <v>542</v>
      </c>
      <c r="B626" s="43" t="str">
        <f t="shared" si="121"/>
        <v>Cung cấp Bộ dữ liệu hồ sơ đăng ký thay đổi, cải chính, bổ sung thông tin hộ tịch, xác định lại dân tộc</v>
      </c>
      <c r="C626" s="43" t="s">
        <v>62</v>
      </c>
      <c r="D626" s="36" t="s">
        <v>28</v>
      </c>
      <c r="E626" s="38"/>
      <c r="F626" s="38"/>
      <c r="G626" s="38" t="str">
        <f t="shared" si="120"/>
        <v>1. Quản trị hệ thống thiết kế cấu trúc gói tin Bộ dữ liệu hồ sơ đăng ký thay đổi, cải chính, bổ sung thông tin hộ tịch, xác định lại dân tộc cần cung cấp. Hệ thống lưu cấu hình gói dữ liệu
2. Quản trị hệ thống cấu hình quyền truy cập. Hệ thống ghi nhận cấu hình</v>
      </c>
      <c r="H626" s="36" t="s">
        <v>5</v>
      </c>
      <c r="I626" s="34" t="s">
        <v>6</v>
      </c>
    </row>
    <row r="627" spans="1:9" ht="49.5">
      <c r="A627" s="36">
        <f>COUNTA($D$4:D627)</f>
        <v>543</v>
      </c>
      <c r="B627" s="43" t="str">
        <f t="shared" si="121"/>
        <v>Cung cấp Bộ dữ liệu hồ sơ đăng ký giám sát việc giám hộ</v>
      </c>
      <c r="C627" s="43" t="s">
        <v>63</v>
      </c>
      <c r="D627" s="36" t="s">
        <v>28</v>
      </c>
      <c r="E627" s="38"/>
      <c r="F627" s="38"/>
      <c r="G627" s="38" t="str">
        <f t="shared" si="120"/>
        <v>1. Quản trị hệ thống thiết kế cấu trúc gói tin Bộ dữ liệu hồ sơ đăng ký giám sát việc giám hộ cần cung cấp. Hệ thống lưu cấu hình gói dữ liệu
2. Quản trị hệ thống cấu hình quyền truy cập. Hệ thống ghi nhận cấu hình</v>
      </c>
      <c r="H627" s="36" t="s">
        <v>5</v>
      </c>
      <c r="I627" s="34" t="s">
        <v>6</v>
      </c>
    </row>
    <row r="628" spans="1:9" ht="49.5">
      <c r="A628" s="36">
        <f>COUNTA($D$4:D628)</f>
        <v>544</v>
      </c>
      <c r="B628" s="43" t="str">
        <f t="shared" si="121"/>
        <v>Cung cấp Bộ dữ liệu hồ sơ đăng ký chấm dứt giám sát việc giám hộ</v>
      </c>
      <c r="C628" s="43" t="s">
        <v>64</v>
      </c>
      <c r="D628" s="36" t="s">
        <v>28</v>
      </c>
      <c r="E628" s="38"/>
      <c r="F628" s="38"/>
      <c r="G628" s="38" t="str">
        <f t="shared" si="120"/>
        <v>1. Quản trị hệ thống thiết kế cấu trúc gói tin Bộ dữ liệu hồ sơ đăng ký chấm dứt giám sát việc giám hộ cần cung cấp. Hệ thống lưu cấu hình gói dữ liệu
2. Quản trị hệ thống cấu hình quyền truy cập. Hệ thống ghi nhận cấu hình</v>
      </c>
      <c r="H628" s="36" t="s">
        <v>5</v>
      </c>
      <c r="I628" s="34" t="s">
        <v>6</v>
      </c>
    </row>
    <row r="629" spans="1:9" ht="82.5">
      <c r="A629" s="36">
        <f>COUNTA($D$4:D629)</f>
        <v>545</v>
      </c>
      <c r="B629" s="43" t="str">
        <f t="shared" si="121"/>
        <v>Cung cấp Bộ dữ liệu hồ sơ ghi vào sổ việc ly hôn/hủy việc kết hôn đã thực hiện tại cơ quan có thẩm quyền của nước ngoài (ghi chú ly hôn)</v>
      </c>
      <c r="C629" s="43" t="s">
        <v>65</v>
      </c>
      <c r="D629" s="36" t="s">
        <v>28</v>
      </c>
      <c r="E629" s="38"/>
      <c r="F629" s="38"/>
      <c r="G629" s="38" t="str">
        <f t="shared" si="120"/>
        <v>1. Quản trị hệ thống thiết kế cấu trúc gói tin Bộ dữ liệu hồ sơ ghi vào sổ việc ly hôn/hủy việc kết hôn đã thực hiện tại cơ quan có thẩm quyền của nước ngoài (ghi chú ly hôn) cần cung cấp. Hệ thống lưu cấu hình gói dữ liệu
2. Quản trị hệ thống cấu hình quyền truy cập. Hệ thống ghi nhận cấu hình</v>
      </c>
      <c r="H629" s="36" t="s">
        <v>5</v>
      </c>
      <c r="I629" s="34" t="s">
        <v>6</v>
      </c>
    </row>
    <row r="630" spans="1:9" ht="33">
      <c r="A630" s="41" t="s">
        <v>397</v>
      </c>
      <c r="B630" s="44" t="s">
        <v>67</v>
      </c>
      <c r="C630" s="44"/>
      <c r="D630" s="36"/>
      <c r="E630" s="38"/>
      <c r="F630" s="35"/>
      <c r="G630" s="35"/>
      <c r="H630" s="36"/>
      <c r="I630" s="34"/>
    </row>
    <row r="631" spans="1:9" ht="49.5">
      <c r="A631" s="36">
        <f>COUNTA($D$4:D631)</f>
        <v>546</v>
      </c>
      <c r="B631" s="43" t="str">
        <f t="shared" ref="B631:B633" si="122">"Cung cấp dữ liệu "&amp;C631</f>
        <v>Cung cấp dữ liệu Nhập Quốc tịch</v>
      </c>
      <c r="C631" s="45" t="s">
        <v>68</v>
      </c>
      <c r="D631" s="36" t="s">
        <v>28</v>
      </c>
      <c r="E631" s="38"/>
      <c r="F631" s="38"/>
      <c r="G631" s="38" t="str">
        <f t="shared" ref="G631:G633" si="123">"1. " &amp;D631 &amp; " thiết kế cấu trúc gói tin "&amp;C631&amp;" cần cung cấp. Hệ thống lưu cấu hình gói dữ liệu
2. "&amp;D631&amp;" cấu hình quyền truy cập. Hệ thống ghi nhận cấu hình"</f>
        <v>1. Quản trị hệ thống thiết kế cấu trúc gói tin Nhập Quốc tịch cần cung cấp. Hệ thống lưu cấu hình gói dữ liệu
2. Quản trị hệ thống cấu hình quyền truy cập. Hệ thống ghi nhận cấu hình</v>
      </c>
      <c r="H631" s="36" t="s">
        <v>5</v>
      </c>
      <c r="I631" s="34" t="s">
        <v>6</v>
      </c>
    </row>
    <row r="632" spans="1:9" ht="49.5">
      <c r="A632" s="36">
        <f>COUNTA($D$4:D632)</f>
        <v>547</v>
      </c>
      <c r="B632" s="43" t="str">
        <f t="shared" si="122"/>
        <v>Cung cấp dữ liệu Thôi Quốc tịch</v>
      </c>
      <c r="C632" s="45" t="s">
        <v>70</v>
      </c>
      <c r="D632" s="36" t="s">
        <v>28</v>
      </c>
      <c r="E632" s="38"/>
      <c r="F632" s="38"/>
      <c r="G632" s="38" t="str">
        <f t="shared" si="123"/>
        <v>1. Quản trị hệ thống thiết kế cấu trúc gói tin Thôi Quốc tịch cần cung cấp. Hệ thống lưu cấu hình gói dữ liệu
2. Quản trị hệ thống cấu hình quyền truy cập. Hệ thống ghi nhận cấu hình</v>
      </c>
      <c r="H632" s="36" t="s">
        <v>5</v>
      </c>
      <c r="I632" s="34" t="s">
        <v>6</v>
      </c>
    </row>
    <row r="633" spans="1:9" ht="49.5">
      <c r="A633" s="36">
        <f>COUNTA($D$4:D633)</f>
        <v>548</v>
      </c>
      <c r="B633" s="43" t="str">
        <f t="shared" si="122"/>
        <v>Cung cấp dữ liệu Trở lại Quốc tịch</v>
      </c>
      <c r="C633" s="45" t="s">
        <v>71</v>
      </c>
      <c r="D633" s="36" t="s">
        <v>28</v>
      </c>
      <c r="E633" s="38"/>
      <c r="F633" s="38"/>
      <c r="G633" s="38" t="str">
        <f t="shared" si="123"/>
        <v>1. Quản trị hệ thống thiết kế cấu trúc gói tin Trở lại Quốc tịch cần cung cấp. Hệ thống lưu cấu hình gói dữ liệu
2. Quản trị hệ thống cấu hình quyền truy cập. Hệ thống ghi nhận cấu hình</v>
      </c>
      <c r="H633" s="36" t="s">
        <v>5</v>
      </c>
      <c r="I633" s="34" t="s">
        <v>6</v>
      </c>
    </row>
    <row r="634" spans="1:9" ht="33">
      <c r="A634" s="41" t="s">
        <v>398</v>
      </c>
      <c r="B634" s="46" t="s">
        <v>73</v>
      </c>
      <c r="C634" s="46"/>
      <c r="D634" s="36"/>
      <c r="E634" s="38"/>
      <c r="F634" s="35"/>
      <c r="G634" s="35"/>
      <c r="H634" s="36"/>
      <c r="I634" s="34"/>
    </row>
    <row r="635" spans="1:9" ht="33">
      <c r="A635" s="41" t="s">
        <v>399</v>
      </c>
      <c r="B635" s="42" t="s">
        <v>75</v>
      </c>
      <c r="C635" s="42"/>
      <c r="D635" s="36"/>
      <c r="E635" s="38"/>
      <c r="F635" s="35"/>
      <c r="G635" s="35"/>
      <c r="H635" s="36"/>
      <c r="I635" s="34"/>
    </row>
    <row r="636" spans="1:9" ht="49.5">
      <c r="A636" s="36">
        <f>COUNTA($D$4:D636)</f>
        <v>549</v>
      </c>
      <c r="B636" s="43" t="str">
        <f t="shared" ref="B636:B651" si="124">"Cung cấp dữ liệu "&amp;C636</f>
        <v>Cung cấp dữ liệu Yêu cầu thi hành án của cá nhân, cơ quan, tổ chức</v>
      </c>
      <c r="C636" s="38" t="s">
        <v>78</v>
      </c>
      <c r="D636" s="36" t="s">
        <v>28</v>
      </c>
      <c r="E636" s="38"/>
      <c r="F636" s="38"/>
      <c r="G636" s="38" t="str">
        <f t="shared" ref="G636:G651" si="125">"1. " &amp;D636 &amp; " thiết kế cấu trúc gói tin "&amp;C636&amp;" cần cung cấp. Hệ thống lưu cấu hình gói dữ liệu
2. "&amp;D636&amp;" cấu hình quyền truy cập. Hệ thống ghi nhận cấu hình"</f>
        <v>1. Quản trị hệ thống thiết kế cấu trúc gói tin Yêu cầu thi hành án của cá nhân, cơ quan, tổ chức cần cung cấp. Hệ thống lưu cấu hình gói dữ liệu
2. Quản trị hệ thống cấu hình quyền truy cập. Hệ thống ghi nhận cấu hình</v>
      </c>
      <c r="H636" s="36" t="s">
        <v>5</v>
      </c>
      <c r="I636" s="34" t="s">
        <v>6</v>
      </c>
    </row>
    <row r="637" spans="1:9" ht="49.5">
      <c r="A637" s="36">
        <f>COUNTA($D$4:D637)</f>
        <v>550</v>
      </c>
      <c r="B637" s="43" t="str">
        <f t="shared" si="124"/>
        <v>Cung cấp dữ liệu Quyết định thi hành án dân sự</v>
      </c>
      <c r="C637" s="38" t="s">
        <v>79</v>
      </c>
      <c r="D637" s="36" t="s">
        <v>28</v>
      </c>
      <c r="E637" s="38"/>
      <c r="F637" s="38"/>
      <c r="G637" s="38" t="str">
        <f t="shared" si="125"/>
        <v>1. Quản trị hệ thống thiết kế cấu trúc gói tin Quyết định thi hành án dân sự cần cung cấp. Hệ thống lưu cấu hình gói dữ liệu
2. Quản trị hệ thống cấu hình quyền truy cập. Hệ thống ghi nhận cấu hình</v>
      </c>
      <c r="H637" s="36" t="s">
        <v>5</v>
      </c>
      <c r="I637" s="34" t="s">
        <v>6</v>
      </c>
    </row>
    <row r="638" spans="1:9" ht="66">
      <c r="A638" s="36">
        <f>COUNTA($D$4:D638)</f>
        <v>551</v>
      </c>
      <c r="B638" s="43" t="str">
        <f t="shared" si="124"/>
        <v>Cung cấp dữ liệu Người phải thi hành án, người được thi hành án, người có quyền lợi nghĩa vụ liên quan</v>
      </c>
      <c r="C638" s="38" t="s">
        <v>80</v>
      </c>
      <c r="D638" s="36" t="s">
        <v>28</v>
      </c>
      <c r="E638" s="38"/>
      <c r="F638" s="38"/>
      <c r="G638" s="38" t="str">
        <f t="shared" si="125"/>
        <v>1. Quản trị hệ thống thiết kế cấu trúc gói tin Người phải thi hành án, người được thi hành án, người có quyền lợi nghĩa vụ liên quan cần cung cấp. Hệ thống lưu cấu hình gói dữ liệu
2. Quản trị hệ thống cấu hình quyền truy cập. Hệ thống ghi nhận cấu hình</v>
      </c>
      <c r="H638" s="36" t="s">
        <v>5</v>
      </c>
      <c r="I638" s="34" t="s">
        <v>6</v>
      </c>
    </row>
    <row r="639" spans="1:9" ht="49.5">
      <c r="A639" s="36">
        <f>COUNTA($D$4:D639)</f>
        <v>552</v>
      </c>
      <c r="B639" s="43" t="str">
        <f t="shared" si="124"/>
        <v>Cung cấp dữ liệu Nghĩa vụ thi hành án</v>
      </c>
      <c r="C639" s="38" t="s">
        <v>81</v>
      </c>
      <c r="D639" s="36" t="s">
        <v>28</v>
      </c>
      <c r="E639" s="38"/>
      <c r="F639" s="38"/>
      <c r="G639" s="38" t="str">
        <f t="shared" si="125"/>
        <v>1. Quản trị hệ thống thiết kế cấu trúc gói tin Nghĩa vụ thi hành án cần cung cấp. Hệ thống lưu cấu hình gói dữ liệu
2. Quản trị hệ thống cấu hình quyền truy cập. Hệ thống ghi nhận cấu hình</v>
      </c>
      <c r="H639" s="36" t="s">
        <v>5</v>
      </c>
      <c r="I639" s="34" t="s">
        <v>6</v>
      </c>
    </row>
    <row r="640" spans="1:9" ht="49.5">
      <c r="A640" s="36">
        <f>COUNTA($D$4:D640)</f>
        <v>553</v>
      </c>
      <c r="B640" s="43" t="str">
        <f t="shared" si="124"/>
        <v>Cung cấp dữ liệu Trạng thái thi hành án</v>
      </c>
      <c r="C640" s="38" t="s">
        <v>82</v>
      </c>
      <c r="D640" s="36" t="s">
        <v>28</v>
      </c>
      <c r="E640" s="38"/>
      <c r="F640" s="38"/>
      <c r="G640" s="38" t="str">
        <f t="shared" si="125"/>
        <v>1. Quản trị hệ thống thiết kế cấu trúc gói tin Trạng thái thi hành án cần cung cấp. Hệ thống lưu cấu hình gói dữ liệu
2. Quản trị hệ thống cấu hình quyền truy cập. Hệ thống ghi nhận cấu hình</v>
      </c>
      <c r="H640" s="36" t="s">
        <v>5</v>
      </c>
      <c r="I640" s="34" t="s">
        <v>6</v>
      </c>
    </row>
    <row r="641" spans="1:9" ht="49.5">
      <c r="A641" s="36">
        <f>COUNTA($D$4:D641)</f>
        <v>554</v>
      </c>
      <c r="B641" s="43" t="str">
        <f t="shared" si="124"/>
        <v>Cung cấp dữ liệu Tài sản thi hành án</v>
      </c>
      <c r="C641" s="38" t="s">
        <v>83</v>
      </c>
      <c r="D641" s="36" t="s">
        <v>28</v>
      </c>
      <c r="E641" s="38"/>
      <c r="F641" s="38"/>
      <c r="G641" s="38" t="str">
        <f t="shared" si="125"/>
        <v>1. Quản trị hệ thống thiết kế cấu trúc gói tin Tài sản thi hành án cần cung cấp. Hệ thống lưu cấu hình gói dữ liệu
2. Quản trị hệ thống cấu hình quyền truy cập. Hệ thống ghi nhận cấu hình</v>
      </c>
      <c r="H641" s="36" t="s">
        <v>5</v>
      </c>
      <c r="I641" s="34" t="s">
        <v>6</v>
      </c>
    </row>
    <row r="642" spans="1:9" ht="49.5">
      <c r="A642" s="36">
        <f>COUNTA($D$4:D642)</f>
        <v>555</v>
      </c>
      <c r="B642" s="43" t="str">
        <f t="shared" si="124"/>
        <v>Cung cấp dữ liệu Xác minh điều kiện trong thi hành án dân sự</v>
      </c>
      <c r="C642" s="38" t="s">
        <v>84</v>
      </c>
      <c r="D642" s="36" t="s">
        <v>28</v>
      </c>
      <c r="E642" s="38"/>
      <c r="F642" s="38"/>
      <c r="G642" s="38" t="str">
        <f t="shared" si="125"/>
        <v>1. Quản trị hệ thống thiết kế cấu trúc gói tin Xác minh điều kiện trong thi hành án dân sự cần cung cấp. Hệ thống lưu cấu hình gói dữ liệu
2. Quản trị hệ thống cấu hình quyền truy cập. Hệ thống ghi nhận cấu hình</v>
      </c>
      <c r="H642" s="36" t="s">
        <v>5</v>
      </c>
      <c r="I642" s="34" t="s">
        <v>6</v>
      </c>
    </row>
    <row r="643" spans="1:9" ht="49.5">
      <c r="A643" s="36">
        <f>COUNTA($D$4:D643)</f>
        <v>556</v>
      </c>
      <c r="B643" s="43" t="str">
        <f t="shared" si="124"/>
        <v>Cung cấp dữ liệu Cưỡng chế thi hành án trong thi hành án dân sự</v>
      </c>
      <c r="C643" s="38" t="s">
        <v>85</v>
      </c>
      <c r="D643" s="36" t="s">
        <v>28</v>
      </c>
      <c r="E643" s="38"/>
      <c r="F643" s="38"/>
      <c r="G643" s="38" t="str">
        <f t="shared" si="125"/>
        <v>1. Quản trị hệ thống thiết kế cấu trúc gói tin Cưỡng chế thi hành án trong thi hành án dân sự cần cung cấp. Hệ thống lưu cấu hình gói dữ liệu
2. Quản trị hệ thống cấu hình quyền truy cập. Hệ thống ghi nhận cấu hình</v>
      </c>
      <c r="H643" s="36" t="s">
        <v>5</v>
      </c>
      <c r="I643" s="34" t="s">
        <v>6</v>
      </c>
    </row>
    <row r="644" spans="1:9" ht="49.5">
      <c r="A644" s="36">
        <f>COUNTA($D$4:D644)</f>
        <v>557</v>
      </c>
      <c r="B644" s="43" t="str">
        <f t="shared" si="124"/>
        <v>Cung cấp dữ liệu Áp dụng biện pháp bảo đảm trong thi hành án dân sự</v>
      </c>
      <c r="C644" s="38" t="s">
        <v>86</v>
      </c>
      <c r="D644" s="36" t="s">
        <v>28</v>
      </c>
      <c r="E644" s="38"/>
      <c r="F644" s="38"/>
      <c r="G644" s="38" t="str">
        <f t="shared" si="125"/>
        <v>1. Quản trị hệ thống thiết kế cấu trúc gói tin Áp dụng biện pháp bảo đảm trong thi hành án dân sự cần cung cấp. Hệ thống lưu cấu hình gói dữ liệu
2. Quản trị hệ thống cấu hình quyền truy cập. Hệ thống ghi nhận cấu hình</v>
      </c>
      <c r="H644" s="36" t="s">
        <v>5</v>
      </c>
      <c r="I644" s="34" t="s">
        <v>6</v>
      </c>
    </row>
    <row r="645" spans="1:9" ht="49.5">
      <c r="A645" s="36">
        <f>COUNTA($D$4:D645)</f>
        <v>558</v>
      </c>
      <c r="B645" s="43" t="str">
        <f t="shared" si="124"/>
        <v>Cung cấp dữ liệu Chứng từ nghiệp vụ trong thi hành án dân sự</v>
      </c>
      <c r="C645" s="38" t="s">
        <v>87</v>
      </c>
      <c r="D645" s="36" t="s">
        <v>28</v>
      </c>
      <c r="E645" s="38"/>
      <c r="F645" s="38"/>
      <c r="G645" s="38" t="str">
        <f t="shared" si="125"/>
        <v>1. Quản trị hệ thống thiết kế cấu trúc gói tin Chứng từ nghiệp vụ trong thi hành án dân sự cần cung cấp. Hệ thống lưu cấu hình gói dữ liệu
2. Quản trị hệ thống cấu hình quyền truy cập. Hệ thống ghi nhận cấu hình</v>
      </c>
      <c r="H645" s="36" t="s">
        <v>5</v>
      </c>
      <c r="I645" s="34" t="s">
        <v>6</v>
      </c>
    </row>
    <row r="646" spans="1:9" ht="49.5">
      <c r="A646" s="36">
        <f>COUNTA($D$4:D646)</f>
        <v>559</v>
      </c>
      <c r="B646" s="43" t="str">
        <f t="shared" si="124"/>
        <v>Cung cấp dữ liệu Biên lai thu tiền thi hành án dân sự</v>
      </c>
      <c r="C646" s="38" t="s">
        <v>88</v>
      </c>
      <c r="D646" s="36" t="s">
        <v>28</v>
      </c>
      <c r="E646" s="38"/>
      <c r="F646" s="38"/>
      <c r="G646" s="38" t="str">
        <f t="shared" si="125"/>
        <v>1. Quản trị hệ thống thiết kế cấu trúc gói tin Biên lai thu tiền thi hành án dân sự cần cung cấp. Hệ thống lưu cấu hình gói dữ liệu
2. Quản trị hệ thống cấu hình quyền truy cập. Hệ thống ghi nhận cấu hình</v>
      </c>
      <c r="H646" s="36" t="s">
        <v>5</v>
      </c>
      <c r="I646" s="34" t="s">
        <v>6</v>
      </c>
    </row>
    <row r="647" spans="1:9" ht="49.5">
      <c r="A647" s="36">
        <f>COUNTA($D$4:D647)</f>
        <v>560</v>
      </c>
      <c r="B647" s="43" t="str">
        <f t="shared" si="124"/>
        <v>Cung cấp dữ liệu Vật chứng trong thi hành án dân sự</v>
      </c>
      <c r="C647" s="38" t="s">
        <v>89</v>
      </c>
      <c r="D647" s="36" t="s">
        <v>28</v>
      </c>
      <c r="E647" s="38"/>
      <c r="F647" s="38"/>
      <c r="G647" s="38" t="str">
        <f t="shared" si="125"/>
        <v>1. Quản trị hệ thống thiết kế cấu trúc gói tin Vật chứng trong thi hành án dân sự cần cung cấp. Hệ thống lưu cấu hình gói dữ liệu
2. Quản trị hệ thống cấu hình quyền truy cập. Hệ thống ghi nhận cấu hình</v>
      </c>
      <c r="H647" s="36" t="s">
        <v>5</v>
      </c>
      <c r="I647" s="34" t="s">
        <v>6</v>
      </c>
    </row>
    <row r="648" spans="1:9" ht="49.5">
      <c r="A648" s="36">
        <f>COUNTA($D$4:D648)</f>
        <v>561</v>
      </c>
      <c r="B648" s="43" t="str">
        <f t="shared" si="124"/>
        <v>Cung cấp dữ liệu Thẩm định giá tài sản trong thi hành án dân sự</v>
      </c>
      <c r="C648" s="38" t="s">
        <v>90</v>
      </c>
      <c r="D648" s="36" t="s">
        <v>28</v>
      </c>
      <c r="E648" s="38"/>
      <c r="F648" s="38"/>
      <c r="G648" s="38" t="str">
        <f t="shared" si="125"/>
        <v>1. Quản trị hệ thống thiết kế cấu trúc gói tin Thẩm định giá tài sản trong thi hành án dân sự cần cung cấp. Hệ thống lưu cấu hình gói dữ liệu
2. Quản trị hệ thống cấu hình quyền truy cập. Hệ thống ghi nhận cấu hình</v>
      </c>
      <c r="H648" s="36" t="s">
        <v>5</v>
      </c>
      <c r="I648" s="34" t="s">
        <v>6</v>
      </c>
    </row>
    <row r="649" spans="1:9" ht="49.5">
      <c r="A649" s="36">
        <f>COUNTA($D$4:D649)</f>
        <v>562</v>
      </c>
      <c r="B649" s="43" t="str">
        <f t="shared" si="124"/>
        <v>Cung cấp dữ liệu Đấu giá tài sản trong thi hành án dân sự</v>
      </c>
      <c r="C649" s="38" t="s">
        <v>91</v>
      </c>
      <c r="D649" s="36" t="s">
        <v>28</v>
      </c>
      <c r="E649" s="38"/>
      <c r="F649" s="38"/>
      <c r="G649" s="38" t="str">
        <f t="shared" si="125"/>
        <v>1. Quản trị hệ thống thiết kế cấu trúc gói tin Đấu giá tài sản trong thi hành án dân sự cần cung cấp. Hệ thống lưu cấu hình gói dữ liệu
2. Quản trị hệ thống cấu hình quyền truy cập. Hệ thống ghi nhận cấu hình</v>
      </c>
      <c r="H649" s="36" t="s">
        <v>5</v>
      </c>
      <c r="I649" s="34" t="s">
        <v>6</v>
      </c>
    </row>
    <row r="650" spans="1:9" ht="49.5">
      <c r="A650" s="36">
        <f>COUNTA($D$4:D650)</f>
        <v>563</v>
      </c>
      <c r="B650" s="43" t="str">
        <f t="shared" si="124"/>
        <v>Cung cấp dữ liệu Giải quyết khiếu nại, tố cáo trong thi hành án dân sự</v>
      </c>
      <c r="C650" s="38" t="s">
        <v>92</v>
      </c>
      <c r="D650" s="36" t="s">
        <v>28</v>
      </c>
      <c r="E650" s="38"/>
      <c r="F650" s="38"/>
      <c r="G650" s="38" t="str">
        <f t="shared" si="125"/>
        <v>1. Quản trị hệ thống thiết kế cấu trúc gói tin Giải quyết khiếu nại, tố cáo trong thi hành án dân sự cần cung cấp. Hệ thống lưu cấu hình gói dữ liệu
2. Quản trị hệ thống cấu hình quyền truy cập. Hệ thống ghi nhận cấu hình</v>
      </c>
      <c r="H650" s="36" t="s">
        <v>5</v>
      </c>
      <c r="I650" s="34" t="s">
        <v>6</v>
      </c>
    </row>
    <row r="651" spans="1:9" ht="49.5">
      <c r="A651" s="36">
        <f>COUNTA($D$4:D651)</f>
        <v>564</v>
      </c>
      <c r="B651" s="43" t="str">
        <f t="shared" si="124"/>
        <v>Cung cấp dữ liệu Hướng dẫn nghiệp vụ trong thi hành án dân sự</v>
      </c>
      <c r="C651" s="38" t="s">
        <v>93</v>
      </c>
      <c r="D651" s="36" t="s">
        <v>28</v>
      </c>
      <c r="E651" s="38"/>
      <c r="F651" s="38"/>
      <c r="G651" s="38" t="str">
        <f t="shared" si="125"/>
        <v>1. Quản trị hệ thống thiết kế cấu trúc gói tin Hướng dẫn nghiệp vụ trong thi hành án dân sự cần cung cấp. Hệ thống lưu cấu hình gói dữ liệu
2. Quản trị hệ thống cấu hình quyền truy cập. Hệ thống ghi nhận cấu hình</v>
      </c>
      <c r="H651" s="36" t="s">
        <v>5</v>
      </c>
      <c r="I651" s="34" t="s">
        <v>6</v>
      </c>
    </row>
    <row r="652" spans="1:9" ht="49.5">
      <c r="A652" s="41" t="s">
        <v>400</v>
      </c>
      <c r="B652" s="46" t="s">
        <v>95</v>
      </c>
      <c r="C652" s="46"/>
      <c r="D652" s="36"/>
      <c r="E652" s="38"/>
      <c r="F652" s="35"/>
      <c r="G652" s="35"/>
      <c r="H652" s="36"/>
      <c r="I652" s="34"/>
    </row>
    <row r="653" spans="1:9" ht="33">
      <c r="A653" s="41" t="s">
        <v>401</v>
      </c>
      <c r="B653" s="42" t="s">
        <v>97</v>
      </c>
      <c r="C653" s="42"/>
      <c r="D653" s="36"/>
      <c r="E653" s="38"/>
      <c r="F653" s="35"/>
      <c r="G653" s="35"/>
      <c r="H653" s="36"/>
      <c r="I653" s="34"/>
    </row>
    <row r="654" spans="1:9" ht="49.5">
      <c r="A654" s="36">
        <f>COUNTA($D$4:D654)</f>
        <v>565</v>
      </c>
      <c r="B654" s="43" t="str">
        <f t="shared" ref="B654:B657" si="126">"Cung cấp dữ liệu "&amp;C654</f>
        <v>Cung cấp dữ liệu Thông tin chung (Bao gồm người đăng ký và Hợp đồng bảo đảm)</v>
      </c>
      <c r="C654" s="38" t="s">
        <v>98</v>
      </c>
      <c r="D654" s="36" t="s">
        <v>28</v>
      </c>
      <c r="E654" s="38"/>
      <c r="F654" s="38"/>
      <c r="G654" s="38" t="str">
        <f t="shared" ref="G654:G657" si="127">"1. " &amp;D654 &amp; " thiết kế cấu trúc gói tin "&amp;C654&amp;" cần cung cấp. Hệ thống lưu cấu hình gói dữ liệu
2. "&amp;D654&amp;" cấu hình quyền truy cập. Hệ thống ghi nhận cấu hình"</f>
        <v>1. Quản trị hệ thống thiết kế cấu trúc gói tin Thông tin chung (Bao gồm người đăng ký và Hợp đồng bảo đảm) cần cung cấp. Hệ thống lưu cấu hình gói dữ liệu
2. Quản trị hệ thống cấu hình quyền truy cập. Hệ thống ghi nhận cấu hình</v>
      </c>
      <c r="H654" s="36" t="s">
        <v>5</v>
      </c>
      <c r="I654" s="34" t="s">
        <v>6</v>
      </c>
    </row>
    <row r="655" spans="1:9" ht="49.5">
      <c r="A655" s="36">
        <f>COUNTA($D$4:D655)</f>
        <v>566</v>
      </c>
      <c r="B655" s="43" t="str">
        <f t="shared" si="126"/>
        <v>Cung cấp dữ liệu Bên bảo đảm</v>
      </c>
      <c r="C655" s="38" t="s">
        <v>100</v>
      </c>
      <c r="D655" s="36" t="s">
        <v>28</v>
      </c>
      <c r="E655" s="38"/>
      <c r="F655" s="38"/>
      <c r="G655" s="38" t="str">
        <f t="shared" si="127"/>
        <v>1. Quản trị hệ thống thiết kế cấu trúc gói tin Bên bảo đảm cần cung cấp. Hệ thống lưu cấu hình gói dữ liệu
2. Quản trị hệ thống cấu hình quyền truy cập. Hệ thống ghi nhận cấu hình</v>
      </c>
      <c r="H655" s="36" t="s">
        <v>5</v>
      </c>
      <c r="I655" s="34" t="s">
        <v>6</v>
      </c>
    </row>
    <row r="656" spans="1:9" ht="49.5">
      <c r="A656" s="36">
        <f>COUNTA($D$4:D656)</f>
        <v>567</v>
      </c>
      <c r="B656" s="43" t="str">
        <f t="shared" si="126"/>
        <v>Cung cấp dữ liệu Bên nhận bảo đảm</v>
      </c>
      <c r="C656" s="38" t="s">
        <v>101</v>
      </c>
      <c r="D656" s="36" t="s">
        <v>28</v>
      </c>
      <c r="E656" s="38"/>
      <c r="F656" s="38"/>
      <c r="G656" s="38" t="str">
        <f t="shared" si="127"/>
        <v>1. Quản trị hệ thống thiết kế cấu trúc gói tin Bên nhận bảo đảm cần cung cấp. Hệ thống lưu cấu hình gói dữ liệu
2. Quản trị hệ thống cấu hình quyền truy cập. Hệ thống ghi nhận cấu hình</v>
      </c>
      <c r="H656" s="36" t="s">
        <v>5</v>
      </c>
      <c r="I656" s="34" t="s">
        <v>6</v>
      </c>
    </row>
    <row r="657" spans="1:9" ht="49.5">
      <c r="A657" s="36">
        <f>COUNTA($D$4:D657)</f>
        <v>568</v>
      </c>
      <c r="B657" s="43" t="str">
        <f t="shared" si="126"/>
        <v>Cung cấp dữ liệu Tài sản bảo đảm</v>
      </c>
      <c r="C657" s="38" t="s">
        <v>102</v>
      </c>
      <c r="D657" s="36" t="s">
        <v>28</v>
      </c>
      <c r="E657" s="38"/>
      <c r="F657" s="38"/>
      <c r="G657" s="38" t="str">
        <f t="shared" si="127"/>
        <v>1. Quản trị hệ thống thiết kế cấu trúc gói tin Tài sản bảo đảm cần cung cấp. Hệ thống lưu cấu hình gói dữ liệu
2. Quản trị hệ thống cấu hình quyền truy cập. Hệ thống ghi nhận cấu hình</v>
      </c>
      <c r="H657" s="36" t="s">
        <v>5</v>
      </c>
      <c r="I657" s="34" t="s">
        <v>6</v>
      </c>
    </row>
    <row r="658" spans="1:9" ht="49.5">
      <c r="A658" s="41" t="s">
        <v>402</v>
      </c>
      <c r="B658" s="46" t="s">
        <v>104</v>
      </c>
      <c r="C658" s="46"/>
      <c r="D658" s="36"/>
      <c r="E658" s="38"/>
      <c r="F658" s="35"/>
      <c r="G658" s="35"/>
      <c r="H658" s="36"/>
      <c r="I658" s="36"/>
    </row>
    <row r="659" spans="1:9" ht="16.5">
      <c r="A659" s="41" t="s">
        <v>403</v>
      </c>
      <c r="B659" s="42" t="s">
        <v>106</v>
      </c>
      <c r="C659" s="42"/>
      <c r="D659" s="36"/>
      <c r="E659" s="38"/>
      <c r="F659" s="35"/>
      <c r="G659" s="35"/>
      <c r="H659" s="36"/>
      <c r="I659" s="34"/>
    </row>
    <row r="660" spans="1:9" ht="49.5">
      <c r="A660" s="36">
        <f>COUNTA($D$4:D660)</f>
        <v>569</v>
      </c>
      <c r="B660" s="43" t="str">
        <f t="shared" ref="B660:B664" si="128">"Cung cấp dữ liệu "&amp;C660</f>
        <v>Cung cấp dữ liệu Văn bản quy phạm pháp luật</v>
      </c>
      <c r="C660" s="47" t="s">
        <v>107</v>
      </c>
      <c r="D660" s="36" t="s">
        <v>28</v>
      </c>
      <c r="E660" s="38"/>
      <c r="F660" s="38"/>
      <c r="G660" s="38" t="str">
        <f t="shared" ref="G660:G664" si="129">"1. " &amp;D660 &amp; " thiết kế cấu trúc gói tin "&amp;C660&amp;" cần cung cấp. Hệ thống lưu cấu hình gói dữ liệu
2. "&amp;D660&amp;" cấu hình quyền truy cập. Hệ thống ghi nhận cấu hình"</f>
        <v>1. Quản trị hệ thống thiết kế cấu trúc gói tin Văn bản quy phạm pháp luật cần cung cấp. Hệ thống lưu cấu hình gói dữ liệu
2. Quản trị hệ thống cấu hình quyền truy cập. Hệ thống ghi nhận cấu hình</v>
      </c>
      <c r="H660" s="36" t="s">
        <v>5</v>
      </c>
      <c r="I660" s="34" t="s">
        <v>6</v>
      </c>
    </row>
    <row r="661" spans="1:9" ht="49.5">
      <c r="A661" s="36">
        <f>COUNTA($D$4:D661)</f>
        <v>570</v>
      </c>
      <c r="B661" s="43" t="str">
        <f t="shared" si="128"/>
        <v>Cung cấp dữ liệu Nội dung của văn bản quy phạm pháp luật</v>
      </c>
      <c r="C661" s="47" t="s">
        <v>109</v>
      </c>
      <c r="D661" s="36" t="s">
        <v>28</v>
      </c>
      <c r="E661" s="38"/>
      <c r="F661" s="38"/>
      <c r="G661" s="38" t="str">
        <f t="shared" si="129"/>
        <v>1. Quản trị hệ thống thiết kế cấu trúc gói tin Nội dung của văn bản quy phạm pháp luật cần cung cấp. Hệ thống lưu cấu hình gói dữ liệu
2. Quản trị hệ thống cấu hình quyền truy cập. Hệ thống ghi nhận cấu hình</v>
      </c>
      <c r="H661" s="36" t="s">
        <v>5</v>
      </c>
      <c r="I661" s="34" t="s">
        <v>6</v>
      </c>
    </row>
    <row r="662" spans="1:9" ht="49.5">
      <c r="A662" s="36">
        <f>COUNTA($D$4:D662)</f>
        <v>571</v>
      </c>
      <c r="B662" s="43" t="str">
        <f t="shared" si="128"/>
        <v>Cung cấp dữ liệu Quan hệ giữa các điều khoản trong các văn bản quy phạm pháp luật</v>
      </c>
      <c r="C662" s="47" t="s">
        <v>110</v>
      </c>
      <c r="D662" s="36" t="s">
        <v>28</v>
      </c>
      <c r="E662" s="38"/>
      <c r="F662" s="38"/>
      <c r="G662" s="38" t="str">
        <f t="shared" si="129"/>
        <v>1. Quản trị hệ thống thiết kế cấu trúc gói tin Quan hệ giữa các điều khoản trong các văn bản quy phạm pháp luật cần cung cấp. Hệ thống lưu cấu hình gói dữ liệu
2. Quản trị hệ thống cấu hình quyền truy cập. Hệ thống ghi nhận cấu hình</v>
      </c>
      <c r="H662" s="36" t="s">
        <v>5</v>
      </c>
      <c r="I662" s="34" t="s">
        <v>6</v>
      </c>
    </row>
    <row r="663" spans="1:9" ht="49.5">
      <c r="A663" s="36">
        <f>COUNTA($D$4:D663)</f>
        <v>572</v>
      </c>
      <c r="B663" s="43" t="str">
        <f t="shared" si="128"/>
        <v>Cung cấp dữ liệu Văn bản hợp nhất</v>
      </c>
      <c r="C663" s="47" t="s">
        <v>111</v>
      </c>
      <c r="D663" s="36" t="s">
        <v>28</v>
      </c>
      <c r="E663" s="38"/>
      <c r="F663" s="38"/>
      <c r="G663" s="38" t="str">
        <f t="shared" si="129"/>
        <v>1. Quản trị hệ thống thiết kế cấu trúc gói tin Văn bản hợp nhất cần cung cấp. Hệ thống lưu cấu hình gói dữ liệu
2. Quản trị hệ thống cấu hình quyền truy cập. Hệ thống ghi nhận cấu hình</v>
      </c>
      <c r="H663" s="36" t="s">
        <v>5</v>
      </c>
      <c r="I663" s="34" t="s">
        <v>6</v>
      </c>
    </row>
    <row r="664" spans="1:9" ht="49.5">
      <c r="A664" s="36">
        <f>COUNTA($D$4:D664)</f>
        <v>573</v>
      </c>
      <c r="B664" s="43" t="str">
        <f t="shared" si="128"/>
        <v>Cung cấp dữ liệu Hệ thống hóa văn bản quy phạm pháp luật</v>
      </c>
      <c r="C664" s="47" t="s">
        <v>112</v>
      </c>
      <c r="D664" s="36" t="s">
        <v>28</v>
      </c>
      <c r="E664" s="38"/>
      <c r="F664" s="38"/>
      <c r="G664" s="38" t="str">
        <f t="shared" si="129"/>
        <v>1. Quản trị hệ thống thiết kế cấu trúc gói tin Hệ thống hóa văn bản quy phạm pháp luật cần cung cấp. Hệ thống lưu cấu hình gói dữ liệu
2. Quản trị hệ thống cấu hình quyền truy cập. Hệ thống ghi nhận cấu hình</v>
      </c>
      <c r="H664" s="36" t="s">
        <v>5</v>
      </c>
      <c r="I664" s="34" t="s">
        <v>6</v>
      </c>
    </row>
    <row r="665" spans="1:9" ht="33">
      <c r="A665" s="41" t="s">
        <v>404</v>
      </c>
      <c r="B665" s="42" t="s">
        <v>114</v>
      </c>
      <c r="C665" s="42"/>
      <c r="D665" s="36"/>
      <c r="E665" s="38"/>
      <c r="F665" s="35"/>
      <c r="G665" s="35"/>
      <c r="H665" s="36"/>
      <c r="I665" s="34"/>
    </row>
    <row r="666" spans="1:9" ht="49.5">
      <c r="A666" s="36">
        <f>COUNTA($D$4:D666)</f>
        <v>574</v>
      </c>
      <c r="B666" s="43" t="str">
        <f t="shared" ref="B666:B667" si="130">"Cung cấp dữ liệu "&amp;C666</f>
        <v>Cung cấp dữ liệu Hồ sơ ủy thác tư pháp đến</v>
      </c>
      <c r="C666" s="38" t="s">
        <v>115</v>
      </c>
      <c r="D666" s="36" t="s">
        <v>28</v>
      </c>
      <c r="E666" s="38"/>
      <c r="F666" s="38"/>
      <c r="G666" s="38" t="str">
        <f t="shared" ref="G666:G667" si="131">"1. " &amp;D666 &amp; " thiết kế cấu trúc gói tin "&amp;C666&amp;" cần cung cấp. Hệ thống lưu cấu hình gói dữ liệu
2. "&amp;D666&amp;" cấu hình quyền truy cập. Hệ thống ghi nhận cấu hình"</f>
        <v>1. Quản trị hệ thống thiết kế cấu trúc gói tin Hồ sơ ủy thác tư pháp đến cần cung cấp. Hệ thống lưu cấu hình gói dữ liệu
2. Quản trị hệ thống cấu hình quyền truy cập. Hệ thống ghi nhận cấu hình</v>
      </c>
      <c r="H666" s="36" t="s">
        <v>5</v>
      </c>
      <c r="I666" s="34" t="s">
        <v>6</v>
      </c>
    </row>
    <row r="667" spans="1:9" ht="49.5">
      <c r="A667" s="36">
        <f>COUNTA($D$4:D667)</f>
        <v>575</v>
      </c>
      <c r="B667" s="43" t="str">
        <f t="shared" si="130"/>
        <v>Cung cấp dữ liệu Hồ sơ ủy thác tư pháp đi</v>
      </c>
      <c r="C667" s="38" t="s">
        <v>117</v>
      </c>
      <c r="D667" s="36" t="s">
        <v>28</v>
      </c>
      <c r="E667" s="38"/>
      <c r="F667" s="38"/>
      <c r="G667" s="38" t="str">
        <f t="shared" si="131"/>
        <v>1. Quản trị hệ thống thiết kế cấu trúc gói tin Hồ sơ ủy thác tư pháp đi cần cung cấp. Hệ thống lưu cấu hình gói dữ liệu
2. Quản trị hệ thống cấu hình quyền truy cập. Hệ thống ghi nhận cấu hình</v>
      </c>
      <c r="H667" s="36" t="s">
        <v>5</v>
      </c>
      <c r="I667" s="34" t="s">
        <v>6</v>
      </c>
    </row>
    <row r="668" spans="1:9" ht="33">
      <c r="A668" s="41" t="s">
        <v>405</v>
      </c>
      <c r="B668" s="42" t="s">
        <v>119</v>
      </c>
      <c r="C668" s="42"/>
      <c r="D668" s="36"/>
      <c r="E668" s="38"/>
      <c r="F668" s="35"/>
      <c r="G668" s="35"/>
      <c r="H668" s="36"/>
      <c r="I668" s="34"/>
    </row>
    <row r="669" spans="1:9" ht="49.5">
      <c r="A669" s="36">
        <f>COUNTA($D$4:D669)</f>
        <v>576</v>
      </c>
      <c r="B669" s="43" t="str">
        <f t="shared" ref="B669:B676" si="132">"Cung cấp dữ liệu "&amp;C669</f>
        <v>Cung cấp dữ liệu Tổ chức thực hiện trợ giúp pháp lý</v>
      </c>
      <c r="C669" s="38" t="s">
        <v>120</v>
      </c>
      <c r="D669" s="36" t="s">
        <v>28</v>
      </c>
      <c r="E669" s="38"/>
      <c r="F669" s="38"/>
      <c r="G669" s="38" t="str">
        <f t="shared" ref="G669:G676" si="133">"1. " &amp;D669 &amp; " thiết kế cấu trúc gói tin "&amp;C669&amp;" cần cung cấp. Hệ thống lưu cấu hình gói dữ liệu
2. "&amp;D669&amp;" cấu hình quyền truy cập. Hệ thống ghi nhận cấu hình"</f>
        <v>1. Quản trị hệ thống thiết kế cấu trúc gói tin Tổ chức thực hiện trợ giúp pháp lý cần cung cấp. Hệ thống lưu cấu hình gói dữ liệu
2. Quản trị hệ thống cấu hình quyền truy cập. Hệ thống ghi nhận cấu hình</v>
      </c>
      <c r="H669" s="36" t="s">
        <v>5</v>
      </c>
      <c r="I669" s="34" t="s">
        <v>6</v>
      </c>
    </row>
    <row r="670" spans="1:9" ht="49.5">
      <c r="A670" s="36">
        <f>COUNTA($D$4:D670)</f>
        <v>577</v>
      </c>
      <c r="B670" s="43" t="str">
        <f t="shared" si="132"/>
        <v>Cung cấp dữ liệu Tổ chức đăng ký tham gia trợ giúp pháp lý</v>
      </c>
      <c r="C670" s="48" t="s">
        <v>122</v>
      </c>
      <c r="D670" s="36" t="s">
        <v>28</v>
      </c>
      <c r="E670" s="38"/>
      <c r="F670" s="38"/>
      <c r="G670" s="38" t="str">
        <f t="shared" si="133"/>
        <v>1. Quản trị hệ thống thiết kế cấu trúc gói tin Tổ chức đăng ký tham gia trợ giúp pháp lý cần cung cấp. Hệ thống lưu cấu hình gói dữ liệu
2. Quản trị hệ thống cấu hình quyền truy cập. Hệ thống ghi nhận cấu hình</v>
      </c>
      <c r="H670" s="36" t="s">
        <v>5</v>
      </c>
      <c r="I670" s="34" t="s">
        <v>6</v>
      </c>
    </row>
    <row r="671" spans="1:9" ht="49.5">
      <c r="A671" s="36">
        <f>COUNTA($D$4:D671)</f>
        <v>578</v>
      </c>
      <c r="B671" s="43" t="str">
        <f t="shared" si="132"/>
        <v>Cung cấp dữ liệu Thông tin văn bản cử người thực hiện trợ giúp pháp lý</v>
      </c>
      <c r="C671" s="48" t="s">
        <v>123</v>
      </c>
      <c r="D671" s="36" t="s">
        <v>28</v>
      </c>
      <c r="E671" s="38"/>
      <c r="F671" s="38"/>
      <c r="G671" s="38" t="str">
        <f t="shared" si="133"/>
        <v>1. Quản trị hệ thống thiết kế cấu trúc gói tin Thông tin văn bản cử người thực hiện trợ giúp pháp lý cần cung cấp. Hệ thống lưu cấu hình gói dữ liệu
2. Quản trị hệ thống cấu hình quyền truy cập. Hệ thống ghi nhận cấu hình</v>
      </c>
      <c r="H671" s="36" t="s">
        <v>5</v>
      </c>
      <c r="I671" s="34" t="s">
        <v>6</v>
      </c>
    </row>
    <row r="672" spans="1:9" ht="49.5">
      <c r="A672" s="36">
        <f>COUNTA($D$4:D672)</f>
        <v>579</v>
      </c>
      <c r="B672" s="43" t="str">
        <f t="shared" si="132"/>
        <v>Cung cấp dữ liệu Trung tâm TGPL nhà nước</v>
      </c>
      <c r="C672" s="38" t="s">
        <v>124</v>
      </c>
      <c r="D672" s="36" t="s">
        <v>28</v>
      </c>
      <c r="E672" s="38"/>
      <c r="F672" s="38"/>
      <c r="G672" s="38" t="str">
        <f t="shared" si="133"/>
        <v>1. Quản trị hệ thống thiết kế cấu trúc gói tin Trung tâm TGPL nhà nước cần cung cấp. Hệ thống lưu cấu hình gói dữ liệu
2. Quản trị hệ thống cấu hình quyền truy cập. Hệ thống ghi nhận cấu hình</v>
      </c>
      <c r="H672" s="36" t="s">
        <v>5</v>
      </c>
      <c r="I672" s="34" t="s">
        <v>6</v>
      </c>
    </row>
    <row r="673" spans="1:9" ht="49.5">
      <c r="A673" s="36">
        <f>COUNTA($D$4:D673)</f>
        <v>580</v>
      </c>
      <c r="B673" s="43" t="str">
        <f t="shared" ref="B673" si="134">"Cung cấp dữ liệu "&amp;C673</f>
        <v>Cung cấp dữ liệu Chi nhánh TGPL</v>
      </c>
      <c r="C673" s="50" t="s">
        <v>650</v>
      </c>
      <c r="D673" s="36" t="s">
        <v>28</v>
      </c>
      <c r="E673" s="38"/>
      <c r="F673" s="38"/>
      <c r="G673" s="38" t="str">
        <f t="shared" ref="G673" si="135">"1. " &amp;D673 &amp; " thiết kế cấu trúc gói tin "&amp;C673&amp;" cần cung cấp. Hệ thống lưu cấu hình gói dữ liệu
2. "&amp;D673&amp;" cấu hình quyền truy cập. Hệ thống ghi nhận cấu hình"</f>
        <v>1. Quản trị hệ thống thiết kế cấu trúc gói tin Chi nhánh TGPL cần cung cấp. Hệ thống lưu cấu hình gói dữ liệu
2. Quản trị hệ thống cấu hình quyền truy cập. Hệ thống ghi nhận cấu hình</v>
      </c>
      <c r="H673" s="36" t="s">
        <v>5</v>
      </c>
      <c r="I673" s="34" t="s">
        <v>6</v>
      </c>
    </row>
    <row r="674" spans="1:9" ht="49.5">
      <c r="A674" s="36">
        <f>COUNTA($D$4:D674)</f>
        <v>581</v>
      </c>
      <c r="B674" s="43" t="str">
        <f t="shared" si="132"/>
        <v>Cung cấp dữ liệu Người thực hiện TGPL</v>
      </c>
      <c r="C674" s="38" t="s">
        <v>29</v>
      </c>
      <c r="D674" s="36" t="s">
        <v>28</v>
      </c>
      <c r="E674" s="38"/>
      <c r="F674" s="38"/>
      <c r="G674" s="38" t="str">
        <f t="shared" si="133"/>
        <v>1. Quản trị hệ thống thiết kế cấu trúc gói tin Người thực hiện TGPL cần cung cấp. Hệ thống lưu cấu hình gói dữ liệu
2. Quản trị hệ thống cấu hình quyền truy cập. Hệ thống ghi nhận cấu hình</v>
      </c>
      <c r="H674" s="36" t="s">
        <v>5</v>
      </c>
      <c r="I674" s="34" t="s">
        <v>6</v>
      </c>
    </row>
    <row r="675" spans="1:9" ht="33">
      <c r="A675" s="41" t="s">
        <v>405</v>
      </c>
      <c r="B675" s="42" t="s">
        <v>610</v>
      </c>
      <c r="C675" s="42"/>
      <c r="D675" s="36"/>
      <c r="E675" s="38"/>
      <c r="F675" s="35"/>
      <c r="G675" s="35"/>
      <c r="H675" s="36"/>
      <c r="I675" s="34"/>
    </row>
    <row r="676" spans="1:9" ht="49.5">
      <c r="A676" s="36">
        <f>COUNTA($D$4:D676)</f>
        <v>582</v>
      </c>
      <c r="B676" s="61" t="str">
        <f t="shared" si="132"/>
        <v>Cung cấp dữ liệu Báo cáo viên pháp luật</v>
      </c>
      <c r="C676" s="50" t="s">
        <v>428</v>
      </c>
      <c r="D676" s="36" t="s">
        <v>28</v>
      </c>
      <c r="E676" s="50"/>
      <c r="F676" s="38"/>
      <c r="G676" s="38" t="str">
        <f t="shared" si="133"/>
        <v>1. Quản trị hệ thống thiết kế cấu trúc gói tin Báo cáo viên pháp luật cần cung cấp. Hệ thống lưu cấu hình gói dữ liệu
2. Quản trị hệ thống cấu hình quyền truy cập. Hệ thống ghi nhận cấu hình</v>
      </c>
      <c r="H676" s="36" t="s">
        <v>5</v>
      </c>
      <c r="I676" s="34" t="s">
        <v>6</v>
      </c>
    </row>
    <row r="677" spans="1:9" ht="49.5">
      <c r="A677" s="36">
        <f>COUNTA($D$4:D677)</f>
        <v>583</v>
      </c>
      <c r="B677" s="61" t="str">
        <f t="shared" ref="B677:B691" si="136">"Cung cấp dữ liệu "&amp;C677</f>
        <v>Cung cấp dữ liệu Tuyên truyền viên pháp luật</v>
      </c>
      <c r="C677" s="38" t="s">
        <v>585</v>
      </c>
      <c r="D677" s="36" t="s">
        <v>28</v>
      </c>
      <c r="E677" s="50"/>
      <c r="F677" s="38"/>
      <c r="G677" s="38" t="str">
        <f t="shared" ref="G677:G691" si="137">"1. " &amp;D677 &amp; " thiết kế cấu trúc gói tin "&amp;C677&amp;" cần cung cấp. Hệ thống lưu cấu hình gói dữ liệu
2. "&amp;D677&amp;" cấu hình quyền truy cập. Hệ thống ghi nhận cấu hình"</f>
        <v>1. Quản trị hệ thống thiết kế cấu trúc gói tin Tuyên truyền viên pháp luật cần cung cấp. Hệ thống lưu cấu hình gói dữ liệu
2. Quản trị hệ thống cấu hình quyền truy cập. Hệ thống ghi nhận cấu hình</v>
      </c>
      <c r="H677" s="36" t="s">
        <v>5</v>
      </c>
      <c r="I677" s="34" t="s">
        <v>6</v>
      </c>
    </row>
    <row r="678" spans="1:9" ht="49.5">
      <c r="A678" s="36">
        <f>COUNTA($D$4:D678)</f>
        <v>584</v>
      </c>
      <c r="B678" s="61" t="str">
        <f t="shared" si="136"/>
        <v>Cung cấp dữ liệu Chương trình, kế hoạch về phổ biến, giáo dục pháp luật</v>
      </c>
      <c r="C678" s="38" t="s">
        <v>586</v>
      </c>
      <c r="D678" s="36" t="s">
        <v>28</v>
      </c>
      <c r="E678" s="50"/>
      <c r="F678" s="38"/>
      <c r="G678" s="38" t="str">
        <f t="shared" si="137"/>
        <v>1. Quản trị hệ thống thiết kế cấu trúc gói tin Chương trình, kế hoạch về phổ biến, giáo dục pháp luật cần cung cấp. Hệ thống lưu cấu hình gói dữ liệu
2. Quản trị hệ thống cấu hình quyền truy cập. Hệ thống ghi nhận cấu hình</v>
      </c>
      <c r="H678" s="36" t="s">
        <v>5</v>
      </c>
      <c r="I678" s="34" t="s">
        <v>6</v>
      </c>
    </row>
    <row r="679" spans="1:9" ht="49.5">
      <c r="A679" s="36">
        <f>COUNTA($D$4:D679)</f>
        <v>585</v>
      </c>
      <c r="B679" s="61" t="str">
        <f t="shared" si="136"/>
        <v>Cung cấp dữ liệu Hội đồng phối hợp phổ biến, giáo dục pháp luật</v>
      </c>
      <c r="C679" s="38" t="s">
        <v>587</v>
      </c>
      <c r="D679" s="36" t="s">
        <v>28</v>
      </c>
      <c r="E679" s="50"/>
      <c r="F679" s="38"/>
      <c r="G679" s="38" t="str">
        <f t="shared" si="137"/>
        <v>1. Quản trị hệ thống thiết kế cấu trúc gói tin Hội đồng phối hợp phổ biến, giáo dục pháp luật cần cung cấp. Hệ thống lưu cấu hình gói dữ liệu
2. Quản trị hệ thống cấu hình quyền truy cập. Hệ thống ghi nhận cấu hình</v>
      </c>
      <c r="H679" s="36" t="s">
        <v>5</v>
      </c>
      <c r="I679" s="34" t="s">
        <v>6</v>
      </c>
    </row>
    <row r="680" spans="1:9" ht="49.5">
      <c r="A680" s="36">
        <f>COUNTA($D$4:D680)</f>
        <v>586</v>
      </c>
      <c r="B680" s="61" t="str">
        <f t="shared" si="136"/>
        <v>Cung cấp dữ liệu Đề án</v>
      </c>
      <c r="C680" s="38" t="s">
        <v>588</v>
      </c>
      <c r="D680" s="36" t="s">
        <v>28</v>
      </c>
      <c r="E680" s="50"/>
      <c r="F680" s="38"/>
      <c r="G680" s="38" t="str">
        <f t="shared" si="137"/>
        <v>1. Quản trị hệ thống thiết kế cấu trúc gói tin Đề án cần cung cấp. Hệ thống lưu cấu hình gói dữ liệu
2. Quản trị hệ thống cấu hình quyền truy cập. Hệ thống ghi nhận cấu hình</v>
      </c>
      <c r="H680" s="36" t="s">
        <v>5</v>
      </c>
      <c r="I680" s="34" t="s">
        <v>6</v>
      </c>
    </row>
    <row r="681" spans="1:9" ht="49.5">
      <c r="A681" s="36">
        <f>COUNTA($D$4:D681)</f>
        <v>587</v>
      </c>
      <c r="B681" s="61" t="str">
        <f t="shared" si="136"/>
        <v>Cung cấp dữ liệu Hội nghị tập huấn (trực tuyến, trực tiếp)</v>
      </c>
      <c r="C681" s="38" t="s">
        <v>589</v>
      </c>
      <c r="D681" s="36" t="s">
        <v>28</v>
      </c>
      <c r="E681" s="50"/>
      <c r="F681" s="38"/>
      <c r="G681" s="38" t="str">
        <f t="shared" si="137"/>
        <v>1. Quản trị hệ thống thiết kế cấu trúc gói tin Hội nghị tập huấn (trực tuyến, trực tiếp) cần cung cấp. Hệ thống lưu cấu hình gói dữ liệu
2. Quản trị hệ thống cấu hình quyền truy cập. Hệ thống ghi nhận cấu hình</v>
      </c>
      <c r="H681" s="36" t="s">
        <v>5</v>
      </c>
      <c r="I681" s="34" t="s">
        <v>6</v>
      </c>
    </row>
    <row r="682" spans="1:9" ht="49.5">
      <c r="A682" s="36">
        <f>COUNTA($D$4:D682)</f>
        <v>588</v>
      </c>
      <c r="B682" s="61" t="str">
        <f t="shared" si="136"/>
        <v>Cung cấp dữ liệu Hội thảo</v>
      </c>
      <c r="C682" s="38" t="s">
        <v>590</v>
      </c>
      <c r="D682" s="36" t="s">
        <v>28</v>
      </c>
      <c r="E682" s="50"/>
      <c r="F682" s="38"/>
      <c r="G682" s="38" t="str">
        <f t="shared" si="137"/>
        <v>1. Quản trị hệ thống thiết kế cấu trúc gói tin Hội thảo cần cung cấp. Hệ thống lưu cấu hình gói dữ liệu
2. Quản trị hệ thống cấu hình quyền truy cập. Hệ thống ghi nhận cấu hình</v>
      </c>
      <c r="H682" s="36" t="s">
        <v>5</v>
      </c>
      <c r="I682" s="34" t="s">
        <v>6</v>
      </c>
    </row>
    <row r="683" spans="1:9" ht="49.5">
      <c r="A683" s="36">
        <f>COUNTA($D$4:D683)</f>
        <v>589</v>
      </c>
      <c r="B683" s="61" t="str">
        <f t="shared" si="136"/>
        <v>Cung cấp dữ liệu Tổ hoà giải</v>
      </c>
      <c r="C683" s="38" t="s">
        <v>591</v>
      </c>
      <c r="D683" s="36" t="s">
        <v>28</v>
      </c>
      <c r="E683" s="50"/>
      <c r="F683" s="38"/>
      <c r="G683" s="38" t="str">
        <f t="shared" si="137"/>
        <v>1. Quản trị hệ thống thiết kế cấu trúc gói tin Tổ hoà giải cần cung cấp. Hệ thống lưu cấu hình gói dữ liệu
2. Quản trị hệ thống cấu hình quyền truy cập. Hệ thống ghi nhận cấu hình</v>
      </c>
      <c r="H683" s="36" t="s">
        <v>5</v>
      </c>
      <c r="I683" s="34" t="s">
        <v>6</v>
      </c>
    </row>
    <row r="684" spans="1:9" ht="49.5">
      <c r="A684" s="36">
        <f>COUNTA($D$4:D684)</f>
        <v>590</v>
      </c>
      <c r="B684" s="61" t="str">
        <f t="shared" si="136"/>
        <v>Cung cấp dữ liệu Hoà giải viên</v>
      </c>
      <c r="C684" s="38" t="s">
        <v>592</v>
      </c>
      <c r="D684" s="36" t="s">
        <v>28</v>
      </c>
      <c r="E684" s="50"/>
      <c r="F684" s="38"/>
      <c r="G684" s="38" t="str">
        <f t="shared" si="137"/>
        <v>1. Quản trị hệ thống thiết kế cấu trúc gói tin Hoà giải viên cần cung cấp. Hệ thống lưu cấu hình gói dữ liệu
2. Quản trị hệ thống cấu hình quyền truy cập. Hệ thống ghi nhận cấu hình</v>
      </c>
      <c r="H684" s="36" t="s">
        <v>5</v>
      </c>
      <c r="I684" s="34" t="s">
        <v>6</v>
      </c>
    </row>
    <row r="685" spans="1:9" ht="49.5">
      <c r="A685" s="36">
        <f>COUNTA($D$4:D685)</f>
        <v>591</v>
      </c>
      <c r="B685" s="61" t="str">
        <f t="shared" si="136"/>
        <v>Cung cấp dữ liệu Vụ việc hoà giải</v>
      </c>
      <c r="C685" s="38" t="s">
        <v>593</v>
      </c>
      <c r="D685" s="36" t="s">
        <v>28</v>
      </c>
      <c r="E685" s="50"/>
      <c r="F685" s="38"/>
      <c r="G685" s="38" t="str">
        <f t="shared" si="137"/>
        <v>1. Quản trị hệ thống thiết kế cấu trúc gói tin Vụ việc hoà giải cần cung cấp. Hệ thống lưu cấu hình gói dữ liệu
2. Quản trị hệ thống cấu hình quyền truy cập. Hệ thống ghi nhận cấu hình</v>
      </c>
      <c r="H685" s="36" t="s">
        <v>5</v>
      </c>
      <c r="I685" s="34" t="s">
        <v>6</v>
      </c>
    </row>
    <row r="686" spans="1:9" ht="49.5">
      <c r="A686" s="36">
        <f>COUNTA($D$4:D686)</f>
        <v>592</v>
      </c>
      <c r="B686" s="61" t="str">
        <f t="shared" si="136"/>
        <v>Cung cấp dữ liệu Tập huấn viên</v>
      </c>
      <c r="C686" s="38" t="s">
        <v>594</v>
      </c>
      <c r="D686" s="36" t="s">
        <v>28</v>
      </c>
      <c r="E686" s="50"/>
      <c r="F686" s="38"/>
      <c r="G686" s="38" t="str">
        <f t="shared" si="137"/>
        <v>1. Quản trị hệ thống thiết kế cấu trúc gói tin Tập huấn viên cần cung cấp. Hệ thống lưu cấu hình gói dữ liệu
2. Quản trị hệ thống cấu hình quyền truy cập. Hệ thống ghi nhận cấu hình</v>
      </c>
      <c r="H686" s="36" t="s">
        <v>5</v>
      </c>
      <c r="I686" s="34" t="s">
        <v>6</v>
      </c>
    </row>
    <row r="687" spans="1:9" ht="49.5">
      <c r="A687" s="36">
        <f>COUNTA($D$4:D687)</f>
        <v>593</v>
      </c>
      <c r="B687" s="61" t="str">
        <f t="shared" si="136"/>
        <v>Cung cấp dữ liệu Kinh phí phổ biến giáo dục pháp luật</v>
      </c>
      <c r="C687" s="38" t="s">
        <v>595</v>
      </c>
      <c r="D687" s="36" t="s">
        <v>28</v>
      </c>
      <c r="E687" s="50"/>
      <c r="F687" s="38"/>
      <c r="G687" s="38" t="str">
        <f t="shared" si="137"/>
        <v>1. Quản trị hệ thống thiết kế cấu trúc gói tin Kinh phí phổ biến giáo dục pháp luật cần cung cấp. Hệ thống lưu cấu hình gói dữ liệu
2. Quản trị hệ thống cấu hình quyền truy cập. Hệ thống ghi nhận cấu hình</v>
      </c>
      <c r="H687" s="36" t="s">
        <v>5</v>
      </c>
      <c r="I687" s="34" t="s">
        <v>6</v>
      </c>
    </row>
    <row r="688" spans="1:9" ht="49.5">
      <c r="A688" s="36">
        <f>COUNTA($D$4:D688)</f>
        <v>594</v>
      </c>
      <c r="B688" s="61" t="str">
        <f t="shared" si="136"/>
        <v>Cung cấp dữ liệu Tiêu chí, chỉ tiêu tiếp cận pháp luật</v>
      </c>
      <c r="C688" s="38" t="s">
        <v>596</v>
      </c>
      <c r="D688" s="36" t="s">
        <v>28</v>
      </c>
      <c r="E688" s="50"/>
      <c r="F688" s="38"/>
      <c r="G688" s="38" t="str">
        <f t="shared" si="137"/>
        <v>1. Quản trị hệ thống thiết kế cấu trúc gói tin Tiêu chí, chỉ tiêu tiếp cận pháp luật cần cung cấp. Hệ thống lưu cấu hình gói dữ liệu
2. Quản trị hệ thống cấu hình quyền truy cập. Hệ thống ghi nhận cấu hình</v>
      </c>
      <c r="H688" s="36" t="s">
        <v>5</v>
      </c>
      <c r="I688" s="34" t="s">
        <v>6</v>
      </c>
    </row>
    <row r="689" spans="1:9" ht="49.5">
      <c r="A689" s="36">
        <f>COUNTA($D$4:D689)</f>
        <v>595</v>
      </c>
      <c r="B689" s="61" t="str">
        <f t="shared" si="136"/>
        <v>Cung cấp dữ liệu Đánh giá cấp xã đạt chuẩn tiếp cận pháp luật</v>
      </c>
      <c r="C689" s="38" t="s">
        <v>597</v>
      </c>
      <c r="D689" s="36" t="s">
        <v>28</v>
      </c>
      <c r="E689" s="50"/>
      <c r="F689" s="38"/>
      <c r="G689" s="38" t="str">
        <f t="shared" si="137"/>
        <v>1. Quản trị hệ thống thiết kế cấu trúc gói tin Đánh giá cấp xã đạt chuẩn tiếp cận pháp luật cần cung cấp. Hệ thống lưu cấu hình gói dữ liệu
2. Quản trị hệ thống cấu hình quyền truy cập. Hệ thống ghi nhận cấu hình</v>
      </c>
      <c r="H689" s="36" t="s">
        <v>5</v>
      </c>
      <c r="I689" s="34" t="s">
        <v>6</v>
      </c>
    </row>
    <row r="690" spans="1:9" ht="49.5">
      <c r="A690" s="36">
        <f>COUNTA($D$4:D690)</f>
        <v>596</v>
      </c>
      <c r="B690" s="61" t="str">
        <f t="shared" si="136"/>
        <v>Cung cấp dữ liệu Cuộc PBGDPL</v>
      </c>
      <c r="C690" s="38" t="s">
        <v>598</v>
      </c>
      <c r="D690" s="36" t="s">
        <v>28</v>
      </c>
      <c r="E690" s="50"/>
      <c r="F690" s="38"/>
      <c r="G690" s="38" t="str">
        <f t="shared" si="137"/>
        <v>1. Quản trị hệ thống thiết kế cấu trúc gói tin Cuộc PBGDPL cần cung cấp. Hệ thống lưu cấu hình gói dữ liệu
2. Quản trị hệ thống cấu hình quyền truy cập. Hệ thống ghi nhận cấu hình</v>
      </c>
      <c r="H690" s="36" t="s">
        <v>5</v>
      </c>
      <c r="I690" s="34" t="s">
        <v>6</v>
      </c>
    </row>
    <row r="691" spans="1:9" ht="49.5">
      <c r="A691" s="36">
        <f>COUNTA($D$4:D691)</f>
        <v>597</v>
      </c>
      <c r="B691" s="61" t="str">
        <f t="shared" si="136"/>
        <v>Cung cấp dữ liệu Cuộc thi tìm hiểu về pháp luật</v>
      </c>
      <c r="C691" s="53" t="s">
        <v>599</v>
      </c>
      <c r="D691" s="36" t="s">
        <v>28</v>
      </c>
      <c r="E691" s="50"/>
      <c r="F691" s="38"/>
      <c r="G691" s="38" t="str">
        <f t="shared" si="137"/>
        <v>1. Quản trị hệ thống thiết kế cấu trúc gói tin Cuộc thi tìm hiểu về pháp luật cần cung cấp. Hệ thống lưu cấu hình gói dữ liệu
2. Quản trị hệ thống cấu hình quyền truy cập. Hệ thống ghi nhận cấu hình</v>
      </c>
      <c r="H691" s="36" t="s">
        <v>5</v>
      </c>
      <c r="I691" s="34" t="s">
        <v>6</v>
      </c>
    </row>
    <row r="692" spans="1:9" ht="16.5">
      <c r="A692" s="41" t="s">
        <v>406</v>
      </c>
      <c r="B692" s="46" t="s">
        <v>126</v>
      </c>
      <c r="C692" s="46"/>
      <c r="D692" s="36"/>
      <c r="E692" s="38"/>
      <c r="F692" s="35"/>
      <c r="G692" s="35"/>
      <c r="H692" s="36"/>
      <c r="I692" s="34"/>
    </row>
    <row r="693" spans="1:9" ht="16.5">
      <c r="A693" s="41" t="s">
        <v>407</v>
      </c>
      <c r="B693" s="42" t="s">
        <v>128</v>
      </c>
      <c r="C693" s="42"/>
      <c r="D693" s="36"/>
      <c r="E693" s="38"/>
      <c r="F693" s="35"/>
      <c r="G693" s="35"/>
      <c r="H693" s="36"/>
      <c r="I693" s="34"/>
    </row>
    <row r="694" spans="1:9" ht="49.5">
      <c r="A694" s="36">
        <f>COUNTA($D$4:D694)</f>
        <v>598</v>
      </c>
      <c r="B694" s="43" t="str">
        <f t="shared" ref="B694:B718" si="138">"Cung cấp dữ liệu "&amp;C694</f>
        <v>Cung cấp dữ liệu Đấu giá viên</v>
      </c>
      <c r="C694" s="38" t="s">
        <v>129</v>
      </c>
      <c r="D694" s="36" t="s">
        <v>28</v>
      </c>
      <c r="E694" s="38"/>
      <c r="F694" s="38"/>
      <c r="G694" s="38" t="str">
        <f t="shared" ref="G694:G718" si="139">"1. " &amp;D694 &amp; " thiết kế cấu trúc gói tin "&amp;C694&amp;" cần cung cấp. Hệ thống lưu cấu hình gói dữ liệu
2. "&amp;D694&amp;" cấu hình quyền truy cập. Hệ thống ghi nhận cấu hình"</f>
        <v>1. Quản trị hệ thống thiết kế cấu trúc gói tin Đấu giá viên cần cung cấp. Hệ thống lưu cấu hình gói dữ liệu
2. Quản trị hệ thống cấu hình quyền truy cập. Hệ thống ghi nhận cấu hình</v>
      </c>
      <c r="H694" s="36" t="s">
        <v>5</v>
      </c>
      <c r="I694" s="34" t="s">
        <v>6</v>
      </c>
    </row>
    <row r="695" spans="1:9" ht="49.5">
      <c r="A695" s="36">
        <f>COUNTA($D$4:D695)</f>
        <v>599</v>
      </c>
      <c r="B695" s="43" t="str">
        <f t="shared" si="138"/>
        <v>Cung cấp dữ liệu Tổ chức hành nghề đấu giá</v>
      </c>
      <c r="C695" s="38" t="s">
        <v>131</v>
      </c>
      <c r="D695" s="36" t="s">
        <v>28</v>
      </c>
      <c r="E695" s="38"/>
      <c r="F695" s="38"/>
      <c r="G695" s="38" t="str">
        <f t="shared" si="139"/>
        <v>1. Quản trị hệ thống thiết kế cấu trúc gói tin Tổ chức hành nghề đấu giá cần cung cấp. Hệ thống lưu cấu hình gói dữ liệu
2. Quản trị hệ thống cấu hình quyền truy cập. Hệ thống ghi nhận cấu hình</v>
      </c>
      <c r="H695" s="36" t="s">
        <v>5</v>
      </c>
      <c r="I695" s="34" t="s">
        <v>6</v>
      </c>
    </row>
    <row r="696" spans="1:9" ht="49.5">
      <c r="A696" s="36">
        <f>COUNTA($D$4:D696)</f>
        <v>600</v>
      </c>
      <c r="B696" s="43" t="str">
        <f t="shared" ref="B696:B698" si="140">"Cung cấp dữ liệu "&amp;C696</f>
        <v>Cung cấp dữ liệu Người có tài sản đấu giá</v>
      </c>
      <c r="C696" s="66" t="s">
        <v>651</v>
      </c>
      <c r="D696" s="36" t="s">
        <v>28</v>
      </c>
      <c r="E696" s="35"/>
      <c r="F696" s="38"/>
      <c r="G696" s="38" t="str">
        <f t="shared" ref="G696:G698" si="141">"1. " &amp;D696 &amp; " thiết kế cấu trúc gói tin "&amp;C696&amp;" cần cung cấp. Hệ thống lưu cấu hình gói dữ liệu
2. "&amp;D696&amp;" cấu hình quyền truy cập. Hệ thống ghi nhận cấu hình"</f>
        <v>1. Quản trị hệ thống thiết kế cấu trúc gói tin Người có tài sản đấu giá cần cung cấp. Hệ thống lưu cấu hình gói dữ liệu
2. Quản trị hệ thống cấu hình quyền truy cập. Hệ thống ghi nhận cấu hình</v>
      </c>
      <c r="H696" s="36" t="s">
        <v>5</v>
      </c>
      <c r="I696" s="34" t="s">
        <v>6</v>
      </c>
    </row>
    <row r="697" spans="1:9" ht="49.5">
      <c r="A697" s="36">
        <f>COUNTA($D$4:D697)</f>
        <v>601</v>
      </c>
      <c r="B697" s="43" t="str">
        <f t="shared" si="140"/>
        <v>Cung cấp dữ liệu Thông tin việc đấu giá</v>
      </c>
      <c r="C697" s="66" t="s">
        <v>652</v>
      </c>
      <c r="D697" s="36" t="s">
        <v>28</v>
      </c>
      <c r="E697" s="35"/>
      <c r="F697" s="38"/>
      <c r="G697" s="38" t="str">
        <f t="shared" si="141"/>
        <v>1. Quản trị hệ thống thiết kế cấu trúc gói tin Thông tin việc đấu giá cần cung cấp. Hệ thống lưu cấu hình gói dữ liệu
2. Quản trị hệ thống cấu hình quyền truy cập. Hệ thống ghi nhận cấu hình</v>
      </c>
      <c r="H697" s="36" t="s">
        <v>5</v>
      </c>
      <c r="I697" s="34" t="s">
        <v>6</v>
      </c>
    </row>
    <row r="698" spans="1:9" ht="49.5">
      <c r="A698" s="36">
        <f>COUNTA($D$4:D698)</f>
        <v>602</v>
      </c>
      <c r="B698" s="43" t="str">
        <f t="shared" si="140"/>
        <v>Cung cấp dữ liệu Tài sản đấu giá</v>
      </c>
      <c r="C698" s="66" t="s">
        <v>653</v>
      </c>
      <c r="D698" s="36" t="s">
        <v>28</v>
      </c>
      <c r="E698" s="35"/>
      <c r="F698" s="38"/>
      <c r="G698" s="38" t="str">
        <f t="shared" si="141"/>
        <v>1. Quản trị hệ thống thiết kế cấu trúc gói tin Tài sản đấu giá cần cung cấp. Hệ thống lưu cấu hình gói dữ liệu
2. Quản trị hệ thống cấu hình quyền truy cập. Hệ thống ghi nhận cấu hình</v>
      </c>
      <c r="H698" s="36" t="s">
        <v>5</v>
      </c>
      <c r="I698" s="34" t="s">
        <v>6</v>
      </c>
    </row>
    <row r="699" spans="1:9" ht="49.5">
      <c r="A699" s="36">
        <f>COUNTA($D$4:D699)</f>
        <v>603</v>
      </c>
      <c r="B699" s="43" t="str">
        <f t="shared" si="138"/>
        <v>Cung cấp dữ liệu Công chứng viên</v>
      </c>
      <c r="C699" s="38" t="s">
        <v>132</v>
      </c>
      <c r="D699" s="36" t="s">
        <v>28</v>
      </c>
      <c r="E699" s="38"/>
      <c r="F699" s="38"/>
      <c r="G699" s="38" t="str">
        <f t="shared" si="139"/>
        <v>1. Quản trị hệ thống thiết kế cấu trúc gói tin Công chứng viên cần cung cấp. Hệ thống lưu cấu hình gói dữ liệu
2. Quản trị hệ thống cấu hình quyền truy cập. Hệ thống ghi nhận cấu hình</v>
      </c>
      <c r="H699" s="36" t="s">
        <v>5</v>
      </c>
      <c r="I699" s="34" t="s">
        <v>6</v>
      </c>
    </row>
    <row r="700" spans="1:9" ht="49.5">
      <c r="A700" s="36">
        <f>COUNTA($D$4:D700)</f>
        <v>604</v>
      </c>
      <c r="B700" s="43" t="str">
        <f t="shared" si="138"/>
        <v>Cung cấp dữ liệu Thông tin ngăn chặn</v>
      </c>
      <c r="C700" s="38" t="s">
        <v>133</v>
      </c>
      <c r="D700" s="36" t="s">
        <v>28</v>
      </c>
      <c r="E700" s="38"/>
      <c r="F700" s="38"/>
      <c r="G700" s="38" t="str">
        <f t="shared" si="139"/>
        <v>1. Quản trị hệ thống thiết kế cấu trúc gói tin Thông tin ngăn chặn cần cung cấp. Hệ thống lưu cấu hình gói dữ liệu
2. Quản trị hệ thống cấu hình quyền truy cập. Hệ thống ghi nhận cấu hình</v>
      </c>
      <c r="H700" s="36" t="s">
        <v>5</v>
      </c>
      <c r="I700" s="34" t="s">
        <v>6</v>
      </c>
    </row>
    <row r="701" spans="1:9" ht="49.5">
      <c r="A701" s="36">
        <f>COUNTA($D$4:D701)</f>
        <v>605</v>
      </c>
      <c r="B701" s="43" t="str">
        <f t="shared" si="138"/>
        <v>Cung cấp dữ liệu Tổ chức hành nghề công chứng</v>
      </c>
      <c r="C701" s="38" t="s">
        <v>134</v>
      </c>
      <c r="D701" s="36" t="s">
        <v>28</v>
      </c>
      <c r="E701" s="38"/>
      <c r="F701" s="38"/>
      <c r="G701" s="38" t="str">
        <f t="shared" si="139"/>
        <v>1. Quản trị hệ thống thiết kế cấu trúc gói tin Tổ chức hành nghề công chứng cần cung cấp. Hệ thống lưu cấu hình gói dữ liệu
2. Quản trị hệ thống cấu hình quyền truy cập. Hệ thống ghi nhận cấu hình</v>
      </c>
      <c r="H701" s="36" t="s">
        <v>5</v>
      </c>
      <c r="I701" s="34" t="s">
        <v>6</v>
      </c>
    </row>
    <row r="702" spans="1:9" ht="49.5">
      <c r="A702" s="36">
        <f>COUNTA($D$4:D702)</f>
        <v>606</v>
      </c>
      <c r="B702" s="43" t="str">
        <f t="shared" si="138"/>
        <v>Cung cấp dữ liệu Tài sản trong giao dịch công chứng</v>
      </c>
      <c r="C702" s="38" t="s">
        <v>135</v>
      </c>
      <c r="D702" s="36" t="s">
        <v>28</v>
      </c>
      <c r="E702" s="38"/>
      <c r="F702" s="38"/>
      <c r="G702" s="38" t="str">
        <f t="shared" si="139"/>
        <v>1. Quản trị hệ thống thiết kế cấu trúc gói tin Tài sản trong giao dịch công chứng cần cung cấp. Hệ thống lưu cấu hình gói dữ liệu
2. Quản trị hệ thống cấu hình quyền truy cập. Hệ thống ghi nhận cấu hình</v>
      </c>
      <c r="H702" s="36" t="s">
        <v>5</v>
      </c>
      <c r="I702" s="34" t="s">
        <v>6</v>
      </c>
    </row>
    <row r="703" spans="1:9" ht="49.5">
      <c r="A703" s="36">
        <f>COUNTA($D$4:D703)</f>
        <v>607</v>
      </c>
      <c r="B703" s="43" t="str">
        <f t="shared" si="138"/>
        <v>Cung cấp dữ liệu Kết quả hoạt động công chứng</v>
      </c>
      <c r="C703" s="38" t="s">
        <v>136</v>
      </c>
      <c r="D703" s="36" t="s">
        <v>28</v>
      </c>
      <c r="E703" s="38"/>
      <c r="F703" s="38"/>
      <c r="G703" s="38" t="str">
        <f t="shared" si="139"/>
        <v>1. Quản trị hệ thống thiết kế cấu trúc gói tin Kết quả hoạt động công chứng cần cung cấp. Hệ thống lưu cấu hình gói dữ liệu
2. Quản trị hệ thống cấu hình quyền truy cập. Hệ thống ghi nhận cấu hình</v>
      </c>
      <c r="H703" s="36" t="s">
        <v>5</v>
      </c>
      <c r="I703" s="34" t="s">
        <v>6</v>
      </c>
    </row>
    <row r="704" spans="1:9" ht="49.5">
      <c r="A704" s="36">
        <f>COUNTA($D$4:D704)</f>
        <v>608</v>
      </c>
      <c r="B704" s="43" t="str">
        <f t="shared" si="138"/>
        <v>Cung cấp dữ liệu Quản tài viên</v>
      </c>
      <c r="C704" s="50" t="s">
        <v>137</v>
      </c>
      <c r="D704" s="36" t="s">
        <v>28</v>
      </c>
      <c r="E704" s="38"/>
      <c r="F704" s="38"/>
      <c r="G704" s="38" t="str">
        <f t="shared" si="139"/>
        <v>1. Quản trị hệ thống thiết kế cấu trúc gói tin Quản tài viên cần cung cấp. Hệ thống lưu cấu hình gói dữ liệu
2. Quản trị hệ thống cấu hình quyền truy cập. Hệ thống ghi nhận cấu hình</v>
      </c>
      <c r="H704" s="36" t="s">
        <v>5</v>
      </c>
      <c r="I704" s="34" t="s">
        <v>6</v>
      </c>
    </row>
    <row r="705" spans="1:9" ht="49.5">
      <c r="A705" s="36">
        <f>COUNTA($D$4:D705)</f>
        <v>609</v>
      </c>
      <c r="B705" s="43" t="str">
        <f t="shared" si="138"/>
        <v>Cung cấp dữ liệu Doanh nghiệp quản lý, thanh lý tài sản</v>
      </c>
      <c r="C705" s="38" t="s">
        <v>138</v>
      </c>
      <c r="D705" s="36" t="s">
        <v>28</v>
      </c>
      <c r="E705" s="38"/>
      <c r="F705" s="38"/>
      <c r="G705" s="38" t="str">
        <f t="shared" si="139"/>
        <v>1. Quản trị hệ thống thiết kế cấu trúc gói tin Doanh nghiệp quản lý, thanh lý tài sản cần cung cấp. Hệ thống lưu cấu hình gói dữ liệu
2. Quản trị hệ thống cấu hình quyền truy cập. Hệ thống ghi nhận cấu hình</v>
      </c>
      <c r="H705" s="36" t="s">
        <v>5</v>
      </c>
      <c r="I705" s="34" t="s">
        <v>6</v>
      </c>
    </row>
    <row r="706" spans="1:9" ht="49.5">
      <c r="A706" s="36">
        <f>COUNTA($D$4:D706)</f>
        <v>610</v>
      </c>
      <c r="B706" s="43" t="str">
        <f t="shared" si="138"/>
        <v>Cung cấp dữ liệu Luật sư Việt Nam</v>
      </c>
      <c r="C706" s="38" t="s">
        <v>139</v>
      </c>
      <c r="D706" s="36" t="s">
        <v>28</v>
      </c>
      <c r="E706" s="38"/>
      <c r="F706" s="38"/>
      <c r="G706" s="38" t="str">
        <f t="shared" si="139"/>
        <v>1. Quản trị hệ thống thiết kế cấu trúc gói tin Luật sư Việt Nam cần cung cấp. Hệ thống lưu cấu hình gói dữ liệu
2. Quản trị hệ thống cấu hình quyền truy cập. Hệ thống ghi nhận cấu hình</v>
      </c>
      <c r="H706" s="36" t="s">
        <v>5</v>
      </c>
      <c r="I706" s="34" t="s">
        <v>6</v>
      </c>
    </row>
    <row r="707" spans="1:9" ht="49.5">
      <c r="A707" s="36">
        <f>COUNTA($D$4:D707)</f>
        <v>611</v>
      </c>
      <c r="B707" s="43" t="str">
        <f t="shared" si="138"/>
        <v>Cung cấp dữ liệu Người được cấp chứng chỉ hành nghề luật sư</v>
      </c>
      <c r="C707" s="38" t="s">
        <v>140</v>
      </c>
      <c r="D707" s="36" t="s">
        <v>28</v>
      </c>
      <c r="E707" s="38"/>
      <c r="F707" s="38"/>
      <c r="G707" s="38" t="str">
        <f t="shared" si="139"/>
        <v>1. Quản trị hệ thống thiết kế cấu trúc gói tin Người được cấp chứng chỉ hành nghề luật sư cần cung cấp. Hệ thống lưu cấu hình gói dữ liệu
2. Quản trị hệ thống cấu hình quyền truy cập. Hệ thống ghi nhận cấu hình</v>
      </c>
      <c r="H707" s="36" t="s">
        <v>5</v>
      </c>
      <c r="I707" s="34" t="s">
        <v>6</v>
      </c>
    </row>
    <row r="708" spans="1:9" ht="49.5">
      <c r="A708" s="36">
        <f>COUNTA($D$4:D708)</f>
        <v>612</v>
      </c>
      <c r="B708" s="43" t="str">
        <f t="shared" si="138"/>
        <v>Cung cấp dữ liệu Tổ chức hành nghề luật sư Việt Nam</v>
      </c>
      <c r="C708" s="38" t="s">
        <v>141</v>
      </c>
      <c r="D708" s="36" t="s">
        <v>28</v>
      </c>
      <c r="E708" s="38"/>
      <c r="F708" s="38"/>
      <c r="G708" s="38" t="str">
        <f t="shared" si="139"/>
        <v>1. Quản trị hệ thống thiết kế cấu trúc gói tin Tổ chức hành nghề luật sư Việt Nam cần cung cấp. Hệ thống lưu cấu hình gói dữ liệu
2. Quản trị hệ thống cấu hình quyền truy cập. Hệ thống ghi nhận cấu hình</v>
      </c>
      <c r="H708" s="36" t="s">
        <v>5</v>
      </c>
      <c r="I708" s="34" t="s">
        <v>6</v>
      </c>
    </row>
    <row r="709" spans="1:9" ht="49.5">
      <c r="A709" s="36">
        <f>COUNTA($D$4:D709)</f>
        <v>613</v>
      </c>
      <c r="B709" s="43" t="str">
        <f t="shared" si="138"/>
        <v>Cung cấp dữ liệu Luật sư nước ngoài</v>
      </c>
      <c r="C709" s="38" t="s">
        <v>142</v>
      </c>
      <c r="D709" s="36" t="s">
        <v>28</v>
      </c>
      <c r="E709" s="38"/>
      <c r="F709" s="38"/>
      <c r="G709" s="38" t="str">
        <f t="shared" si="139"/>
        <v>1. Quản trị hệ thống thiết kế cấu trúc gói tin Luật sư nước ngoài cần cung cấp. Hệ thống lưu cấu hình gói dữ liệu
2. Quản trị hệ thống cấu hình quyền truy cập. Hệ thống ghi nhận cấu hình</v>
      </c>
      <c r="H709" s="36" t="s">
        <v>5</v>
      </c>
      <c r="I709" s="34" t="s">
        <v>6</v>
      </c>
    </row>
    <row r="710" spans="1:9" ht="49.5">
      <c r="A710" s="36">
        <f>COUNTA($D$4:D710)</f>
        <v>614</v>
      </c>
      <c r="B710" s="43" t="str">
        <f t="shared" si="138"/>
        <v>Cung cấp dữ liệu Tổ chức hành nghề luật sư nước ngoài</v>
      </c>
      <c r="C710" s="38" t="s">
        <v>143</v>
      </c>
      <c r="D710" s="36" t="s">
        <v>28</v>
      </c>
      <c r="E710" s="38"/>
      <c r="F710" s="38"/>
      <c r="G710" s="38" t="str">
        <f t="shared" si="139"/>
        <v>1. Quản trị hệ thống thiết kế cấu trúc gói tin Tổ chức hành nghề luật sư nước ngoài cần cung cấp. Hệ thống lưu cấu hình gói dữ liệu
2. Quản trị hệ thống cấu hình quyền truy cập. Hệ thống ghi nhận cấu hình</v>
      </c>
      <c r="H710" s="36" t="s">
        <v>5</v>
      </c>
      <c r="I710" s="34" t="s">
        <v>6</v>
      </c>
    </row>
    <row r="711" spans="1:9" ht="49.5">
      <c r="A711" s="36">
        <f>COUNTA($D$4:D711)</f>
        <v>615</v>
      </c>
      <c r="B711" s="43" t="str">
        <f t="shared" si="138"/>
        <v>Cung cấp dữ liệu Trọng tài viên</v>
      </c>
      <c r="C711" s="50" t="s">
        <v>144</v>
      </c>
      <c r="D711" s="36" t="s">
        <v>28</v>
      </c>
      <c r="E711" s="38"/>
      <c r="F711" s="38"/>
      <c r="G711" s="38" t="str">
        <f t="shared" si="139"/>
        <v>1. Quản trị hệ thống thiết kế cấu trúc gói tin Trọng tài viên cần cung cấp. Hệ thống lưu cấu hình gói dữ liệu
2. Quản trị hệ thống cấu hình quyền truy cập. Hệ thống ghi nhận cấu hình</v>
      </c>
      <c r="H711" s="36" t="s">
        <v>5</v>
      </c>
      <c r="I711" s="34" t="s">
        <v>6</v>
      </c>
    </row>
    <row r="712" spans="1:9" ht="49.5">
      <c r="A712" s="36">
        <f>COUNTA($D$4:D712)</f>
        <v>616</v>
      </c>
      <c r="B712" s="43" t="str">
        <f t="shared" si="138"/>
        <v>Cung cấp dữ liệu Trung tâm trọng tài</v>
      </c>
      <c r="C712" s="50" t="s">
        <v>145</v>
      </c>
      <c r="D712" s="36" t="s">
        <v>28</v>
      </c>
      <c r="E712" s="38"/>
      <c r="F712" s="38"/>
      <c r="G712" s="38" t="str">
        <f t="shared" si="139"/>
        <v>1. Quản trị hệ thống thiết kế cấu trúc gói tin Trung tâm trọng tài cần cung cấp. Hệ thống lưu cấu hình gói dữ liệu
2. Quản trị hệ thống cấu hình quyền truy cập. Hệ thống ghi nhận cấu hình</v>
      </c>
      <c r="H712" s="36" t="s">
        <v>5</v>
      </c>
      <c r="I712" s="34" t="s">
        <v>6</v>
      </c>
    </row>
    <row r="713" spans="1:9" ht="49.5">
      <c r="A713" s="36">
        <f>COUNTA($D$4:D713)</f>
        <v>617</v>
      </c>
      <c r="B713" s="43" t="str">
        <f t="shared" si="138"/>
        <v>Cung cấp dữ liệu Chi nhánh của tổ chức trọng tài</v>
      </c>
      <c r="C713" s="50" t="s">
        <v>146</v>
      </c>
      <c r="D713" s="36" t="s">
        <v>28</v>
      </c>
      <c r="E713" s="38"/>
      <c r="F713" s="38"/>
      <c r="G713" s="38" t="str">
        <f t="shared" si="139"/>
        <v>1. Quản trị hệ thống thiết kế cấu trúc gói tin Chi nhánh của tổ chức trọng tài cần cung cấp. Hệ thống lưu cấu hình gói dữ liệu
2. Quản trị hệ thống cấu hình quyền truy cập. Hệ thống ghi nhận cấu hình</v>
      </c>
      <c r="H713" s="36" t="s">
        <v>5</v>
      </c>
      <c r="I713" s="34" t="s">
        <v>6</v>
      </c>
    </row>
    <row r="714" spans="1:9" ht="49.5">
      <c r="A714" s="36">
        <f>COUNTA($D$4:D714)</f>
        <v>618</v>
      </c>
      <c r="B714" s="43" t="str">
        <f t="shared" si="138"/>
        <v>Cung cấp dữ liệu Văn phòng đại diện của trung tâm trọng tài</v>
      </c>
      <c r="C714" s="50" t="s">
        <v>147</v>
      </c>
      <c r="D714" s="36" t="s">
        <v>28</v>
      </c>
      <c r="E714" s="38"/>
      <c r="F714" s="38"/>
      <c r="G714" s="38" t="str">
        <f t="shared" si="139"/>
        <v>1. Quản trị hệ thống thiết kế cấu trúc gói tin Văn phòng đại diện của trung tâm trọng tài cần cung cấp. Hệ thống lưu cấu hình gói dữ liệu
2. Quản trị hệ thống cấu hình quyền truy cập. Hệ thống ghi nhận cấu hình</v>
      </c>
      <c r="H714" s="36" t="s">
        <v>5</v>
      </c>
      <c r="I714" s="34" t="s">
        <v>6</v>
      </c>
    </row>
    <row r="715" spans="1:9" ht="49.5">
      <c r="A715" s="36">
        <f>COUNTA($D$4:D715)</f>
        <v>619</v>
      </c>
      <c r="B715" s="43" t="str">
        <f t="shared" si="138"/>
        <v>Cung cấp dữ liệu Hòa giải viên thương mại</v>
      </c>
      <c r="C715" s="50" t="s">
        <v>148</v>
      </c>
      <c r="D715" s="36" t="s">
        <v>28</v>
      </c>
      <c r="E715" s="38"/>
      <c r="F715" s="38"/>
      <c r="G715" s="38" t="str">
        <f t="shared" si="139"/>
        <v>1. Quản trị hệ thống thiết kế cấu trúc gói tin Hòa giải viên thương mại cần cung cấp. Hệ thống lưu cấu hình gói dữ liệu
2. Quản trị hệ thống cấu hình quyền truy cập. Hệ thống ghi nhận cấu hình</v>
      </c>
      <c r="H715" s="36" t="s">
        <v>5</v>
      </c>
      <c r="I715" s="34" t="s">
        <v>6</v>
      </c>
    </row>
    <row r="716" spans="1:9" ht="49.5">
      <c r="A716" s="36">
        <f>COUNTA($D$4:D716)</f>
        <v>620</v>
      </c>
      <c r="B716" s="43" t="str">
        <f t="shared" si="138"/>
        <v>Cung cấp dữ liệu Trung tâm hòa giải thương mại</v>
      </c>
      <c r="C716" s="50" t="s">
        <v>149</v>
      </c>
      <c r="D716" s="36" t="s">
        <v>28</v>
      </c>
      <c r="E716" s="38"/>
      <c r="F716" s="38"/>
      <c r="G716" s="38" t="str">
        <f t="shared" si="139"/>
        <v>1. Quản trị hệ thống thiết kế cấu trúc gói tin Trung tâm hòa giải thương mại cần cung cấp. Hệ thống lưu cấu hình gói dữ liệu
2. Quản trị hệ thống cấu hình quyền truy cập. Hệ thống ghi nhận cấu hình</v>
      </c>
      <c r="H716" s="36" t="s">
        <v>5</v>
      </c>
      <c r="I716" s="34" t="s">
        <v>6</v>
      </c>
    </row>
    <row r="717" spans="1:9" ht="49.5">
      <c r="A717" s="36">
        <f>COUNTA($D$4:D717)</f>
        <v>621</v>
      </c>
      <c r="B717" s="43" t="str">
        <f t="shared" si="138"/>
        <v>Cung cấp dữ liệu Giám định viên tư pháp</v>
      </c>
      <c r="C717" s="50" t="s">
        <v>150</v>
      </c>
      <c r="D717" s="36" t="s">
        <v>28</v>
      </c>
      <c r="E717" s="38"/>
      <c r="F717" s="38"/>
      <c r="G717" s="38" t="str">
        <f t="shared" si="139"/>
        <v>1. Quản trị hệ thống thiết kế cấu trúc gói tin Giám định viên tư pháp cần cung cấp. Hệ thống lưu cấu hình gói dữ liệu
2. Quản trị hệ thống cấu hình quyền truy cập. Hệ thống ghi nhận cấu hình</v>
      </c>
      <c r="H717" s="36" t="s">
        <v>5</v>
      </c>
      <c r="I717" s="34" t="s">
        <v>6</v>
      </c>
    </row>
    <row r="718" spans="1:9" ht="49.5">
      <c r="A718" s="36">
        <f>COUNTA($D$4:D718)</f>
        <v>622</v>
      </c>
      <c r="B718" s="43" t="str">
        <f t="shared" si="138"/>
        <v>Cung cấp dữ liệu Tổ chức giám định tư pháp</v>
      </c>
      <c r="C718" s="50" t="s">
        <v>151</v>
      </c>
      <c r="D718" s="36" t="s">
        <v>28</v>
      </c>
      <c r="E718" s="38"/>
      <c r="F718" s="38"/>
      <c r="G718" s="38" t="str">
        <f t="shared" si="139"/>
        <v>1. Quản trị hệ thống thiết kế cấu trúc gói tin Tổ chức giám định tư pháp cần cung cấp. Hệ thống lưu cấu hình gói dữ liệu
2. Quản trị hệ thống cấu hình quyền truy cập. Hệ thống ghi nhận cấu hình</v>
      </c>
      <c r="H718" s="36" t="s">
        <v>5</v>
      </c>
      <c r="I718" s="34" t="s">
        <v>6</v>
      </c>
    </row>
    <row r="719" spans="1:9" ht="16.5">
      <c r="A719" s="41" t="s">
        <v>613</v>
      </c>
      <c r="B719" s="46" t="s">
        <v>600</v>
      </c>
      <c r="C719" s="46"/>
      <c r="D719" s="36"/>
      <c r="E719" s="38"/>
      <c r="F719" s="35"/>
      <c r="G719" s="35"/>
      <c r="H719" s="36"/>
      <c r="I719" s="34"/>
    </row>
    <row r="720" spans="1:9" ht="16.5">
      <c r="A720" s="41" t="s">
        <v>407</v>
      </c>
      <c r="B720" s="42" t="s">
        <v>601</v>
      </c>
      <c r="C720" s="42"/>
      <c r="D720" s="36"/>
      <c r="E720" s="38"/>
      <c r="F720" s="35"/>
      <c r="G720" s="35"/>
      <c r="H720" s="36"/>
      <c r="I720" s="34"/>
    </row>
    <row r="721" spans="1:9" ht="49.5">
      <c r="A721" s="36">
        <f>COUNTA($D$4:D721)</f>
        <v>623</v>
      </c>
      <c r="B721" s="43" t="str">
        <f t="shared" ref="B721:B726" si="142">"Cung cấp dữ liệu "&amp;C721</f>
        <v>Cung cấp dữ liệu Thông tin điều ước quốc tế, thỏa thuận quốc tế</v>
      </c>
      <c r="C721" s="50" t="s">
        <v>602</v>
      </c>
      <c r="D721" s="36" t="s">
        <v>28</v>
      </c>
      <c r="E721" s="38"/>
      <c r="F721" s="38"/>
      <c r="G721" s="38" t="str">
        <f t="shared" ref="G721:G726" si="143">"1. " &amp;D721 &amp; " thiết kế cấu trúc gói tin "&amp;C721&amp;" cần cung cấp. Hệ thống lưu cấu hình gói dữ liệu
2. "&amp;D721&amp;" cấu hình quyền truy cập. Hệ thống ghi nhận cấu hình"</f>
        <v>1. Quản trị hệ thống thiết kế cấu trúc gói tin Thông tin điều ước quốc tế, thỏa thuận quốc tế cần cung cấp. Hệ thống lưu cấu hình gói dữ liệu
2. Quản trị hệ thống cấu hình quyền truy cập. Hệ thống ghi nhận cấu hình</v>
      </c>
      <c r="H721" s="36" t="s">
        <v>5</v>
      </c>
      <c r="I721" s="34" t="s">
        <v>6</v>
      </c>
    </row>
    <row r="722" spans="1:9" ht="49.5">
      <c r="A722" s="36">
        <f>COUNTA($D$4:D722)</f>
        <v>624</v>
      </c>
      <c r="B722" s="43" t="str">
        <f t="shared" si="142"/>
        <v>Cung cấp dữ liệu Thông tin chương trình dự án</v>
      </c>
      <c r="C722" s="50" t="s">
        <v>603</v>
      </c>
      <c r="D722" s="36" t="s">
        <v>28</v>
      </c>
      <c r="E722" s="38"/>
      <c r="F722" s="38"/>
      <c r="G722" s="38" t="str">
        <f t="shared" si="143"/>
        <v>1. Quản trị hệ thống thiết kế cấu trúc gói tin Thông tin chương trình dự án cần cung cấp. Hệ thống lưu cấu hình gói dữ liệu
2. Quản trị hệ thống cấu hình quyền truy cập. Hệ thống ghi nhận cấu hình</v>
      </c>
      <c r="H722" s="36" t="s">
        <v>5</v>
      </c>
      <c r="I722" s="34" t="s">
        <v>6</v>
      </c>
    </row>
    <row r="723" spans="1:9" ht="49.5">
      <c r="A723" s="36">
        <f>COUNTA($D$4:D723)</f>
        <v>625</v>
      </c>
      <c r="B723" s="43" t="str">
        <f t="shared" si="142"/>
        <v>Cung cấp dữ liệu Danh sách chuyên gia</v>
      </c>
      <c r="C723" s="50" t="s">
        <v>604</v>
      </c>
      <c r="D723" s="36" t="s">
        <v>28</v>
      </c>
      <c r="E723" s="38"/>
      <c r="F723" s="38"/>
      <c r="G723" s="38" t="str">
        <f t="shared" si="143"/>
        <v>1. Quản trị hệ thống thiết kế cấu trúc gói tin Danh sách chuyên gia cần cung cấp. Hệ thống lưu cấu hình gói dữ liệu
2. Quản trị hệ thống cấu hình quyền truy cập. Hệ thống ghi nhận cấu hình</v>
      </c>
      <c r="H723" s="36" t="s">
        <v>5</v>
      </c>
      <c r="I723" s="34" t="s">
        <v>6</v>
      </c>
    </row>
    <row r="724" spans="1:9" ht="49.5">
      <c r="A724" s="36">
        <f>COUNTA($D$4:D724)</f>
        <v>626</v>
      </c>
      <c r="B724" s="43" t="str">
        <f t="shared" si="142"/>
        <v>Cung cấp dữ liệu Thông tin hội nghị, hội thảo</v>
      </c>
      <c r="C724" s="50" t="s">
        <v>605</v>
      </c>
      <c r="D724" s="36" t="s">
        <v>28</v>
      </c>
      <c r="E724" s="38"/>
      <c r="F724" s="38"/>
      <c r="G724" s="38" t="str">
        <f t="shared" si="143"/>
        <v>1. Quản trị hệ thống thiết kế cấu trúc gói tin Thông tin hội nghị, hội thảo cần cung cấp. Hệ thống lưu cấu hình gói dữ liệu
2. Quản trị hệ thống cấu hình quyền truy cập. Hệ thống ghi nhận cấu hình</v>
      </c>
      <c r="H724" s="36" t="s">
        <v>5</v>
      </c>
      <c r="I724" s="34" t="s">
        <v>6</v>
      </c>
    </row>
    <row r="725" spans="1:9" ht="49.5">
      <c r="A725" s="36">
        <f>COUNTA($D$4:D725)</f>
        <v>627</v>
      </c>
      <c r="B725" s="43" t="str">
        <f t="shared" si="142"/>
        <v>Cung cấp dữ liệu Thông tin sản phẩm nghiên cứu, truyền thông</v>
      </c>
      <c r="C725" s="50" t="s">
        <v>606</v>
      </c>
      <c r="D725" s="36" t="s">
        <v>28</v>
      </c>
      <c r="E725" s="38"/>
      <c r="F725" s="38"/>
      <c r="G725" s="38" t="str">
        <f t="shared" si="143"/>
        <v>1. Quản trị hệ thống thiết kế cấu trúc gói tin Thông tin sản phẩm nghiên cứu, truyền thông cần cung cấp. Hệ thống lưu cấu hình gói dữ liệu
2. Quản trị hệ thống cấu hình quyền truy cập. Hệ thống ghi nhận cấu hình</v>
      </c>
      <c r="H725" s="36" t="s">
        <v>5</v>
      </c>
      <c r="I725" s="34" t="s">
        <v>6</v>
      </c>
    </row>
    <row r="726" spans="1:9" ht="49.5">
      <c r="A726" s="36">
        <f>COUNTA($D$4:D726)</f>
        <v>628</v>
      </c>
      <c r="B726" s="43" t="str">
        <f t="shared" si="142"/>
        <v>Cung cấp dữ liệu Thông tin Đoàn</v>
      </c>
      <c r="C726" s="50" t="s">
        <v>607</v>
      </c>
      <c r="D726" s="36" t="s">
        <v>28</v>
      </c>
      <c r="E726" s="38"/>
      <c r="F726" s="38"/>
      <c r="G726" s="38" t="str">
        <f t="shared" si="143"/>
        <v>1. Quản trị hệ thống thiết kế cấu trúc gói tin Thông tin Đoàn cần cung cấp. Hệ thống lưu cấu hình gói dữ liệu
2. Quản trị hệ thống cấu hình quyền truy cập. Hệ thống ghi nhận cấu hình</v>
      </c>
      <c r="H726" s="36" t="s">
        <v>5</v>
      </c>
      <c r="I726" s="34" t="s">
        <v>6</v>
      </c>
    </row>
    <row r="727" spans="1:9" ht="82.5">
      <c r="A727" s="41" t="s">
        <v>408</v>
      </c>
      <c r="B727" s="42" t="s">
        <v>373</v>
      </c>
      <c r="C727" s="42"/>
      <c r="D727" s="36"/>
      <c r="E727" s="38"/>
      <c r="F727" s="35"/>
      <c r="G727" s="35"/>
      <c r="H727" s="36"/>
      <c r="I727" s="34"/>
    </row>
    <row r="728" spans="1:9" ht="49.5">
      <c r="A728" s="36">
        <f>COUNTA($D$4:D728)</f>
        <v>629</v>
      </c>
      <c r="B728" s="43" t="str">
        <f>"Cung cấp dữ liệu mở về "&amp;C728</f>
        <v>Cung cấp dữ liệu mở về Danh sách tổ chức thực hiện trợ giúp pháp lý</v>
      </c>
      <c r="C728" s="38" t="s">
        <v>374</v>
      </c>
      <c r="D728" s="36" t="s">
        <v>28</v>
      </c>
      <c r="E728" s="38"/>
      <c r="F728" s="38"/>
      <c r="G728" s="38" t="str">
        <f t="shared" ref="G728:G759" si="144">"1. " &amp;D728 &amp; " thiết kế cấu trúc gói tin "&amp;C728&amp;" cần cung cấp. Hệ thống lưu cấu hình gói dữ liệu
2. "&amp;D728&amp;" cấu hình quyền truy cập. Hệ thống ghi nhận cấu hình"</f>
        <v>1. Quản trị hệ thống thiết kế cấu trúc gói tin Danh sách tổ chức thực hiện trợ giúp pháp lý cần cung cấp. Hệ thống lưu cấu hình gói dữ liệu
2. Quản trị hệ thống cấu hình quyền truy cập. Hệ thống ghi nhận cấu hình</v>
      </c>
      <c r="H728" s="36" t="s">
        <v>5</v>
      </c>
      <c r="I728" s="34" t="s">
        <v>6</v>
      </c>
    </row>
    <row r="729" spans="1:9" ht="49.5">
      <c r="A729" s="36">
        <f>COUNTA($D$4:D729)</f>
        <v>630</v>
      </c>
      <c r="B729" s="43" t="str">
        <f t="shared" ref="B729:B738" si="145">"Cung cấp dữ liệu mở về "&amp;C729</f>
        <v>Cung cấp dữ liệu mở về Danh sách người thực hiện trợ giúp pháp lý</v>
      </c>
      <c r="C729" s="38" t="s">
        <v>375</v>
      </c>
      <c r="D729" s="36" t="s">
        <v>28</v>
      </c>
      <c r="E729" s="38"/>
      <c r="F729" s="38"/>
      <c r="G729" s="38" t="str">
        <f t="shared" si="144"/>
        <v>1. Quản trị hệ thống thiết kế cấu trúc gói tin Danh sách người thực hiện trợ giúp pháp lý cần cung cấp. Hệ thống lưu cấu hình gói dữ liệu
2. Quản trị hệ thống cấu hình quyền truy cập. Hệ thống ghi nhận cấu hình</v>
      </c>
      <c r="H729" s="36" t="s">
        <v>5</v>
      </c>
      <c r="I729" s="34" t="s">
        <v>6</v>
      </c>
    </row>
    <row r="730" spans="1:9" ht="49.5">
      <c r="A730" s="36">
        <f>COUNTA($D$4:D730)</f>
        <v>631</v>
      </c>
      <c r="B730" s="43" t="str">
        <f t="shared" si="145"/>
        <v>Cung cấp dữ liệu mở về Danh sách tổ chức hành nghề công chứng</v>
      </c>
      <c r="C730" s="38" t="s">
        <v>384</v>
      </c>
      <c r="D730" s="36" t="s">
        <v>28</v>
      </c>
      <c r="E730" s="38"/>
      <c r="F730" s="38"/>
      <c r="G730" s="38" t="str">
        <f t="shared" si="144"/>
        <v>1. Quản trị hệ thống thiết kế cấu trúc gói tin Danh sách tổ chức hành nghề công chứng cần cung cấp. Hệ thống lưu cấu hình gói dữ liệu
2. Quản trị hệ thống cấu hình quyền truy cập. Hệ thống ghi nhận cấu hình</v>
      </c>
      <c r="H730" s="36" t="s">
        <v>5</v>
      </c>
      <c r="I730" s="34" t="s">
        <v>6</v>
      </c>
    </row>
    <row r="731" spans="1:9" ht="49.5">
      <c r="A731" s="36">
        <f>COUNTA($D$4:D731)</f>
        <v>632</v>
      </c>
      <c r="B731" s="43" t="str">
        <f t="shared" si="145"/>
        <v>Cung cấp dữ liệu mở về Danh sách công chứng viên</v>
      </c>
      <c r="C731" s="38" t="s">
        <v>383</v>
      </c>
      <c r="D731" s="36" t="s">
        <v>28</v>
      </c>
      <c r="E731" s="38"/>
      <c r="F731" s="38"/>
      <c r="G731" s="38" t="str">
        <f t="shared" si="144"/>
        <v>1. Quản trị hệ thống thiết kế cấu trúc gói tin Danh sách công chứng viên cần cung cấp. Hệ thống lưu cấu hình gói dữ liệu
2. Quản trị hệ thống cấu hình quyền truy cập. Hệ thống ghi nhận cấu hình</v>
      </c>
      <c r="H731" s="36" t="s">
        <v>5</v>
      </c>
      <c r="I731" s="34" t="s">
        <v>6</v>
      </c>
    </row>
    <row r="732" spans="1:9" ht="49.5">
      <c r="A732" s="36">
        <f>COUNTA($D$4:D732)</f>
        <v>633</v>
      </c>
      <c r="B732" s="43" t="str">
        <f t="shared" si="145"/>
        <v>Cung cấp dữ liệu mở về Danh sách tổ chức giám định tư pháp</v>
      </c>
      <c r="C732" s="38" t="s">
        <v>382</v>
      </c>
      <c r="D732" s="36" t="s">
        <v>28</v>
      </c>
      <c r="E732" s="38"/>
      <c r="F732" s="38"/>
      <c r="G732" s="38" t="str">
        <f t="shared" si="144"/>
        <v>1. Quản trị hệ thống thiết kế cấu trúc gói tin Danh sách tổ chức giám định tư pháp cần cung cấp. Hệ thống lưu cấu hình gói dữ liệu
2. Quản trị hệ thống cấu hình quyền truy cập. Hệ thống ghi nhận cấu hình</v>
      </c>
      <c r="H732" s="36" t="s">
        <v>5</v>
      </c>
      <c r="I732" s="34" t="s">
        <v>6</v>
      </c>
    </row>
    <row r="733" spans="1:9" ht="49.5">
      <c r="A733" s="36">
        <f>COUNTA($D$4:D733)</f>
        <v>634</v>
      </c>
      <c r="B733" s="43" t="str">
        <f t="shared" si="145"/>
        <v>Cung cấp dữ liệu mở về Danh sách cá nhân giám định tư pháp</v>
      </c>
      <c r="C733" s="38" t="s">
        <v>381</v>
      </c>
      <c r="D733" s="36" t="s">
        <v>28</v>
      </c>
      <c r="E733" s="38"/>
      <c r="F733" s="38"/>
      <c r="G733" s="38" t="str">
        <f t="shared" si="144"/>
        <v>1. Quản trị hệ thống thiết kế cấu trúc gói tin Danh sách cá nhân giám định tư pháp cần cung cấp. Hệ thống lưu cấu hình gói dữ liệu
2. Quản trị hệ thống cấu hình quyền truy cập. Hệ thống ghi nhận cấu hình</v>
      </c>
      <c r="H733" s="36" t="s">
        <v>5</v>
      </c>
      <c r="I733" s="34" t="s">
        <v>6</v>
      </c>
    </row>
    <row r="734" spans="1:9" ht="49.5">
      <c r="A734" s="36">
        <f>COUNTA($D$4:D734)</f>
        <v>635</v>
      </c>
      <c r="B734" s="43" t="str">
        <f t="shared" si="145"/>
        <v>Cung cấp dữ liệu mở về Danh sách luật sư Việt Nam</v>
      </c>
      <c r="C734" s="38" t="s">
        <v>380</v>
      </c>
      <c r="D734" s="36" t="s">
        <v>28</v>
      </c>
      <c r="E734" s="38"/>
      <c r="F734" s="38"/>
      <c r="G734" s="38" t="str">
        <f t="shared" si="144"/>
        <v>1. Quản trị hệ thống thiết kế cấu trúc gói tin Danh sách luật sư Việt Nam cần cung cấp. Hệ thống lưu cấu hình gói dữ liệu
2. Quản trị hệ thống cấu hình quyền truy cập. Hệ thống ghi nhận cấu hình</v>
      </c>
      <c r="H734" s="36" t="s">
        <v>5</v>
      </c>
      <c r="I734" s="34" t="s">
        <v>6</v>
      </c>
    </row>
    <row r="735" spans="1:9" ht="49.5">
      <c r="A735" s="36">
        <f>COUNTA($D$4:D735)</f>
        <v>636</v>
      </c>
      <c r="B735" s="43" t="str">
        <f t="shared" si="145"/>
        <v>Cung cấp dữ liệu mở về Danh sách tổ chức hành nghề luật sư Việt Nam</v>
      </c>
      <c r="C735" s="38" t="s">
        <v>379</v>
      </c>
      <c r="D735" s="36" t="s">
        <v>28</v>
      </c>
      <c r="E735" s="38"/>
      <c r="F735" s="38"/>
      <c r="G735" s="38" t="str">
        <f t="shared" si="144"/>
        <v>1. Quản trị hệ thống thiết kế cấu trúc gói tin Danh sách tổ chức hành nghề luật sư Việt Nam cần cung cấp. Hệ thống lưu cấu hình gói dữ liệu
2. Quản trị hệ thống cấu hình quyền truy cập. Hệ thống ghi nhận cấu hình</v>
      </c>
      <c r="H735" s="36" t="s">
        <v>5</v>
      </c>
      <c r="I735" s="34" t="s">
        <v>6</v>
      </c>
    </row>
    <row r="736" spans="1:9" ht="49.5">
      <c r="A736" s="36">
        <f>COUNTA($D$4:D736)</f>
        <v>637</v>
      </c>
      <c r="B736" s="43" t="str">
        <f t="shared" si="145"/>
        <v>Cung cấp dữ liệu mở về Danh sách luật sư nước ngoài</v>
      </c>
      <c r="C736" s="38" t="s">
        <v>378</v>
      </c>
      <c r="D736" s="36" t="s">
        <v>28</v>
      </c>
      <c r="E736" s="38"/>
      <c r="F736" s="38"/>
      <c r="G736" s="38" t="str">
        <f t="shared" si="144"/>
        <v>1. Quản trị hệ thống thiết kế cấu trúc gói tin Danh sách luật sư nước ngoài cần cung cấp. Hệ thống lưu cấu hình gói dữ liệu
2. Quản trị hệ thống cấu hình quyền truy cập. Hệ thống ghi nhận cấu hình</v>
      </c>
      <c r="H736" s="36" t="s">
        <v>5</v>
      </c>
      <c r="I736" s="34" t="s">
        <v>6</v>
      </c>
    </row>
    <row r="737" spans="1:9" ht="49.5">
      <c r="A737" s="36">
        <f>COUNTA($D$4:D737)</f>
        <v>638</v>
      </c>
      <c r="B737" s="43" t="str">
        <f t="shared" si="145"/>
        <v>Cung cấp dữ liệu mở về Danh sách tổ chức hành nghề luật sư nước ngoài</v>
      </c>
      <c r="C737" s="38" t="s">
        <v>377</v>
      </c>
      <c r="D737" s="36" t="s">
        <v>28</v>
      </c>
      <c r="E737" s="38"/>
      <c r="F737" s="38"/>
      <c r="G737" s="38" t="str">
        <f t="shared" si="144"/>
        <v>1. Quản trị hệ thống thiết kế cấu trúc gói tin Danh sách tổ chức hành nghề luật sư nước ngoài cần cung cấp. Hệ thống lưu cấu hình gói dữ liệu
2. Quản trị hệ thống cấu hình quyền truy cập. Hệ thống ghi nhận cấu hình</v>
      </c>
      <c r="H737" s="36" t="s">
        <v>5</v>
      </c>
      <c r="I737" s="34" t="s">
        <v>6</v>
      </c>
    </row>
    <row r="738" spans="1:9" ht="49.5">
      <c r="A738" s="36">
        <f>COUNTA($D$4:D738)</f>
        <v>639</v>
      </c>
      <c r="B738" s="43" t="str">
        <f t="shared" si="145"/>
        <v>Cung cấp dữ liệu mở về Danh sách Báo cáo viên pháp luật trung ương</v>
      </c>
      <c r="C738" s="38" t="s">
        <v>376</v>
      </c>
      <c r="D738" s="36" t="s">
        <v>28</v>
      </c>
      <c r="E738" s="38"/>
      <c r="F738" s="38"/>
      <c r="G738" s="38" t="str">
        <f t="shared" si="144"/>
        <v>1. Quản trị hệ thống thiết kế cấu trúc gói tin Danh sách Báo cáo viên pháp luật trung ương cần cung cấp. Hệ thống lưu cấu hình gói dữ liệu
2. Quản trị hệ thống cấu hình quyền truy cập. Hệ thống ghi nhận cấu hình</v>
      </c>
      <c r="H738" s="36" t="s">
        <v>5</v>
      </c>
      <c r="I738" s="34" t="s">
        <v>6</v>
      </c>
    </row>
    <row r="739" spans="1:9" ht="66">
      <c r="A739" s="36">
        <f>COUNTA($D$4:D739)</f>
        <v>640</v>
      </c>
      <c r="B739" s="43" t="str">
        <f>"Cung cấp dữ liệu mở về số liệu thống kê trong lĩnh vực "&amp;C739</f>
        <v>Cung cấp dữ liệu mở về số liệu thống kê trong lĩnh vực Xây dựng văn bản quy phạm pháp luật</v>
      </c>
      <c r="C739" s="28" t="s">
        <v>347</v>
      </c>
      <c r="D739" s="36" t="s">
        <v>28</v>
      </c>
      <c r="E739" s="38"/>
      <c r="F739" s="38"/>
      <c r="G739" s="38" t="str">
        <f t="shared" si="144"/>
        <v>1. Quản trị hệ thống thiết kế cấu trúc gói tin Xây dựng văn bản quy phạm pháp luật cần cung cấp. Hệ thống lưu cấu hình gói dữ liệu
2. Quản trị hệ thống cấu hình quyền truy cập. Hệ thống ghi nhận cấu hình</v>
      </c>
      <c r="H739" s="36" t="s">
        <v>5</v>
      </c>
      <c r="I739" s="34" t="s">
        <v>6</v>
      </c>
    </row>
    <row r="740" spans="1:9" ht="49.5">
      <c r="A740" s="36">
        <f>COUNTA($D$4:D740)</f>
        <v>641</v>
      </c>
      <c r="B740" s="43" t="str">
        <f t="shared" ref="B740:B759" si="146">"Cung cấp dữ liệu mở về số liệu thống kê trong lĩnh vực "&amp;C740</f>
        <v>Cung cấp dữ liệu mở về số liệu thống kê trong lĩnh vực Kiểm tra văn bản quy phạm pháp luật</v>
      </c>
      <c r="C740" s="28" t="s">
        <v>348</v>
      </c>
      <c r="D740" s="36" t="s">
        <v>28</v>
      </c>
      <c r="E740" s="38"/>
      <c r="F740" s="38"/>
      <c r="G740" s="38" t="str">
        <f t="shared" si="144"/>
        <v>1. Quản trị hệ thống thiết kế cấu trúc gói tin Kiểm tra văn bản quy phạm pháp luật cần cung cấp. Hệ thống lưu cấu hình gói dữ liệu
2. Quản trị hệ thống cấu hình quyền truy cập. Hệ thống ghi nhận cấu hình</v>
      </c>
      <c r="H740" s="36" t="s">
        <v>5</v>
      </c>
      <c r="I740" s="34" t="s">
        <v>6</v>
      </c>
    </row>
    <row r="741" spans="1:9" ht="49.5">
      <c r="A741" s="36">
        <f>COUNTA($D$4:D741)</f>
        <v>642</v>
      </c>
      <c r="B741" s="43" t="str">
        <f t="shared" si="146"/>
        <v>Cung cấp dữ liệu mở về số liệu thống kê trong lĩnh vực Rà soát văn bản quy phạm pháp luật</v>
      </c>
      <c r="C741" s="28" t="s">
        <v>349</v>
      </c>
      <c r="D741" s="36" t="s">
        <v>28</v>
      </c>
      <c r="E741" s="38"/>
      <c r="F741" s="38"/>
      <c r="G741" s="38" t="str">
        <f t="shared" si="144"/>
        <v>1. Quản trị hệ thống thiết kế cấu trúc gói tin Rà soát văn bản quy phạm pháp luật cần cung cấp. Hệ thống lưu cấu hình gói dữ liệu
2. Quản trị hệ thống cấu hình quyền truy cập. Hệ thống ghi nhận cấu hình</v>
      </c>
      <c r="H741" s="36" t="s">
        <v>5</v>
      </c>
      <c r="I741" s="34" t="s">
        <v>6</v>
      </c>
    </row>
    <row r="742" spans="1:9" ht="66">
      <c r="A742" s="36">
        <f>COUNTA($D$4:D742)</f>
        <v>643</v>
      </c>
      <c r="B742" s="43" t="str">
        <f t="shared" si="146"/>
        <v>Cung cấp dữ liệu mở về số liệu thống kê trong lĩnh vực Tổ chức và người làm công tác pháp chế</v>
      </c>
      <c r="C742" s="28" t="s">
        <v>350</v>
      </c>
      <c r="D742" s="36" t="s">
        <v>28</v>
      </c>
      <c r="E742" s="38"/>
      <c r="F742" s="38"/>
      <c r="G742" s="38" t="str">
        <f t="shared" si="144"/>
        <v>1. Quản trị hệ thống thiết kế cấu trúc gói tin Tổ chức và người làm công tác pháp chế cần cung cấp. Hệ thống lưu cấu hình gói dữ liệu
2. Quản trị hệ thống cấu hình quyền truy cập. Hệ thống ghi nhận cấu hình</v>
      </c>
      <c r="H742" s="36" t="s">
        <v>5</v>
      </c>
      <c r="I742" s="34" t="s">
        <v>6</v>
      </c>
    </row>
    <row r="743" spans="1:9" ht="49.5">
      <c r="A743" s="36">
        <f>COUNTA($D$4:D743)</f>
        <v>644</v>
      </c>
      <c r="B743" s="43" t="str">
        <f t="shared" si="146"/>
        <v>Cung cấp dữ liệu mở về số liệu thống kê trong lĩnh vực Phổ biến, giáo dục pháp luật</v>
      </c>
      <c r="C743" s="28" t="s">
        <v>351</v>
      </c>
      <c r="D743" s="36" t="s">
        <v>28</v>
      </c>
      <c r="E743" s="38"/>
      <c r="F743" s="38"/>
      <c r="G743" s="38" t="str">
        <f t="shared" si="144"/>
        <v>1. Quản trị hệ thống thiết kế cấu trúc gói tin Phổ biến, giáo dục pháp luật cần cung cấp. Hệ thống lưu cấu hình gói dữ liệu
2. Quản trị hệ thống cấu hình quyền truy cập. Hệ thống ghi nhận cấu hình</v>
      </c>
      <c r="H743" s="36" t="s">
        <v>5</v>
      </c>
      <c r="I743" s="34" t="s">
        <v>6</v>
      </c>
    </row>
    <row r="744" spans="1:9" ht="49.5">
      <c r="A744" s="36">
        <f>COUNTA($D$4:D744)</f>
        <v>645</v>
      </c>
      <c r="B744" s="43" t="str">
        <f t="shared" si="146"/>
        <v>Cung cấp dữ liệu mở về số liệu thống kê trong lĩnh vực Hòa giải ở cơ sở</v>
      </c>
      <c r="C744" s="28" t="s">
        <v>352</v>
      </c>
      <c r="D744" s="36" t="s">
        <v>28</v>
      </c>
      <c r="E744" s="38"/>
      <c r="F744" s="38"/>
      <c r="G744" s="38" t="str">
        <f t="shared" si="144"/>
        <v>1. Quản trị hệ thống thiết kế cấu trúc gói tin Hòa giải ở cơ sở cần cung cấp. Hệ thống lưu cấu hình gói dữ liệu
2. Quản trị hệ thống cấu hình quyền truy cập. Hệ thống ghi nhận cấu hình</v>
      </c>
      <c r="H744" s="36" t="s">
        <v>5</v>
      </c>
      <c r="I744" s="34" t="s">
        <v>6</v>
      </c>
    </row>
    <row r="745" spans="1:9" ht="49.5">
      <c r="A745" s="36">
        <f>COUNTA($D$4:D745)</f>
        <v>646</v>
      </c>
      <c r="B745" s="43" t="str">
        <f t="shared" si="146"/>
        <v>Cung cấp dữ liệu mở về số liệu thống kê trong lĩnh vực Chuẩn tiếp cận pháp luật</v>
      </c>
      <c r="C745" s="28" t="s">
        <v>353</v>
      </c>
      <c r="D745" s="36" t="s">
        <v>28</v>
      </c>
      <c r="E745" s="38"/>
      <c r="F745" s="38"/>
      <c r="G745" s="38" t="str">
        <f t="shared" si="144"/>
        <v>1. Quản trị hệ thống thiết kế cấu trúc gói tin Chuẩn tiếp cận pháp luật cần cung cấp. Hệ thống lưu cấu hình gói dữ liệu
2. Quản trị hệ thống cấu hình quyền truy cập. Hệ thống ghi nhận cấu hình</v>
      </c>
      <c r="H745" s="36" t="s">
        <v>5</v>
      </c>
      <c r="I745" s="34" t="s">
        <v>6</v>
      </c>
    </row>
    <row r="746" spans="1:9" ht="49.5">
      <c r="A746" s="36">
        <f>COUNTA($D$4:D746)</f>
        <v>647</v>
      </c>
      <c r="B746" s="43" t="str">
        <f t="shared" si="146"/>
        <v>Cung cấp dữ liệu mở về số liệu thống kê trong lĩnh vực Hộ tịch</v>
      </c>
      <c r="C746" s="28" t="s">
        <v>354</v>
      </c>
      <c r="D746" s="36" t="s">
        <v>28</v>
      </c>
      <c r="E746" s="38"/>
      <c r="F746" s="38"/>
      <c r="G746" s="38" t="str">
        <f t="shared" si="144"/>
        <v>1. Quản trị hệ thống thiết kế cấu trúc gói tin Hộ tịch cần cung cấp. Hệ thống lưu cấu hình gói dữ liệu
2. Quản trị hệ thống cấu hình quyền truy cập. Hệ thống ghi nhận cấu hình</v>
      </c>
      <c r="H746" s="36" t="s">
        <v>5</v>
      </c>
      <c r="I746" s="34" t="s">
        <v>6</v>
      </c>
    </row>
    <row r="747" spans="1:9" ht="49.5">
      <c r="A747" s="36">
        <f>COUNTA($D$4:D747)</f>
        <v>648</v>
      </c>
      <c r="B747" s="43" t="str">
        <f t="shared" si="146"/>
        <v>Cung cấp dữ liệu mở về số liệu thống kê trong lĩnh vực Chứng thực</v>
      </c>
      <c r="C747" s="28" t="s">
        <v>355</v>
      </c>
      <c r="D747" s="36" t="s">
        <v>28</v>
      </c>
      <c r="E747" s="38"/>
      <c r="F747" s="38"/>
      <c r="G747" s="38" t="str">
        <f t="shared" si="144"/>
        <v>1. Quản trị hệ thống thiết kế cấu trúc gói tin Chứng thực cần cung cấp. Hệ thống lưu cấu hình gói dữ liệu
2. Quản trị hệ thống cấu hình quyền truy cập. Hệ thống ghi nhận cấu hình</v>
      </c>
      <c r="H747" s="36" t="s">
        <v>5</v>
      </c>
      <c r="I747" s="34" t="s">
        <v>6</v>
      </c>
    </row>
    <row r="748" spans="1:9" ht="49.5">
      <c r="A748" s="36">
        <f>COUNTA($D$4:D748)</f>
        <v>649</v>
      </c>
      <c r="B748" s="43" t="str">
        <f t="shared" si="146"/>
        <v>Cung cấp dữ liệu mở về số liệu thống kê trong lĩnh vực Lý lịch tư pháp</v>
      </c>
      <c r="C748" s="28" t="s">
        <v>356</v>
      </c>
      <c r="D748" s="36" t="s">
        <v>28</v>
      </c>
      <c r="E748" s="38"/>
      <c r="F748" s="38"/>
      <c r="G748" s="38" t="str">
        <f t="shared" si="144"/>
        <v>1. Quản trị hệ thống thiết kế cấu trúc gói tin Lý lịch tư pháp cần cung cấp. Hệ thống lưu cấu hình gói dữ liệu
2. Quản trị hệ thống cấu hình quyền truy cập. Hệ thống ghi nhận cấu hình</v>
      </c>
      <c r="H748" s="36" t="s">
        <v>5</v>
      </c>
      <c r="I748" s="34" t="s">
        <v>6</v>
      </c>
    </row>
    <row r="749" spans="1:9" ht="49.5">
      <c r="A749" s="36">
        <f>COUNTA($D$4:D749)</f>
        <v>650</v>
      </c>
      <c r="B749" s="43" t="str">
        <f t="shared" si="146"/>
        <v>Cung cấp dữ liệu mở về số liệu thống kê trong lĩnh vực Nuôi con nuôi</v>
      </c>
      <c r="C749" s="28" t="s">
        <v>357</v>
      </c>
      <c r="D749" s="36" t="s">
        <v>28</v>
      </c>
      <c r="E749" s="38"/>
      <c r="F749" s="38"/>
      <c r="G749" s="38" t="str">
        <f t="shared" si="144"/>
        <v>1. Quản trị hệ thống thiết kế cấu trúc gói tin Nuôi con nuôi cần cung cấp. Hệ thống lưu cấu hình gói dữ liệu
2. Quản trị hệ thống cấu hình quyền truy cập. Hệ thống ghi nhận cấu hình</v>
      </c>
      <c r="H749" s="36" t="s">
        <v>5</v>
      </c>
      <c r="I749" s="34" t="s">
        <v>6</v>
      </c>
    </row>
    <row r="750" spans="1:9" ht="49.5">
      <c r="A750" s="36">
        <f>COUNTA($D$4:D750)</f>
        <v>651</v>
      </c>
      <c r="B750" s="43" t="str">
        <f t="shared" si="146"/>
        <v>Cung cấp dữ liệu mở về số liệu thống kê trong lĩnh vực Trợ giúp pháp lý</v>
      </c>
      <c r="C750" s="28" t="s">
        <v>358</v>
      </c>
      <c r="D750" s="36" t="s">
        <v>28</v>
      </c>
      <c r="E750" s="38"/>
      <c r="F750" s="38"/>
      <c r="G750" s="38" t="str">
        <f t="shared" si="144"/>
        <v>1. Quản trị hệ thống thiết kế cấu trúc gói tin Trợ giúp pháp lý cần cung cấp. Hệ thống lưu cấu hình gói dữ liệu
2. Quản trị hệ thống cấu hình quyền truy cập. Hệ thống ghi nhận cấu hình</v>
      </c>
      <c r="H750" s="36" t="s">
        <v>5</v>
      </c>
      <c r="I750" s="34" t="s">
        <v>6</v>
      </c>
    </row>
    <row r="751" spans="1:9" ht="49.5">
      <c r="A751" s="36">
        <f>COUNTA($D$4:D751)</f>
        <v>652</v>
      </c>
      <c r="B751" s="43" t="str">
        <f t="shared" si="146"/>
        <v>Cung cấp dữ liệu mở về số liệu thống kê trong lĩnh vực Đăng ký giao dịch bảo đảm</v>
      </c>
      <c r="C751" s="28" t="s">
        <v>359</v>
      </c>
      <c r="D751" s="36" t="s">
        <v>28</v>
      </c>
      <c r="E751" s="38"/>
      <c r="F751" s="38"/>
      <c r="G751" s="38" t="str">
        <f t="shared" si="144"/>
        <v>1. Quản trị hệ thống thiết kế cấu trúc gói tin Đăng ký giao dịch bảo đảm cần cung cấp. Hệ thống lưu cấu hình gói dữ liệu
2. Quản trị hệ thống cấu hình quyền truy cập. Hệ thống ghi nhận cấu hình</v>
      </c>
      <c r="H751" s="36" t="s">
        <v>5</v>
      </c>
      <c r="I751" s="34" t="s">
        <v>6</v>
      </c>
    </row>
    <row r="752" spans="1:9" ht="49.5">
      <c r="A752" s="36">
        <f>COUNTA($D$4:D752)</f>
        <v>653</v>
      </c>
      <c r="B752" s="43" t="str">
        <f t="shared" si="146"/>
        <v>Cung cấp dữ liệu mở về số liệu thống kê trong lĩnh vực Luật sư</v>
      </c>
      <c r="C752" s="28" t="s">
        <v>360</v>
      </c>
      <c r="D752" s="36" t="s">
        <v>28</v>
      </c>
      <c r="E752" s="38"/>
      <c r="F752" s="38"/>
      <c r="G752" s="38" t="str">
        <f t="shared" si="144"/>
        <v>1. Quản trị hệ thống thiết kế cấu trúc gói tin Luật sư cần cung cấp. Hệ thống lưu cấu hình gói dữ liệu
2. Quản trị hệ thống cấu hình quyền truy cập. Hệ thống ghi nhận cấu hình</v>
      </c>
      <c r="H752" s="36" t="s">
        <v>5</v>
      </c>
      <c r="I752" s="34" t="s">
        <v>6</v>
      </c>
    </row>
    <row r="753" spans="1:9" ht="49.5">
      <c r="A753" s="36">
        <f>COUNTA($D$4:D753)</f>
        <v>654</v>
      </c>
      <c r="B753" s="43" t="str">
        <f t="shared" si="146"/>
        <v>Cung cấp dữ liệu mở về số liệu thống kê trong lĩnh vực Công chứng</v>
      </c>
      <c r="C753" s="28" t="s">
        <v>361</v>
      </c>
      <c r="D753" s="36" t="s">
        <v>28</v>
      </c>
      <c r="E753" s="38"/>
      <c r="F753" s="38"/>
      <c r="G753" s="38" t="str">
        <f t="shared" si="144"/>
        <v>1. Quản trị hệ thống thiết kế cấu trúc gói tin Công chứng cần cung cấp. Hệ thống lưu cấu hình gói dữ liệu
2. Quản trị hệ thống cấu hình quyền truy cập. Hệ thống ghi nhận cấu hình</v>
      </c>
      <c r="H753" s="36" t="s">
        <v>5</v>
      </c>
      <c r="I753" s="34" t="s">
        <v>6</v>
      </c>
    </row>
    <row r="754" spans="1:9" ht="49.5">
      <c r="A754" s="36">
        <f>COUNTA($D$4:D754)</f>
        <v>655</v>
      </c>
      <c r="B754" s="43" t="str">
        <f t="shared" si="146"/>
        <v>Cung cấp dữ liệu mở về số liệu thống kê trong lĩnh vực Giám định tư pháp</v>
      </c>
      <c r="C754" s="28" t="s">
        <v>362</v>
      </c>
      <c r="D754" s="36" t="s">
        <v>28</v>
      </c>
      <c r="E754" s="38"/>
      <c r="F754" s="38"/>
      <c r="G754" s="38" t="str">
        <f t="shared" si="144"/>
        <v>1. Quản trị hệ thống thiết kế cấu trúc gói tin Giám định tư pháp cần cung cấp. Hệ thống lưu cấu hình gói dữ liệu
2. Quản trị hệ thống cấu hình quyền truy cập. Hệ thống ghi nhận cấu hình</v>
      </c>
      <c r="H754" s="36" t="s">
        <v>5</v>
      </c>
      <c r="I754" s="34" t="s">
        <v>6</v>
      </c>
    </row>
    <row r="755" spans="1:9" ht="49.5">
      <c r="A755" s="36">
        <f>COUNTA($D$4:D755)</f>
        <v>656</v>
      </c>
      <c r="B755" s="43" t="str">
        <f t="shared" si="146"/>
        <v>Cung cấp dữ liệu mở về số liệu thống kê trong lĩnh vực Đấu giá tài sản</v>
      </c>
      <c r="C755" s="28" t="s">
        <v>363</v>
      </c>
      <c r="D755" s="36" t="s">
        <v>28</v>
      </c>
      <c r="E755" s="38"/>
      <c r="F755" s="38"/>
      <c r="G755" s="38" t="str">
        <f t="shared" si="144"/>
        <v>1. Quản trị hệ thống thiết kế cấu trúc gói tin Đấu giá tài sản cần cung cấp. Hệ thống lưu cấu hình gói dữ liệu
2. Quản trị hệ thống cấu hình quyền truy cập. Hệ thống ghi nhận cấu hình</v>
      </c>
      <c r="H755" s="36" t="s">
        <v>5</v>
      </c>
      <c r="I755" s="34" t="s">
        <v>6</v>
      </c>
    </row>
    <row r="756" spans="1:9" ht="49.5">
      <c r="A756" s="36">
        <f>COUNTA($D$4:D756)</f>
        <v>657</v>
      </c>
      <c r="B756" s="43" t="str">
        <f t="shared" si="146"/>
        <v>Cung cấp dữ liệu mở về số liệu thống kê trong lĩnh vực Trọng tài thương mại</v>
      </c>
      <c r="C756" s="28" t="s">
        <v>364</v>
      </c>
      <c r="D756" s="36" t="s">
        <v>28</v>
      </c>
      <c r="E756" s="38"/>
      <c r="F756" s="38"/>
      <c r="G756" s="38" t="str">
        <f t="shared" si="144"/>
        <v>1. Quản trị hệ thống thiết kế cấu trúc gói tin Trọng tài thương mại cần cung cấp. Hệ thống lưu cấu hình gói dữ liệu
2. Quản trị hệ thống cấu hình quyền truy cập. Hệ thống ghi nhận cấu hình</v>
      </c>
      <c r="H756" s="36" t="s">
        <v>5</v>
      </c>
      <c r="I756" s="34" t="s">
        <v>6</v>
      </c>
    </row>
    <row r="757" spans="1:9" ht="49.5">
      <c r="A757" s="36">
        <f>COUNTA($D$4:D757)</f>
        <v>658</v>
      </c>
      <c r="B757" s="43" t="str">
        <f t="shared" si="146"/>
        <v>Cung cấp dữ liệu mở về số liệu thống kê trong lĩnh vực Hòa giải thương mại</v>
      </c>
      <c r="C757" s="28" t="s">
        <v>365</v>
      </c>
      <c r="D757" s="36" t="s">
        <v>28</v>
      </c>
      <c r="E757" s="38"/>
      <c r="F757" s="38"/>
      <c r="G757" s="38" t="str">
        <f t="shared" si="144"/>
        <v>1. Quản trị hệ thống thiết kế cấu trúc gói tin Hòa giải thương mại cần cung cấp. Hệ thống lưu cấu hình gói dữ liệu
2. Quản trị hệ thống cấu hình quyền truy cập. Hệ thống ghi nhận cấu hình</v>
      </c>
      <c r="H757" s="36" t="s">
        <v>5</v>
      </c>
      <c r="I757" s="34" t="s">
        <v>6</v>
      </c>
    </row>
    <row r="758" spans="1:9" ht="49.5">
      <c r="A758" s="36">
        <f>COUNTA($D$4:D758)</f>
        <v>659</v>
      </c>
      <c r="B758" s="43" t="str">
        <f t="shared" si="146"/>
        <v>Cung cấp dữ liệu mở về số liệu thống kê trong lĩnh vực Quản lý thanh lý tài sản</v>
      </c>
      <c r="C758" s="28" t="s">
        <v>366</v>
      </c>
      <c r="D758" s="36" t="s">
        <v>28</v>
      </c>
      <c r="E758" s="38"/>
      <c r="F758" s="38"/>
      <c r="G758" s="38" t="str">
        <f t="shared" si="144"/>
        <v>1. Quản trị hệ thống thiết kế cấu trúc gói tin Quản lý thanh lý tài sản cần cung cấp. Hệ thống lưu cấu hình gói dữ liệu
2. Quản trị hệ thống cấu hình quyền truy cập. Hệ thống ghi nhận cấu hình</v>
      </c>
      <c r="H758" s="36" t="s">
        <v>5</v>
      </c>
      <c r="I758" s="34" t="s">
        <v>6</v>
      </c>
    </row>
    <row r="759" spans="1:9" ht="49.5">
      <c r="A759" s="36">
        <f>COUNTA($D$4:D759)</f>
        <v>660</v>
      </c>
      <c r="B759" s="43" t="str">
        <f t="shared" si="146"/>
        <v>Cung cấp dữ liệu mở về số liệu thống kê trong lĩnh vực Tương trợ tư pháp</v>
      </c>
      <c r="C759" s="28" t="s">
        <v>367</v>
      </c>
      <c r="D759" s="36" t="s">
        <v>28</v>
      </c>
      <c r="E759" s="38"/>
      <c r="F759" s="38"/>
      <c r="G759" s="38" t="str">
        <f t="shared" si="144"/>
        <v>1. Quản trị hệ thống thiết kế cấu trúc gói tin Tương trợ tư pháp cần cung cấp. Hệ thống lưu cấu hình gói dữ liệu
2. Quản trị hệ thống cấu hình quyền truy cập. Hệ thống ghi nhận cấu hình</v>
      </c>
      <c r="H759" s="36" t="s">
        <v>5</v>
      </c>
      <c r="I759" s="34" t="s">
        <v>6</v>
      </c>
    </row>
    <row r="760" spans="1:9" ht="16.5">
      <c r="A760" s="41" t="s">
        <v>616</v>
      </c>
      <c r="B760" s="42" t="s">
        <v>617</v>
      </c>
      <c r="C760" s="42"/>
      <c r="D760" s="34"/>
      <c r="E760" s="35"/>
      <c r="F760" s="38"/>
      <c r="G760" s="38"/>
      <c r="H760" s="36"/>
      <c r="I760" s="34"/>
    </row>
    <row r="761" spans="1:9" ht="49.5">
      <c r="A761" s="36">
        <f>COUNTA($D$4:D761)</f>
        <v>661</v>
      </c>
      <c r="B761" s="38" t="s">
        <v>618</v>
      </c>
      <c r="C761" s="38" t="s">
        <v>619</v>
      </c>
      <c r="D761" s="36" t="s">
        <v>28</v>
      </c>
      <c r="E761" s="38"/>
      <c r="F761" s="38"/>
      <c r="G761" s="38" t="str">
        <f>"1. " &amp;D761 &amp; " thiết kế cấu trúc gói tin "&amp;C761&amp;" cần cung cấp. Hệ thống lưu cấu hình gói dữ liệu
2. "&amp;D761&amp;" cấu hình quyền truy cập. Hệ thống ghi nhận cấu hình"</f>
        <v>1. Quản trị hệ thống thiết kế cấu trúc gói tin Dữ liệu chủ cần cung cấp. Hệ thống lưu cấu hình gói dữ liệu
2. Quản trị hệ thống cấu hình quyền truy cập. Hệ thống ghi nhận cấu hình</v>
      </c>
      <c r="H761" s="36" t="s">
        <v>5</v>
      </c>
      <c r="I761" s="34" t="s">
        <v>6</v>
      </c>
    </row>
    <row r="762" spans="1:9" ht="33">
      <c r="A762" s="32" t="s">
        <v>324</v>
      </c>
      <c r="B762" s="33" t="s">
        <v>466</v>
      </c>
      <c r="C762" s="33"/>
      <c r="D762" s="34"/>
      <c r="E762" s="35"/>
      <c r="F762" s="35"/>
      <c r="G762" s="35"/>
      <c r="H762" s="36"/>
      <c r="I762" s="36"/>
    </row>
    <row r="763" spans="1:9" ht="16.5">
      <c r="A763" s="40" t="s">
        <v>469</v>
      </c>
      <c r="B763" s="39" t="s">
        <v>468</v>
      </c>
      <c r="C763" s="39"/>
      <c r="D763" s="34"/>
      <c r="E763" s="35"/>
      <c r="F763" s="35"/>
      <c r="G763" s="35"/>
      <c r="H763" s="36"/>
      <c r="I763" s="36"/>
    </row>
    <row r="764" spans="1:9" ht="49.5">
      <c r="A764" s="36">
        <f>COUNTA($D$4:D764)</f>
        <v>662</v>
      </c>
      <c r="B764" s="38" t="s">
        <v>470</v>
      </c>
      <c r="C764" s="38"/>
      <c r="D764" s="34" t="s">
        <v>323</v>
      </c>
      <c r="E764" s="35"/>
      <c r="F764" s="38"/>
      <c r="G764" s="38" t="s">
        <v>583</v>
      </c>
      <c r="H764" s="36" t="s">
        <v>5</v>
      </c>
      <c r="I764" s="36" t="s">
        <v>6</v>
      </c>
    </row>
    <row r="765" spans="1:9" ht="33">
      <c r="A765" s="40" t="s">
        <v>471</v>
      </c>
      <c r="B765" s="39" t="s">
        <v>467</v>
      </c>
      <c r="C765" s="39"/>
      <c r="D765" s="34"/>
      <c r="E765" s="35"/>
      <c r="F765" s="35"/>
      <c r="G765" s="35"/>
      <c r="H765" s="36"/>
      <c r="I765" s="36"/>
    </row>
    <row r="766" spans="1:9" ht="16.5">
      <c r="A766" s="41" t="s">
        <v>469</v>
      </c>
      <c r="B766" s="42" t="s">
        <v>52</v>
      </c>
      <c r="C766" s="42"/>
      <c r="D766" s="34"/>
      <c r="E766" s="35"/>
      <c r="F766" s="35"/>
      <c r="G766" s="35"/>
      <c r="H766" s="36"/>
      <c r="I766" s="36"/>
    </row>
    <row r="767" spans="1:9" ht="49.5">
      <c r="A767" s="36">
        <f>COUNTA($D$4:D767)</f>
        <v>663</v>
      </c>
      <c r="B767" s="38" t="s">
        <v>623</v>
      </c>
      <c r="C767" s="38" t="s">
        <v>156</v>
      </c>
      <c r="D767" s="34" t="s">
        <v>323</v>
      </c>
      <c r="E767" s="35"/>
      <c r="F767" s="38"/>
      <c r="G767" s="38" t="str">
        <f>"1. Kho dữ liệu dùng chung định kỳ hoặc theo yêu cầu gửi gói tin yêu cầu "&amp;B767&amp;" gửi tới hệ thống đích. Hệ thống đích phản hồi kết quả nhận được."</f>
        <v>1. Kho dữ liệu dùng chung định kỳ hoặc theo yêu cầu gửi gói tin yêu cầu Đối soát tổng hợp về cung cấp dữ liệu Hộ tịch điện tử gửi tới hệ thống đích. Hệ thống đích phản hồi kết quả nhận được.</v>
      </c>
      <c r="H767" s="36" t="s">
        <v>5</v>
      </c>
      <c r="I767" s="36" t="s">
        <v>6</v>
      </c>
    </row>
    <row r="768" spans="1:9" ht="33">
      <c r="A768" s="41" t="s">
        <v>471</v>
      </c>
      <c r="B768" s="44" t="s">
        <v>67</v>
      </c>
      <c r="C768" s="44"/>
      <c r="D768" s="34"/>
      <c r="E768" s="35"/>
      <c r="F768" s="35"/>
      <c r="G768" s="35"/>
      <c r="H768" s="36"/>
      <c r="I768" s="36"/>
    </row>
    <row r="769" spans="1:9" ht="49.5">
      <c r="A769" s="36">
        <f>COUNTA($D$4:D769)</f>
        <v>664</v>
      </c>
      <c r="B769" s="54" t="s">
        <v>624</v>
      </c>
      <c r="C769" s="54" t="s">
        <v>157</v>
      </c>
      <c r="D769" s="34" t="s">
        <v>323</v>
      </c>
      <c r="E769" s="56"/>
      <c r="F769" s="57"/>
      <c r="G769" s="38" t="str">
        <f t="shared" ref="G769" si="147">"1. Kho dữ liệu dùng chung định kỳ hoặc theo yêu cầu gửi gói tin yêu cầu "&amp;B769&amp;" gửi tới hệ thống đích. Hệ thống đích phản hồi kết quả nhận được."</f>
        <v>1. Kho dữ liệu dùng chung định kỳ hoặc theo yêu cầu gửi gói tin yêu cầu Đối soát tổng hợp về cung cấp dữ liệu hồ sơ quốc tịch gửi tới hệ thống đích. Hệ thống đích phản hồi kết quả nhận được.</v>
      </c>
      <c r="H769" s="36" t="s">
        <v>5</v>
      </c>
      <c r="I769" s="58" t="s">
        <v>6</v>
      </c>
    </row>
    <row r="770" spans="1:9" ht="33">
      <c r="A770" s="41" t="s">
        <v>472</v>
      </c>
      <c r="B770" s="42" t="s">
        <v>75</v>
      </c>
      <c r="C770" s="42"/>
      <c r="D770" s="34"/>
      <c r="E770" s="35"/>
      <c r="F770" s="38"/>
      <c r="G770" s="38"/>
      <c r="H770" s="36"/>
      <c r="I770" s="36"/>
    </row>
    <row r="771" spans="1:9" ht="49.5">
      <c r="A771" s="36">
        <f>COUNTA($D$4:D771)</f>
        <v>665</v>
      </c>
      <c r="B771" s="57" t="s">
        <v>625</v>
      </c>
      <c r="C771" s="57" t="s">
        <v>158</v>
      </c>
      <c r="D771" s="34" t="s">
        <v>323</v>
      </c>
      <c r="E771" s="56"/>
      <c r="F771" s="57"/>
      <c r="G771" s="38" t="str">
        <f t="shared" ref="G771" si="148">"1. Kho dữ liệu dùng chung định kỳ hoặc theo yêu cầu gửi gói tin yêu cầu "&amp;B771&amp;" gửi tới hệ thống đích. Hệ thống đích phản hồi kết quả nhận được."</f>
        <v>1. Kho dữ liệu dùng chung định kỳ hoặc theo yêu cầu gửi gói tin yêu cầu Đối soát tổng hợp về cung cấp dữ liệu thi hành án dân sự gửi tới hệ thống đích. Hệ thống đích phản hồi kết quả nhận được.</v>
      </c>
      <c r="H771" s="36" t="s">
        <v>5</v>
      </c>
      <c r="I771" s="58" t="s">
        <v>6</v>
      </c>
    </row>
    <row r="772" spans="1:9" ht="33">
      <c r="A772" s="41" t="s">
        <v>473</v>
      </c>
      <c r="B772" s="42" t="s">
        <v>97</v>
      </c>
      <c r="C772" s="42"/>
      <c r="D772" s="34"/>
      <c r="E772" s="35"/>
      <c r="F772" s="35"/>
      <c r="G772" s="35"/>
      <c r="H772" s="36"/>
      <c r="I772" s="36"/>
    </row>
    <row r="773" spans="1:9" ht="49.5">
      <c r="A773" s="36">
        <f>COUNTA($D$4:D773)</f>
        <v>666</v>
      </c>
      <c r="B773" s="57" t="s">
        <v>626</v>
      </c>
      <c r="C773" s="57" t="s">
        <v>159</v>
      </c>
      <c r="D773" s="34" t="s">
        <v>323</v>
      </c>
      <c r="E773" s="56"/>
      <c r="F773" s="57"/>
      <c r="G773" s="38" t="str">
        <f t="shared" ref="G773" si="149">"1. Kho dữ liệu dùng chung định kỳ hoặc theo yêu cầu gửi gói tin yêu cầu "&amp;B773&amp;" gửi tới hệ thống đích. Hệ thống đích phản hồi kết quả nhận được."</f>
        <v>1. Kho dữ liệu dùng chung định kỳ hoặc theo yêu cầu gửi gói tin yêu cầu Đối soát tổng hợp về cung cấp dữ liệu về biện pháp bảo đảm gửi tới hệ thống đích. Hệ thống đích phản hồi kết quả nhận được.</v>
      </c>
      <c r="H773" s="36" t="s">
        <v>5</v>
      </c>
      <c r="I773" s="58" t="s">
        <v>6</v>
      </c>
    </row>
    <row r="774" spans="1:9" ht="16.5">
      <c r="A774" s="41" t="s">
        <v>474</v>
      </c>
      <c r="B774" s="42" t="s">
        <v>106</v>
      </c>
      <c r="C774" s="42"/>
      <c r="D774" s="34"/>
      <c r="E774" s="35"/>
      <c r="F774" s="35"/>
      <c r="G774" s="35"/>
      <c r="H774" s="36"/>
      <c r="I774" s="36"/>
    </row>
    <row r="775" spans="1:9" ht="49.5">
      <c r="A775" s="36">
        <f>COUNTA($D$4:D775)</f>
        <v>667</v>
      </c>
      <c r="B775" s="57" t="s">
        <v>627</v>
      </c>
      <c r="C775" s="57" t="s">
        <v>160</v>
      </c>
      <c r="D775" s="34" t="s">
        <v>323</v>
      </c>
      <c r="E775" s="56"/>
      <c r="F775" s="57"/>
      <c r="G775" s="38" t="str">
        <f t="shared" ref="G775" si="150">"1. Kho dữ liệu dùng chung định kỳ hoặc theo yêu cầu gửi gói tin yêu cầu "&amp;B775&amp;" gửi tới hệ thống đích. Hệ thống đích phản hồi kết quả nhận được."</f>
        <v>1. Kho dữ liệu dùng chung định kỳ hoặc theo yêu cầu gửi gói tin yêu cầu Đối soát tổng hợp về cung cấp dữ liệu quốc gia về pháp luật gửi tới hệ thống đích. Hệ thống đích phản hồi kết quả nhận được.</v>
      </c>
      <c r="H775" s="36" t="s">
        <v>5</v>
      </c>
      <c r="I775" s="58" t="s">
        <v>6</v>
      </c>
    </row>
    <row r="776" spans="1:9" ht="33">
      <c r="A776" s="41" t="s">
        <v>475</v>
      </c>
      <c r="B776" s="42" t="s">
        <v>114</v>
      </c>
      <c r="C776" s="42"/>
      <c r="D776" s="34"/>
      <c r="E776" s="35"/>
      <c r="F776" s="35"/>
      <c r="G776" s="35"/>
      <c r="H776" s="36"/>
      <c r="I776" s="36"/>
    </row>
    <row r="777" spans="1:9" ht="49.5">
      <c r="A777" s="36">
        <f>COUNTA($D$4:D777)</f>
        <v>668</v>
      </c>
      <c r="B777" s="57" t="s">
        <v>628</v>
      </c>
      <c r="C777" s="57" t="s">
        <v>161</v>
      </c>
      <c r="D777" s="34" t="s">
        <v>323</v>
      </c>
      <c r="E777" s="56"/>
      <c r="F777" s="57"/>
      <c r="G777" s="38" t="str">
        <f t="shared" ref="G777" si="151">"1. Kho dữ liệu dùng chung định kỳ hoặc theo yêu cầu gửi gói tin yêu cầu "&amp;B777&amp;" gửi tới hệ thống đích. Hệ thống đích phản hồi kết quả nhận được."</f>
        <v>1. Kho dữ liệu dùng chung định kỳ hoặc theo yêu cầu gửi gói tin yêu cầu Đối soát tổng hợp về cung cấp dữ liệu tương trợ tư pháp về dân sự gửi tới hệ thống đích. Hệ thống đích phản hồi kết quả nhận được.</v>
      </c>
      <c r="H777" s="36" t="s">
        <v>5</v>
      </c>
      <c r="I777" s="58" t="s">
        <v>6</v>
      </c>
    </row>
    <row r="778" spans="1:9" ht="33">
      <c r="A778" s="41" t="s">
        <v>476</v>
      </c>
      <c r="B778" s="42" t="s">
        <v>119</v>
      </c>
      <c r="C778" s="42"/>
      <c r="D778" s="34"/>
      <c r="E778" s="35"/>
      <c r="F778" s="35"/>
      <c r="G778" s="38"/>
      <c r="H778" s="36"/>
      <c r="I778" s="36"/>
    </row>
    <row r="779" spans="1:9" ht="49.5">
      <c r="A779" s="36">
        <f>COUNTA($D$4:D779)</f>
        <v>669</v>
      </c>
      <c r="B779" s="57" t="s">
        <v>629</v>
      </c>
      <c r="C779" s="57" t="s">
        <v>162</v>
      </c>
      <c r="D779" s="34" t="s">
        <v>323</v>
      </c>
      <c r="E779" s="56"/>
      <c r="F779" s="57"/>
      <c r="G779" s="38" t="str">
        <f t="shared" ref="G779" si="152">"1. Kho dữ liệu dùng chung định kỳ hoặc theo yêu cầu gửi gói tin yêu cầu "&amp;B779&amp;" gửi tới hệ thống đích. Hệ thống đích phản hồi kết quả nhận được."</f>
        <v>1. Kho dữ liệu dùng chung định kỳ hoặc theo yêu cầu gửi gói tin yêu cầu Đối soát tổng hợp về cung cấp dữ liệu thông tin trợ giúp pháp lý gửi tới hệ thống đích. Hệ thống đích phản hồi kết quả nhận được.</v>
      </c>
      <c r="H779" s="36" t="s">
        <v>5</v>
      </c>
      <c r="I779" s="58" t="s">
        <v>6</v>
      </c>
    </row>
    <row r="780" spans="1:9" ht="33">
      <c r="A780" s="41" t="s">
        <v>477</v>
      </c>
      <c r="B780" s="42" t="s">
        <v>464</v>
      </c>
      <c r="C780" s="42"/>
      <c r="D780" s="34"/>
      <c r="E780" s="35"/>
      <c r="F780" s="35"/>
      <c r="G780" s="38"/>
      <c r="H780" s="36"/>
      <c r="I780" s="36"/>
    </row>
    <row r="781" spans="1:9" ht="49.5">
      <c r="A781" s="36">
        <f>COUNTA($D$4:D781)</f>
        <v>670</v>
      </c>
      <c r="B781" s="57" t="s">
        <v>630</v>
      </c>
      <c r="C781" s="57" t="s">
        <v>631</v>
      </c>
      <c r="D781" s="34" t="s">
        <v>323</v>
      </c>
      <c r="E781" s="56"/>
      <c r="F781" s="57"/>
      <c r="G781" s="38" t="str">
        <f t="shared" ref="G781" si="153">"1. Kho dữ liệu dùng chung định kỳ hoặc theo yêu cầu gửi gói tin yêu cầu "&amp;B781&amp;" gửi tới hệ thống đích. Hệ thống đích phản hồi kết quả nhận được."</f>
        <v>1. Kho dữ liệu dùng chung định kỳ hoặc theo yêu cầu gửi gói tin yêu cầu Đối soát tổng hợp về cung cấp dữ liệu phổ biến, giáo dục pháp luật và hoà giải cơ sở gửi tới hệ thống đích. Hệ thống đích phản hồi kết quả nhận được.</v>
      </c>
      <c r="H781" s="36" t="s">
        <v>5</v>
      </c>
      <c r="I781" s="58" t="s">
        <v>6</v>
      </c>
    </row>
    <row r="782" spans="1:9" ht="16.5">
      <c r="A782" s="41" t="s">
        <v>478</v>
      </c>
      <c r="B782" s="42" t="s">
        <v>128</v>
      </c>
      <c r="C782" s="42"/>
      <c r="D782" s="34"/>
      <c r="E782" s="35"/>
      <c r="F782" s="35"/>
      <c r="G782" s="35"/>
      <c r="H782" s="36"/>
      <c r="I782" s="36"/>
    </row>
    <row r="783" spans="1:9" ht="49.5">
      <c r="A783" s="36">
        <f>COUNTA($D$4:D783)</f>
        <v>671</v>
      </c>
      <c r="B783" s="57" t="s">
        <v>632</v>
      </c>
      <c r="C783" s="57" t="s">
        <v>163</v>
      </c>
      <c r="D783" s="34" t="s">
        <v>323</v>
      </c>
      <c r="E783" s="56"/>
      <c r="F783" s="57"/>
      <c r="G783" s="38" t="str">
        <f t="shared" ref="G783" si="154">"1. Kho dữ liệu dùng chung định kỳ hoặc theo yêu cầu gửi gói tin yêu cầu "&amp;B783&amp;" gửi tới hệ thống đích. Hệ thống đích phản hồi kết quả nhận được."</f>
        <v>1. Kho dữ liệu dùng chung định kỳ hoặc theo yêu cầu gửi gói tin yêu cầu Đối soát tổng hợp về cung cấp dữ liệu quản lý đấu giá tài sản gửi tới hệ thống đích. Hệ thống đích phản hồi kết quả nhận được.</v>
      </c>
      <c r="H783" s="36" t="s">
        <v>5</v>
      </c>
      <c r="I783" s="58" t="s">
        <v>6</v>
      </c>
    </row>
    <row r="784" spans="1:9" ht="16.5">
      <c r="A784" s="41" t="s">
        <v>479</v>
      </c>
      <c r="B784" s="42" t="s">
        <v>601</v>
      </c>
      <c r="C784" s="42"/>
      <c r="D784" s="34"/>
      <c r="E784" s="35"/>
      <c r="F784" s="35"/>
      <c r="G784" s="35"/>
      <c r="H784" s="36"/>
      <c r="I784" s="36"/>
    </row>
    <row r="785" spans="1:9" ht="49.5">
      <c r="A785" s="36">
        <f>COUNTA($D$4:D785)</f>
        <v>672</v>
      </c>
      <c r="B785" s="57" t="s">
        <v>633</v>
      </c>
      <c r="C785" s="57" t="s">
        <v>615</v>
      </c>
      <c r="D785" s="34" t="s">
        <v>323</v>
      </c>
      <c r="E785" s="56"/>
      <c r="F785" s="57"/>
      <c r="G785" s="38" t="str">
        <f t="shared" ref="G785" si="155">"1. Kho dữ liệu dùng chung định kỳ hoặc theo yêu cầu gửi gói tin yêu cầu "&amp;B785&amp;" gửi tới hệ thống đích. Hệ thống đích phản hồi kết quả nhận được."</f>
        <v>1. Kho dữ liệu dùng chung định kỳ hoặc theo yêu cầu gửi gói tin yêu cầu Đối soát tổng hợp về cung cấp dữ liệu Hợp tác quốc tế gửi tới hệ thống đích. Hệ thống đích phản hồi kết quả nhận được.</v>
      </c>
      <c r="H785" s="36" t="s">
        <v>5</v>
      </c>
      <c r="I785" s="58" t="s">
        <v>6</v>
      </c>
    </row>
    <row r="786" spans="1:9" ht="16.5">
      <c r="A786" s="41" t="s">
        <v>614</v>
      </c>
      <c r="B786" s="42" t="s">
        <v>480</v>
      </c>
      <c r="C786" s="42"/>
      <c r="D786" s="34"/>
      <c r="E786" s="38"/>
      <c r="F786" s="35"/>
      <c r="G786" s="35"/>
      <c r="H786" s="36"/>
      <c r="I786" s="34"/>
    </row>
    <row r="787" spans="1:9" ht="49.5">
      <c r="A787" s="36">
        <f>COUNTA($D$4:D787)</f>
        <v>673</v>
      </c>
      <c r="B787" s="57" t="s">
        <v>634</v>
      </c>
      <c r="C787" s="57" t="s">
        <v>622</v>
      </c>
      <c r="D787" s="34" t="s">
        <v>323</v>
      </c>
      <c r="E787" s="35"/>
      <c r="F787" s="38"/>
      <c r="G787" s="38" t="str">
        <f t="shared" ref="G787" si="156">"1. Kho dữ liệu dùng chung định kỳ hoặc theo yêu cầu gửi gói tin yêu cầu "&amp;B787&amp;" gửi tới hệ thống đích. Hệ thống đích phản hồi kết quả nhận được."</f>
        <v>1. Kho dữ liệu dùng chung định kỳ hoặc theo yêu cầu gửi gói tin yêu cầu Đối soát tổng hợp về cung cấp dữ liệu mở gửi tới hệ thống đích. Hệ thống đích phản hồi kết quả nhận được.</v>
      </c>
      <c r="H787" s="36" t="s">
        <v>5</v>
      </c>
      <c r="I787" s="36" t="s">
        <v>6</v>
      </c>
    </row>
    <row r="788" spans="1:9" ht="16.5">
      <c r="A788" s="41" t="s">
        <v>614</v>
      </c>
      <c r="B788" s="42" t="s">
        <v>620</v>
      </c>
      <c r="C788" s="42"/>
      <c r="D788" s="34"/>
      <c r="E788" s="38"/>
      <c r="F788" s="35"/>
      <c r="G788" s="35"/>
      <c r="H788" s="36"/>
      <c r="I788" s="34"/>
    </row>
    <row r="789" spans="1:9" ht="49.5">
      <c r="A789" s="36">
        <f>COUNTA($D$4:D789)</f>
        <v>674</v>
      </c>
      <c r="B789" s="57" t="s">
        <v>635</v>
      </c>
      <c r="C789" s="57" t="s">
        <v>621</v>
      </c>
      <c r="D789" s="34" t="s">
        <v>323</v>
      </c>
      <c r="E789" s="35"/>
      <c r="F789" s="38"/>
      <c r="G789" s="38" t="str">
        <f t="shared" ref="G789" si="157">"1. Kho dữ liệu dùng chung định kỳ hoặc theo yêu cầu gửi gói tin yêu cầu "&amp;B789&amp;" gửi tới hệ thống đích. Hệ thống đích phản hồi kết quả nhận được."</f>
        <v>1. Kho dữ liệu dùng chung định kỳ hoặc theo yêu cầu gửi gói tin yêu cầu Đối soát tổng hợp về cung cấp dữ liệu chủ gửi tới hệ thống đích. Hệ thống đích phản hồi kết quả nhận được.</v>
      </c>
      <c r="H789" s="36" t="s">
        <v>5</v>
      </c>
      <c r="I789" s="36" t="s">
        <v>6</v>
      </c>
    </row>
    <row r="790" spans="1:9" ht="16.5">
      <c r="A790" s="32" t="s">
        <v>324</v>
      </c>
      <c r="B790" s="33" t="s">
        <v>325</v>
      </c>
      <c r="C790" s="33"/>
      <c r="D790" s="34"/>
      <c r="E790" s="35"/>
      <c r="F790" s="35"/>
      <c r="G790" s="35"/>
      <c r="H790" s="36"/>
      <c r="I790" s="34"/>
    </row>
    <row r="791" spans="1:9" ht="132">
      <c r="A791" s="36">
        <f>COUNTA($D$4:D791)</f>
        <v>675</v>
      </c>
      <c r="B791" s="38" t="s">
        <v>412</v>
      </c>
      <c r="C791" s="38"/>
      <c r="D791" s="34" t="s">
        <v>28</v>
      </c>
      <c r="E791" s="35"/>
      <c r="F791" s="38" t="s">
        <v>418</v>
      </c>
      <c r="G791" s="38" t="s">
        <v>481</v>
      </c>
      <c r="H791" s="36" t="s">
        <v>5</v>
      </c>
      <c r="I791" s="36" t="s">
        <v>7</v>
      </c>
    </row>
    <row r="792" spans="1:9" ht="132">
      <c r="A792" s="36">
        <f>COUNTA($D$4:D792)</f>
        <v>676</v>
      </c>
      <c r="B792" s="38" t="s">
        <v>326</v>
      </c>
      <c r="C792" s="38"/>
      <c r="D792" s="34" t="s">
        <v>28</v>
      </c>
      <c r="E792" s="35"/>
      <c r="F792" s="38" t="s">
        <v>417</v>
      </c>
      <c r="G792" s="38" t="s">
        <v>482</v>
      </c>
      <c r="H792" s="36" t="s">
        <v>5</v>
      </c>
      <c r="I792" s="36" t="s">
        <v>7</v>
      </c>
    </row>
    <row r="793" spans="1:9" ht="82.5">
      <c r="A793" s="36">
        <f>COUNTA($D$4:D793)</f>
        <v>677</v>
      </c>
      <c r="B793" s="38" t="s">
        <v>327</v>
      </c>
      <c r="C793" s="38"/>
      <c r="D793" s="34" t="s">
        <v>28</v>
      </c>
      <c r="E793" s="35"/>
      <c r="F793" s="38" t="s">
        <v>416</v>
      </c>
      <c r="G793" s="38" t="s">
        <v>483</v>
      </c>
      <c r="H793" s="36" t="s">
        <v>5</v>
      </c>
      <c r="I793" s="34" t="s">
        <v>6</v>
      </c>
    </row>
    <row r="794" spans="1:9" ht="82.5">
      <c r="A794" s="36">
        <f>COUNTA($D$4:D794)</f>
        <v>678</v>
      </c>
      <c r="B794" s="38" t="s">
        <v>328</v>
      </c>
      <c r="C794" s="38"/>
      <c r="D794" s="34" t="s">
        <v>28</v>
      </c>
      <c r="E794" s="35"/>
      <c r="F794" s="38" t="s">
        <v>419</v>
      </c>
      <c r="G794" s="38" t="s">
        <v>484</v>
      </c>
      <c r="H794" s="36" t="s">
        <v>5</v>
      </c>
      <c r="I794" s="34" t="s">
        <v>6</v>
      </c>
    </row>
    <row r="795" spans="1:9" ht="99">
      <c r="A795" s="36">
        <f>COUNTA($D$4:D795)</f>
        <v>679</v>
      </c>
      <c r="B795" s="38" t="s">
        <v>413</v>
      </c>
      <c r="C795" s="37"/>
      <c r="D795" s="34" t="s">
        <v>28</v>
      </c>
      <c r="E795" s="35"/>
      <c r="F795" s="38" t="s">
        <v>420</v>
      </c>
      <c r="G795" s="38" t="s">
        <v>485</v>
      </c>
      <c r="H795" s="36" t="s">
        <v>5</v>
      </c>
      <c r="I795" s="34" t="s">
        <v>6</v>
      </c>
    </row>
    <row r="796" spans="1:9" ht="99">
      <c r="A796" s="36">
        <f>COUNTA($D$4:D796)</f>
        <v>680</v>
      </c>
      <c r="B796" s="38" t="s">
        <v>390</v>
      </c>
      <c r="C796" s="38"/>
      <c r="D796" s="36" t="s">
        <v>28</v>
      </c>
      <c r="E796" s="35"/>
      <c r="F796" s="38" t="s">
        <v>421</v>
      </c>
      <c r="G796" s="38" t="s">
        <v>486</v>
      </c>
      <c r="H796" s="36" t="s">
        <v>5</v>
      </c>
      <c r="I796" s="34" t="s">
        <v>6</v>
      </c>
    </row>
    <row r="797" spans="1:9" ht="148.5">
      <c r="A797" s="36">
        <f>COUNTA($D$4:D797)</f>
        <v>681</v>
      </c>
      <c r="B797" s="38" t="s">
        <v>415</v>
      </c>
      <c r="C797" s="38"/>
      <c r="D797" s="36" t="s">
        <v>28</v>
      </c>
      <c r="E797" s="35"/>
      <c r="F797" s="38" t="s">
        <v>496</v>
      </c>
      <c r="G797" s="38" t="str">
        <f>"1. "&amp;D797&amp;" có thể tạo vai trò mới: tên, mô tả, danh sách quyền chức năng/quyền dữ liệu. Hệ thống kiểm tra tính hợp lệ  và ghi nhận vai trò mới
2. "&amp;D797&amp; " có thể chỉnh sửa vai trò. Hệ thống kiểm tra ràng buộc, sau đó cho phép cập nhật và ghi nhận phiên bản chỉnh sửa
3. "&amp;D797&amp; " cho phép xóa vai trò. Hệ thống hiển thị cảnh báo xác nhận. Sau khi đồng ý, hệ thống xóa vai trò và ghi nhật ký hành động, chỉ áp dụng với vai trò chưa được gán cho người dùng
4. "&amp;D797&amp;" Gán vai trò cho người dùng/ nhóm người dùng. Hệ thống cập nhật quan hệ giữa vai trò và người dùng/nhóm, hiển thị danh sách gán thành công."</f>
        <v>1. Quản trị hệ thống có thể tạo vai trò mới: tên, mô tả, danh sách quyền chức năng/quyền dữ liệu. Hệ thống kiểm tra tính hợp lệ  và ghi nhận vai trò mới
2. Quản trị hệ thống có thể chỉnh sửa vai trò. Hệ thống kiểm tra ràng buộc, sau đó cho phép cập nhật và ghi nhận phiên bản chỉnh sửa
3. Quản trị hệ thống cho phép xóa vai trò. Hệ thống hiển thị cảnh báo xác nhận. Sau khi đồng ý, hệ thống xóa vai trò và ghi nhật ký hành động, chỉ áp dụng với vai trò chưa được gán cho người dùng
4. Quản trị hệ thống Gán vai trò cho người dùng/ nhóm người dùng. Hệ thống cập nhật quan hệ giữa vai trò và người dùng/nhóm, hiển thị danh sách gán thành công.</v>
      </c>
      <c r="H797" s="36" t="s">
        <v>5</v>
      </c>
      <c r="I797" s="34" t="s">
        <v>7</v>
      </c>
    </row>
    <row r="798" spans="1:9" ht="214.5">
      <c r="A798" s="36">
        <f>COUNTA($D$4:D798)</f>
        <v>682</v>
      </c>
      <c r="B798" s="38" t="s">
        <v>548</v>
      </c>
      <c r="C798" s="38"/>
      <c r="D798" s="36" t="s">
        <v>28</v>
      </c>
      <c r="E798" s="35"/>
      <c r="F798" s="38" t="s">
        <v>422</v>
      </c>
      <c r="G798" s="38" t="s">
        <v>556</v>
      </c>
      <c r="H798" s="36" t="s">
        <v>5</v>
      </c>
      <c r="I798" s="34" t="s">
        <v>7</v>
      </c>
    </row>
    <row r="799" spans="1:9" ht="99">
      <c r="A799" s="36">
        <f>COUNTA($D$4:D799)</f>
        <v>683</v>
      </c>
      <c r="B799" s="38" t="s">
        <v>549</v>
      </c>
      <c r="C799" s="38"/>
      <c r="D799" s="36" t="s">
        <v>28</v>
      </c>
      <c r="E799" s="35"/>
      <c r="F799" s="38" t="s">
        <v>422</v>
      </c>
      <c r="G799" s="38" t="s">
        <v>557</v>
      </c>
      <c r="H799" s="36" t="s">
        <v>5</v>
      </c>
      <c r="I799" s="34" t="s">
        <v>6</v>
      </c>
    </row>
    <row r="800" spans="1:9" ht="99">
      <c r="A800" s="36">
        <f>COUNTA($D$4:D800)</f>
        <v>684</v>
      </c>
      <c r="B800" s="38" t="s">
        <v>550</v>
      </c>
      <c r="C800" s="38"/>
      <c r="D800" s="36" t="s">
        <v>28</v>
      </c>
      <c r="E800" s="35"/>
      <c r="F800" s="38" t="s">
        <v>422</v>
      </c>
      <c r="G800" s="38" t="s">
        <v>567</v>
      </c>
      <c r="H800" s="36" t="s">
        <v>5</v>
      </c>
      <c r="I800" s="34" t="s">
        <v>6</v>
      </c>
    </row>
    <row r="801" spans="1:11" ht="99">
      <c r="A801" s="36">
        <f>COUNTA($D$4:D801)</f>
        <v>685</v>
      </c>
      <c r="B801" s="38" t="s">
        <v>551</v>
      </c>
      <c r="C801" s="38"/>
      <c r="D801" s="36" t="s">
        <v>28</v>
      </c>
      <c r="E801" s="35"/>
      <c r="F801" s="38" t="s">
        <v>414</v>
      </c>
      <c r="G801" s="38" t="s">
        <v>568</v>
      </c>
      <c r="H801" s="36" t="s">
        <v>5</v>
      </c>
      <c r="I801" s="34" t="s">
        <v>6</v>
      </c>
    </row>
    <row r="802" spans="1:11" ht="115.5">
      <c r="A802" s="36">
        <f>COUNTA($D$4:D802)</f>
        <v>686</v>
      </c>
      <c r="B802" s="38" t="s">
        <v>552</v>
      </c>
      <c r="C802" s="38"/>
      <c r="D802" s="36" t="s">
        <v>28</v>
      </c>
      <c r="E802" s="35"/>
      <c r="F802" s="38" t="s">
        <v>414</v>
      </c>
      <c r="G802" s="38" t="s">
        <v>559</v>
      </c>
      <c r="H802" s="36" t="s">
        <v>5</v>
      </c>
      <c r="I802" s="34" t="s">
        <v>6</v>
      </c>
    </row>
    <row r="803" spans="1:11" ht="99">
      <c r="A803" s="36">
        <f>COUNTA($D$4:D803)</f>
        <v>687</v>
      </c>
      <c r="B803" s="38" t="s">
        <v>558</v>
      </c>
      <c r="C803" s="38"/>
      <c r="D803" s="36" t="s">
        <v>28</v>
      </c>
      <c r="E803" s="35"/>
      <c r="F803" s="38"/>
      <c r="G803" s="38" t="s">
        <v>560</v>
      </c>
      <c r="H803" s="36" t="s">
        <v>5</v>
      </c>
      <c r="I803" s="34" t="s">
        <v>6</v>
      </c>
    </row>
    <row r="804" spans="1:11" ht="99">
      <c r="A804" s="36">
        <f>COUNTA($D$4:D804)</f>
        <v>688</v>
      </c>
      <c r="B804" s="38" t="s">
        <v>553</v>
      </c>
      <c r="C804" s="38"/>
      <c r="D804" s="36" t="s">
        <v>28</v>
      </c>
      <c r="E804" s="35"/>
      <c r="F804" s="38" t="s">
        <v>414</v>
      </c>
      <c r="G804" s="38" t="s">
        <v>561</v>
      </c>
      <c r="H804" s="36" t="s">
        <v>5</v>
      </c>
      <c r="I804" s="34" t="s">
        <v>6</v>
      </c>
    </row>
    <row r="805" spans="1:11" ht="231">
      <c r="A805" s="36">
        <f>COUNTA($D$4:D805)</f>
        <v>689</v>
      </c>
      <c r="B805" s="38" t="s">
        <v>554</v>
      </c>
      <c r="C805" s="38"/>
      <c r="D805" s="36" t="s">
        <v>28</v>
      </c>
      <c r="E805" s="35"/>
      <c r="F805" s="38" t="s">
        <v>414</v>
      </c>
      <c r="G805" s="38" t="s">
        <v>565</v>
      </c>
      <c r="H805" s="36" t="s">
        <v>5</v>
      </c>
      <c r="I805" s="34" t="s">
        <v>7</v>
      </c>
    </row>
    <row r="806" spans="1:11" ht="33">
      <c r="A806" s="36">
        <f>COUNTA($D$4:D806)</f>
        <v>690</v>
      </c>
      <c r="B806" s="38" t="s">
        <v>555</v>
      </c>
      <c r="C806" s="38"/>
      <c r="D806" s="36" t="s">
        <v>28</v>
      </c>
      <c r="E806" s="35"/>
      <c r="F806" s="38" t="s">
        <v>414</v>
      </c>
      <c r="G806" s="38" t="s">
        <v>566</v>
      </c>
      <c r="H806" s="36" t="s">
        <v>5</v>
      </c>
      <c r="I806" s="34" t="s">
        <v>7</v>
      </c>
    </row>
    <row r="807" spans="1:11" ht="280.5">
      <c r="A807" s="36">
        <f>COUNTA($D$4:D807)</f>
        <v>691</v>
      </c>
      <c r="B807" s="37" t="s">
        <v>562</v>
      </c>
      <c r="C807" s="38"/>
      <c r="D807" s="34" t="s">
        <v>28</v>
      </c>
      <c r="E807" s="35"/>
      <c r="F807" s="37" t="s">
        <v>329</v>
      </c>
      <c r="G807" s="38" t="s">
        <v>563</v>
      </c>
      <c r="H807" s="36" t="s">
        <v>5</v>
      </c>
      <c r="I807" s="34" t="s">
        <v>8</v>
      </c>
    </row>
    <row r="808" spans="1:11" ht="99">
      <c r="A808" s="36">
        <f>COUNTA($D$4:D808)</f>
        <v>692</v>
      </c>
      <c r="B808" s="62" t="s">
        <v>545</v>
      </c>
      <c r="C808" s="28"/>
      <c r="D808" s="34" t="s">
        <v>547</v>
      </c>
      <c r="E808" s="35"/>
      <c r="F808" s="35"/>
      <c r="G808" s="38" t="s">
        <v>658</v>
      </c>
      <c r="H808" s="36" t="s">
        <v>5</v>
      </c>
      <c r="I808" s="34" t="s">
        <v>6</v>
      </c>
    </row>
    <row r="809" spans="1:11" ht="33">
      <c r="A809" s="36">
        <f>COUNTA($D$4:D809)</f>
        <v>693</v>
      </c>
      <c r="B809" s="62" t="s">
        <v>546</v>
      </c>
      <c r="C809" s="35"/>
      <c r="D809" s="34" t="s">
        <v>547</v>
      </c>
      <c r="E809" s="35"/>
      <c r="F809" s="35"/>
      <c r="G809" s="37" t="s">
        <v>564</v>
      </c>
      <c r="H809" s="36" t="s">
        <v>5</v>
      </c>
      <c r="I809" s="34" t="s">
        <v>6</v>
      </c>
    </row>
    <row r="810" spans="1:11" ht="16.5">
      <c r="A810" s="25"/>
      <c r="B810" s="26"/>
      <c r="D810" s="22"/>
      <c r="E810" s="16"/>
      <c r="F810" s="16"/>
      <c r="G810" s="27"/>
      <c r="H810" s="12"/>
      <c r="I810" s="12"/>
    </row>
    <row r="811" spans="1:11" ht="16.5">
      <c r="A811" s="23"/>
      <c r="B811" s="24"/>
      <c r="D811" s="22"/>
      <c r="E811" s="16"/>
      <c r="F811" s="16"/>
      <c r="G811" s="19"/>
    </row>
    <row r="812" spans="1:11" ht="15.75">
      <c r="A812" s="17"/>
      <c r="B812" s="18"/>
      <c r="C812" s="29"/>
      <c r="D812" s="20"/>
    </row>
    <row r="816" spans="1:11">
      <c r="I816" s="13" t="s">
        <v>5</v>
      </c>
      <c r="J816" s="12" t="s">
        <v>10</v>
      </c>
      <c r="K816" s="12" t="s">
        <v>12</v>
      </c>
    </row>
    <row r="817" spans="8:11" ht="15.75">
      <c r="H817" s="15" t="s">
        <v>8</v>
      </c>
      <c r="I817" s="13">
        <f>COUNTIFS($I$4:$I$815,H817,$H$4:$H$815,$I$816)</f>
        <v>3</v>
      </c>
      <c r="J817" s="13">
        <f>COUNTIFS($I$4:$I$815,H817,$H$4:$H$815,$J$816)</f>
        <v>0</v>
      </c>
      <c r="K817" s="13">
        <f>COUNTIFS($I$4:$I$815,H817,$H$4:$H$815,$K$816)</f>
        <v>0</v>
      </c>
    </row>
    <row r="818" spans="8:11" ht="15.75">
      <c r="H818" s="15" t="s">
        <v>7</v>
      </c>
      <c r="I818" s="13">
        <f>COUNTIFS($I$4:$I$815,H818,$H$4:$H$815,$I$816)</f>
        <v>134</v>
      </c>
      <c r="J818" s="13">
        <f>COUNTIFS($I$4:$I$815,H818,$H$4:$H$815,$J$816)</f>
        <v>0</v>
      </c>
      <c r="K818" s="13">
        <f>COUNTIFS($I$4:$I$815,H818,$H$4:$H$815,$K$816)</f>
        <v>0</v>
      </c>
    </row>
    <row r="819" spans="8:11" ht="15.75">
      <c r="H819" s="15" t="s">
        <v>6</v>
      </c>
      <c r="I819" s="13">
        <f>COUNTIFS($I$4:$I$815,H819,$H$4:$H$815,$I$816)</f>
        <v>556</v>
      </c>
      <c r="J819" s="13">
        <f>COUNTIFS($I$4:$I$815,H819,$H$4:$H$815,$J$816)</f>
        <v>0</v>
      </c>
      <c r="K819" s="13">
        <f>COUNTIFS($I$4:$I$815,H819,$H$4:$H$815,$K$816)</f>
        <v>0</v>
      </c>
    </row>
    <row r="820" spans="8:11">
      <c r="I820" s="13">
        <f>SUM(I817:I819)</f>
        <v>693</v>
      </c>
      <c r="J820" s="13">
        <f>SUM(J817:J819)</f>
        <v>0</v>
      </c>
      <c r="K820" s="13">
        <f>SUM(K817:K819)</f>
        <v>0</v>
      </c>
    </row>
  </sheetData>
  <autoFilter ref="A3:I809" xr:uid="{F81B8176-B68F-4DCF-AEE6-EBD7F557CB93}"/>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DB6A8-EF9D-40AB-A1FB-18FBAD360866}">
  <dimension ref="A1:G9"/>
  <sheetViews>
    <sheetView workbookViewId="0">
      <selection activeCell="C9" sqref="C9"/>
    </sheetView>
  </sheetViews>
  <sheetFormatPr defaultRowHeight="15.75"/>
  <cols>
    <col min="1" max="1" width="9.140625" style="10" customWidth="1"/>
    <col min="2" max="2" width="35.85546875" customWidth="1"/>
    <col min="3" max="3" width="11.42578125" customWidth="1"/>
    <col min="4" max="4" width="47.85546875" customWidth="1"/>
    <col min="7" max="7" width="12.140625" bestFit="1" customWidth="1"/>
  </cols>
  <sheetData>
    <row r="1" spans="1:7" ht="57" customHeight="1">
      <c r="A1" s="67" t="s">
        <v>15</v>
      </c>
      <c r="B1" s="67"/>
      <c r="C1" s="67"/>
      <c r="D1" s="67"/>
    </row>
    <row r="2" spans="1:7" ht="16.5">
      <c r="A2" s="68" t="s">
        <v>0</v>
      </c>
      <c r="B2" s="68"/>
      <c r="C2" s="68"/>
      <c r="D2" s="68"/>
    </row>
    <row r="3" spans="1:7" ht="47.25">
      <c r="A3" s="1" t="s">
        <v>1</v>
      </c>
      <c r="B3" s="1" t="s">
        <v>16</v>
      </c>
      <c r="C3" s="1" t="s">
        <v>17</v>
      </c>
      <c r="D3" s="1" t="s">
        <v>3</v>
      </c>
    </row>
    <row r="4" spans="1:7" ht="24" customHeight="1">
      <c r="A4" s="2">
        <v>1</v>
      </c>
      <c r="B4" s="3" t="s">
        <v>18</v>
      </c>
      <c r="C4" s="4" t="e">
        <f>#REF!</f>
        <v>#REF!</v>
      </c>
      <c r="D4" s="5" t="s">
        <v>19</v>
      </c>
      <c r="G4" s="6"/>
    </row>
    <row r="5" spans="1:7" ht="24" customHeight="1">
      <c r="A5" s="2">
        <f>A4+1</f>
        <v>2</v>
      </c>
      <c r="B5" s="3" t="s">
        <v>20</v>
      </c>
      <c r="C5" s="4" t="e">
        <f>#REF!</f>
        <v>#REF!</v>
      </c>
      <c r="D5" s="5" t="s">
        <v>21</v>
      </c>
    </row>
    <row r="6" spans="1:7" ht="24" customHeight="1">
      <c r="A6" s="2">
        <f>A5+1</f>
        <v>3</v>
      </c>
      <c r="B6" s="3" t="s">
        <v>22</v>
      </c>
      <c r="C6" s="4" t="e">
        <f>#REF!</f>
        <v>#REF!</v>
      </c>
      <c r="D6" s="5" t="s">
        <v>23</v>
      </c>
    </row>
    <row r="7" spans="1:7" ht="24" customHeight="1">
      <c r="A7" s="2">
        <f>A6+1</f>
        <v>4</v>
      </c>
      <c r="B7" s="3" t="s">
        <v>24</v>
      </c>
      <c r="C7" s="4" t="e">
        <f>#REF!</f>
        <v>#REF!</v>
      </c>
      <c r="D7" s="7" t="s">
        <v>25</v>
      </c>
    </row>
    <row r="8" spans="1:7" ht="36" customHeight="1">
      <c r="A8" s="2"/>
      <c r="B8" s="8" t="s">
        <v>26</v>
      </c>
      <c r="C8" s="4" t="e">
        <f>SUM(C4:C7)/4</f>
        <v>#REF!</v>
      </c>
      <c r="D8" s="9" t="s">
        <v>27</v>
      </c>
    </row>
    <row r="9" spans="1:7">
      <c r="B9" s="11"/>
      <c r="C9" s="11"/>
      <c r="D9" s="11"/>
    </row>
  </sheetData>
  <mergeCells count="2">
    <mergeCell ref="A1:D1"/>
    <mergeCell ref="A2:D2"/>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c3a962ac-d137-4ba2-b68e-9374e9439fea" xsi:nil="true"/>
    <lcf76f155ced4ddcb4097134ff3c332f xmlns="a2e8399f-5aad-412c-82f7-06a75e4527bc">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651A8DA01D20F4BA6F87A97A00667E5" ma:contentTypeVersion="10" ma:contentTypeDescription="Create a new document." ma:contentTypeScope="" ma:versionID="6b95a97f1c4af2d27024deb70b0b8ece">
  <xsd:schema xmlns:xsd="http://www.w3.org/2001/XMLSchema" xmlns:xs="http://www.w3.org/2001/XMLSchema" xmlns:p="http://schemas.microsoft.com/office/2006/metadata/properties" xmlns:ns2="a2e8399f-5aad-412c-82f7-06a75e4527bc" xmlns:ns3="c3a962ac-d137-4ba2-b68e-9374e9439fea" targetNamespace="http://schemas.microsoft.com/office/2006/metadata/properties" ma:root="true" ma:fieldsID="39a3cd3462a7d8f1093ce9788d70507e" ns2:_="" ns3:_="">
    <xsd:import namespace="a2e8399f-5aad-412c-82f7-06a75e4527bc"/>
    <xsd:import namespace="c3a962ac-d137-4ba2-b68e-9374e9439fe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2e8399f-5aad-412c-82f7-06a75e4527b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c97e1a9-fa82-4965-b735-0e061acf9268"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3a962ac-d137-4ba2-b68e-9374e9439fe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64923c1-c64c-441c-ac2a-a51083a7caf6}" ma:internalName="TaxCatchAll" ma:showField="CatchAllData" ma:web="c3a962ac-d137-4ba2-b68e-9374e9439fe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C9E3F3D-9074-4B1E-9378-2C73AFA62194}">
  <ds:schemaRefs>
    <ds:schemaRef ds:uri="http://schemas.microsoft.com/office/2006/documentManagement/types"/>
    <ds:schemaRef ds:uri="http://schemas.microsoft.com/sharepoint/v3"/>
    <ds:schemaRef ds:uri="http://schemas.microsoft.com/office/infopath/2007/PartnerControls"/>
    <ds:schemaRef ds:uri="http://schemas.microsoft.com/office/2006/metadata/properties"/>
    <ds:schemaRef ds:uri="http://purl.org/dc/dcmitype/"/>
    <ds:schemaRef ds:uri="http://purl.org/dc/elements/1.1/"/>
    <ds:schemaRef ds:uri="http://www.w3.org/XML/1998/namespace"/>
    <ds:schemaRef ds:uri="5e7ce613-1760-4596-b379-a5179a135596"/>
    <ds:schemaRef ds:uri="http://purl.org/dc/terms/"/>
    <ds:schemaRef ds:uri="http://schemas.openxmlformats.org/package/2006/metadata/core-properties"/>
    <ds:schemaRef ds:uri="1eb1900c-4cbe-499d-a9fb-2e494b491ecf"/>
  </ds:schemaRefs>
</ds:datastoreItem>
</file>

<file path=customXml/itemProps2.xml><?xml version="1.0" encoding="utf-8"?>
<ds:datastoreItem xmlns:ds="http://schemas.openxmlformats.org/officeDocument/2006/customXml" ds:itemID="{B073E744-6706-4E9E-AE73-E29DF97D952A}"/>
</file>

<file path=customXml/itemProps3.xml><?xml version="1.0" encoding="utf-8"?>
<ds:datastoreItem xmlns:ds="http://schemas.openxmlformats.org/officeDocument/2006/customXml" ds:itemID="{86F1EF2C-9968-431B-89B0-A0E2A5A29AC9}">
  <ds:schemaRefs>
    <ds:schemaRef ds:uri="http://schemas.microsoft.com/sharepoint/v3/contenttype/forms"/>
  </ds:schemaRefs>
</ds:datastoreItem>
</file>

<file path=docMetadata/LabelInfo.xml><?xml version="1.0" encoding="utf-8"?>
<clbl:labelList xmlns:clbl="http://schemas.microsoft.com/office/2020/mipLabelMetadata">
  <clbl:label id="{f01e930a-b52e-42b1-b70f-a8882b5d043b}" enabled="0" method="" siteId="{f01e930a-b52e-42b1-b70f-a8882b5d043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DS Chức năng</vt:lpstr>
      <vt:lpstr>4.6. Bảng lương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 Linh</dc:creator>
  <cp:keywords/>
  <dc:description/>
  <cp:lastModifiedBy>Tiến Đỗ Văn</cp:lastModifiedBy>
  <cp:revision/>
  <dcterms:created xsi:type="dcterms:W3CDTF">2008-09-17T02:30:34Z</dcterms:created>
  <dcterms:modified xsi:type="dcterms:W3CDTF">2026-02-26T06:58:37Z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0x010100C651A8DA01D20F4BA6F87A97A00667E5</vt:lpwstr>
  </property>
  <property fmtid="{D5CDD505-2E9C-101B-9397-08002B2CF9AE}" pid="3" name="MediaServiceImageTags">
    <vt:lpwstr/>
  </property>
</Properties>
</file>