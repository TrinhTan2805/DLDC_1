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d.docs.live.net/1f7f31b6b0745689/FIS GS/NTS Dung chung/TuVan/"/>
    </mc:Choice>
  </mc:AlternateContent>
  <xr:revisionPtr revIDLastSave="8" documentId="8_{575BB323-A8B4-4035-B351-FAFB6D9BC050}" xr6:coauthVersionLast="47" xr6:coauthVersionMax="47" xr10:uidLastSave="{A3ED0CAF-ECA3-492B-BA41-2A9A8945CB5B}"/>
  <bookViews>
    <workbookView xWindow="-120" yWindow="0" windowWidth="13830" windowHeight="15585" tabRatio="1000" xr2:uid="{BD3B36B1-CEEE-4380-852C-C048FD8354ED}"/>
  </bookViews>
  <sheets>
    <sheet name="DS Chức năng" sheetId="54" r:id="rId1"/>
    <sheet name="4.6. Bảng lương" sheetId="38" state="hidden" r:id="rId2"/>
  </sheets>
  <definedNames>
    <definedName name="_xlnm._FilterDatabase" localSheetId="0" hidden="1">'DS Chức năng'!$A$3:$H$809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0" i="54" l="1"/>
  <c r="A211" i="54"/>
  <c r="A696" i="54"/>
  <c r="B696" i="54"/>
  <c r="A697" i="54"/>
  <c r="B697" i="54"/>
  <c r="A698" i="54"/>
  <c r="B698" i="54"/>
  <c r="A673" i="54"/>
  <c r="B673" i="54"/>
  <c r="B614" i="54"/>
  <c r="B613" i="54"/>
  <c r="B612" i="54"/>
  <c r="B611" i="54"/>
  <c r="B610" i="54"/>
  <c r="B609" i="54"/>
  <c r="B608" i="54"/>
  <c r="B607" i="54"/>
  <c r="B606" i="54"/>
  <c r="B605" i="54"/>
  <c r="B604" i="54"/>
  <c r="B603" i="54"/>
  <c r="A614" i="54"/>
  <c r="A613" i="54"/>
  <c r="A612" i="54"/>
  <c r="A611" i="54"/>
  <c r="A610" i="54"/>
  <c r="A609" i="54"/>
  <c r="A608" i="54"/>
  <c r="A607" i="54"/>
  <c r="A606" i="54"/>
  <c r="A605" i="54"/>
  <c r="A604" i="54"/>
  <c r="A603" i="54"/>
  <c r="A602" i="54"/>
  <c r="A601" i="54"/>
  <c r="B434" i="54"/>
  <c r="A434" i="54"/>
  <c r="B433" i="54"/>
  <c r="A433" i="54"/>
  <c r="B432" i="54"/>
  <c r="A432" i="54"/>
  <c r="B431" i="54"/>
  <c r="A431" i="54"/>
  <c r="B430" i="54"/>
  <c r="A430" i="54"/>
  <c r="B429" i="54"/>
  <c r="A429" i="54"/>
  <c r="B428" i="54"/>
  <c r="A428" i="54"/>
  <c r="B427" i="54"/>
  <c r="A427" i="54"/>
  <c r="B426" i="54"/>
  <c r="A426" i="54"/>
  <c r="B365" i="54"/>
  <c r="A365" i="54"/>
  <c r="B364" i="54"/>
  <c r="A364" i="54"/>
  <c r="B363" i="54"/>
  <c r="A363" i="54"/>
  <c r="B198" i="54"/>
  <c r="B199" i="54"/>
  <c r="B200" i="54"/>
  <c r="B201" i="54"/>
  <c r="B202" i="54"/>
  <c r="B203" i="54"/>
  <c r="B204" i="54"/>
  <c r="B205" i="54"/>
  <c r="B206" i="54"/>
  <c r="B207" i="54"/>
  <c r="B208" i="54"/>
  <c r="B209" i="54"/>
  <c r="A209" i="54"/>
  <c r="A208" i="54"/>
  <c r="A207" i="54"/>
  <c r="A206" i="54"/>
  <c r="A205" i="54"/>
  <c r="A204" i="54"/>
  <c r="A203" i="54"/>
  <c r="A202" i="54"/>
  <c r="A201" i="54"/>
  <c r="A200" i="54"/>
  <c r="A199" i="54"/>
  <c r="A198" i="54"/>
  <c r="A212" i="54" l="1"/>
  <c r="B212" i="54"/>
  <c r="B211" i="54"/>
  <c r="B210" i="54"/>
  <c r="A167" i="54"/>
  <c r="A111" i="54"/>
  <c r="B111" i="54"/>
  <c r="A112" i="54"/>
  <c r="B112" i="54"/>
  <c r="A113" i="54"/>
  <c r="B113" i="54"/>
  <c r="A88" i="54"/>
  <c r="B88" i="54"/>
  <c r="A20" i="54"/>
  <c r="B20" i="54"/>
  <c r="A21" i="54"/>
  <c r="B21" i="54"/>
  <c r="A22" i="54"/>
  <c r="B22" i="54"/>
  <c r="A23" i="54"/>
  <c r="B23" i="54"/>
  <c r="A24" i="54"/>
  <c r="B24" i="54"/>
  <c r="A25" i="54"/>
  <c r="B25" i="54"/>
  <c r="A26" i="54"/>
  <c r="B26" i="54"/>
  <c r="A27" i="54"/>
  <c r="B27" i="54"/>
  <c r="A28" i="54"/>
  <c r="B28" i="54"/>
  <c r="A29" i="54"/>
  <c r="B29" i="54"/>
  <c r="B19" i="54"/>
  <c r="A19" i="54"/>
  <c r="A9" i="54"/>
  <c r="B9" i="54"/>
  <c r="B18" i="54"/>
  <c r="A18" i="54"/>
  <c r="A789" i="54"/>
  <c r="A761" i="54"/>
  <c r="A785" i="54"/>
  <c r="J818" i="54"/>
  <c r="J819" i="54"/>
  <c r="J817" i="54"/>
  <c r="I818" i="54"/>
  <c r="I819" i="54"/>
  <c r="I817" i="54"/>
  <c r="H818" i="54"/>
  <c r="H819" i="54"/>
  <c r="H817" i="54"/>
  <c r="B726" i="54"/>
  <c r="A726" i="54"/>
  <c r="B725" i="54"/>
  <c r="A725" i="54"/>
  <c r="B724" i="54"/>
  <c r="A724" i="54"/>
  <c r="B723" i="54"/>
  <c r="A723" i="54"/>
  <c r="B722" i="54"/>
  <c r="A722" i="54"/>
  <c r="B721" i="54"/>
  <c r="A721" i="54"/>
  <c r="A677" i="54"/>
  <c r="B677" i="54"/>
  <c r="A678" i="54"/>
  <c r="B678" i="54"/>
  <c r="A679" i="54"/>
  <c r="B679" i="54"/>
  <c r="A680" i="54"/>
  <c r="B680" i="54"/>
  <c r="A681" i="54"/>
  <c r="B681" i="54"/>
  <c r="A682" i="54"/>
  <c r="B682" i="54"/>
  <c r="A683" i="54"/>
  <c r="B683" i="54"/>
  <c r="A684" i="54"/>
  <c r="B684" i="54"/>
  <c r="A685" i="54"/>
  <c r="B685" i="54"/>
  <c r="A686" i="54"/>
  <c r="B686" i="54"/>
  <c r="A687" i="54"/>
  <c r="B687" i="54"/>
  <c r="A688" i="54"/>
  <c r="B688" i="54"/>
  <c r="A689" i="54"/>
  <c r="B689" i="54"/>
  <c r="A690" i="54"/>
  <c r="B690" i="54"/>
  <c r="A691" i="54"/>
  <c r="B691" i="54"/>
  <c r="B514" i="54"/>
  <c r="A514" i="54"/>
  <c r="B513" i="54"/>
  <c r="A513" i="54"/>
  <c r="B512" i="54"/>
  <c r="A512" i="54"/>
  <c r="B511" i="54"/>
  <c r="A511" i="54"/>
  <c r="B510" i="54"/>
  <c r="A510" i="54"/>
  <c r="B509" i="54"/>
  <c r="A509" i="54"/>
  <c r="B508" i="54"/>
  <c r="A508" i="54"/>
  <c r="B507" i="54"/>
  <c r="A507" i="54"/>
  <c r="B506" i="54"/>
  <c r="A506" i="54"/>
  <c r="B505" i="54"/>
  <c r="A505" i="54"/>
  <c r="B504" i="54"/>
  <c r="A504" i="54"/>
  <c r="B503" i="54"/>
  <c r="A503" i="54"/>
  <c r="B502" i="54"/>
  <c r="A502" i="54"/>
  <c r="B501" i="54"/>
  <c r="A501" i="54"/>
  <c r="B500" i="54"/>
  <c r="A500" i="54"/>
  <c r="B499" i="54"/>
  <c r="A499" i="54"/>
  <c r="B498" i="54"/>
  <c r="A498" i="54"/>
  <c r="B497" i="54"/>
  <c r="A497" i="54"/>
  <c r="B414" i="54"/>
  <c r="A414" i="54"/>
  <c r="B413" i="54"/>
  <c r="A413" i="54"/>
  <c r="B412" i="54"/>
  <c r="A412" i="54"/>
  <c r="B405" i="54"/>
  <c r="A405" i="54"/>
  <c r="B404" i="54"/>
  <c r="A404" i="54"/>
  <c r="B403" i="54"/>
  <c r="A403" i="54"/>
  <c r="B408" i="54"/>
  <c r="A408" i="54"/>
  <c r="B407" i="54"/>
  <c r="A407" i="54"/>
  <c r="B406" i="54"/>
  <c r="A406" i="54"/>
  <c r="B411" i="54"/>
  <c r="A411" i="54"/>
  <c r="B410" i="54"/>
  <c r="A410" i="54"/>
  <c r="B409" i="54"/>
  <c r="A409" i="54"/>
  <c r="B375" i="54"/>
  <c r="A375" i="54"/>
  <c r="B374" i="54"/>
  <c r="A374" i="54"/>
  <c r="B373" i="54"/>
  <c r="A373" i="54"/>
  <c r="B372" i="54"/>
  <c r="A372" i="54"/>
  <c r="B371" i="54"/>
  <c r="A371" i="54"/>
  <c r="B370" i="54"/>
  <c r="A370" i="54"/>
  <c r="B381" i="54"/>
  <c r="A381" i="54"/>
  <c r="B380" i="54"/>
  <c r="A380" i="54"/>
  <c r="B379" i="54"/>
  <c r="A379" i="54"/>
  <c r="B378" i="54"/>
  <c r="A378" i="54"/>
  <c r="B377" i="54"/>
  <c r="A377" i="54"/>
  <c r="B376" i="54"/>
  <c r="A376" i="54"/>
  <c r="B387" i="54"/>
  <c r="A387" i="54"/>
  <c r="B386" i="54"/>
  <c r="A386" i="54"/>
  <c r="B385" i="54"/>
  <c r="A385" i="54"/>
  <c r="B384" i="54"/>
  <c r="A384" i="54"/>
  <c r="B383" i="54"/>
  <c r="A383" i="54"/>
  <c r="B382" i="54"/>
  <c r="A382" i="54"/>
  <c r="B393" i="54"/>
  <c r="A393" i="54"/>
  <c r="B392" i="54"/>
  <c r="A392" i="54"/>
  <c r="B391" i="54"/>
  <c r="A391" i="54"/>
  <c r="B390" i="54"/>
  <c r="A390" i="54"/>
  <c r="B389" i="54"/>
  <c r="A389" i="54"/>
  <c r="B388" i="54"/>
  <c r="A388" i="54"/>
  <c r="B399" i="54"/>
  <c r="A399" i="54"/>
  <c r="B398" i="54"/>
  <c r="A398" i="54"/>
  <c r="B397" i="54"/>
  <c r="A397" i="54"/>
  <c r="B396" i="54"/>
  <c r="A396" i="54"/>
  <c r="B395" i="54"/>
  <c r="A395" i="54"/>
  <c r="B394" i="54"/>
  <c r="A394" i="54"/>
  <c r="B417" i="54"/>
  <c r="A417" i="54"/>
  <c r="B416" i="54"/>
  <c r="A416" i="54"/>
  <c r="B415" i="54"/>
  <c r="A415" i="54"/>
  <c r="B140" i="54"/>
  <c r="A140" i="54"/>
  <c r="B139" i="54"/>
  <c r="A139" i="54"/>
  <c r="B138" i="54"/>
  <c r="A138" i="54"/>
  <c r="B137" i="54"/>
  <c r="A137" i="54"/>
  <c r="B136" i="54"/>
  <c r="A136" i="54"/>
  <c r="B135" i="54"/>
  <c r="A135" i="54"/>
  <c r="A92" i="54"/>
  <c r="B92" i="54"/>
  <c r="A93" i="54"/>
  <c r="B93" i="54"/>
  <c r="A94" i="54"/>
  <c r="B94" i="54"/>
  <c r="A95" i="54"/>
  <c r="B95" i="54"/>
  <c r="A96" i="54"/>
  <c r="B96" i="54"/>
  <c r="A97" i="54"/>
  <c r="B97" i="54"/>
  <c r="A98" i="54"/>
  <c r="B98" i="54"/>
  <c r="A99" i="54"/>
  <c r="B99" i="54"/>
  <c r="A100" i="54"/>
  <c r="B100" i="54"/>
  <c r="A101" i="54"/>
  <c r="B101" i="54"/>
  <c r="A102" i="54"/>
  <c r="B102" i="54"/>
  <c r="A103" i="54"/>
  <c r="B103" i="54"/>
  <c r="A104" i="54"/>
  <c r="B104" i="54"/>
  <c r="A105" i="54"/>
  <c r="B105" i="54"/>
  <c r="A106" i="54"/>
  <c r="B106" i="54"/>
  <c r="J820" i="54" l="1"/>
  <c r="I820" i="54"/>
  <c r="B197" i="54" l="1"/>
  <c r="A804" i="54"/>
  <c r="A803" i="54"/>
  <c r="A806" i="54"/>
  <c r="A805" i="54"/>
  <c r="A802" i="54"/>
  <c r="A799" i="54"/>
  <c r="A798" i="54"/>
  <c r="A808" i="54"/>
  <c r="A809" i="54"/>
  <c r="A552" i="54"/>
  <c r="A553" i="54"/>
  <c r="A787" i="54" l="1"/>
  <c r="A764" i="54"/>
  <c r="A767" i="54"/>
  <c r="A783" i="54"/>
  <c r="A781" i="54"/>
  <c r="A779" i="54"/>
  <c r="A777" i="54"/>
  <c r="A775" i="54"/>
  <c r="A773" i="54"/>
  <c r="A771" i="54"/>
  <c r="A769" i="54"/>
  <c r="A759" i="54"/>
  <c r="A758" i="54"/>
  <c r="A757" i="54"/>
  <c r="A756" i="54"/>
  <c r="A755" i="54"/>
  <c r="A754" i="54"/>
  <c r="A753" i="54"/>
  <c r="A752" i="54"/>
  <c r="A751" i="54"/>
  <c r="A750" i="54"/>
  <c r="A749" i="54"/>
  <c r="A748" i="54"/>
  <c r="A747" i="54"/>
  <c r="A746" i="54"/>
  <c r="A745" i="54"/>
  <c r="A744" i="54"/>
  <c r="A743" i="54"/>
  <c r="A742" i="54"/>
  <c r="A741" i="54"/>
  <c r="A740" i="54"/>
  <c r="A739" i="54"/>
  <c r="A738" i="54"/>
  <c r="A737" i="54"/>
  <c r="A736" i="54"/>
  <c r="A735" i="54"/>
  <c r="A734" i="54"/>
  <c r="A733" i="54"/>
  <c r="A732" i="54"/>
  <c r="A731" i="54"/>
  <c r="A730" i="54"/>
  <c r="A729" i="54"/>
  <c r="A728" i="54"/>
  <c r="A718" i="54"/>
  <c r="A717" i="54"/>
  <c r="A716" i="54"/>
  <c r="A715" i="54"/>
  <c r="A714" i="54"/>
  <c r="A713" i="54"/>
  <c r="A712" i="54"/>
  <c r="A711" i="54"/>
  <c r="A710" i="54"/>
  <c r="A709" i="54"/>
  <c r="A708" i="54"/>
  <c r="A707" i="54"/>
  <c r="A706" i="54"/>
  <c r="A705" i="54"/>
  <c r="A704" i="54"/>
  <c r="A703" i="54"/>
  <c r="A702" i="54"/>
  <c r="A701" i="54"/>
  <c r="A700" i="54"/>
  <c r="A699" i="54"/>
  <c r="A695" i="54"/>
  <c r="A694" i="54"/>
  <c r="A676" i="54"/>
  <c r="A674" i="54"/>
  <c r="A672" i="54"/>
  <c r="A671" i="54"/>
  <c r="A670" i="54"/>
  <c r="A669" i="54"/>
  <c r="A667" i="54"/>
  <c r="A666" i="54"/>
  <c r="A664" i="54"/>
  <c r="A663" i="54"/>
  <c r="A662" i="54"/>
  <c r="A661" i="54"/>
  <c r="A660" i="54"/>
  <c r="A657" i="54"/>
  <c r="A656" i="54"/>
  <c r="A655" i="54"/>
  <c r="A654" i="54"/>
  <c r="A651" i="54"/>
  <c r="A650" i="54"/>
  <c r="A649" i="54"/>
  <c r="A648" i="54"/>
  <c r="A647" i="54"/>
  <c r="A646" i="54"/>
  <c r="A645" i="54"/>
  <c r="A644" i="54"/>
  <c r="A643" i="54"/>
  <c r="A642" i="54"/>
  <c r="A641" i="54"/>
  <c r="A640" i="54"/>
  <c r="A639" i="54"/>
  <c r="A638" i="54"/>
  <c r="A637" i="54"/>
  <c r="A636" i="54"/>
  <c r="A633" i="54"/>
  <c r="A632" i="54"/>
  <c r="A631" i="54"/>
  <c r="A629" i="54"/>
  <c r="A628" i="54"/>
  <c r="A627" i="54"/>
  <c r="A626" i="54"/>
  <c r="A625" i="54"/>
  <c r="A624" i="54"/>
  <c r="A623" i="54"/>
  <c r="A622" i="54"/>
  <c r="A621" i="54"/>
  <c r="A620" i="54"/>
  <c r="A619" i="54"/>
  <c r="A618" i="54"/>
  <c r="A598" i="54"/>
  <c r="A597" i="54"/>
  <c r="A595" i="54"/>
  <c r="A594" i="54"/>
  <c r="A593" i="54"/>
  <c r="A592" i="54"/>
  <c r="A591" i="54"/>
  <c r="A590" i="54"/>
  <c r="A588" i="54"/>
  <c r="A587" i="54"/>
  <c r="A586" i="54"/>
  <c r="A585" i="54"/>
  <c r="A584" i="54"/>
  <c r="A582" i="54"/>
  <c r="A581" i="54"/>
  <c r="A580" i="54"/>
  <c r="A579" i="54"/>
  <c r="A578" i="54"/>
  <c r="A575" i="54"/>
  <c r="A574" i="54"/>
  <c r="A573" i="54"/>
  <c r="A571" i="54"/>
  <c r="A570" i="54"/>
  <c r="A569" i="54"/>
  <c r="A568" i="54"/>
  <c r="A567" i="54"/>
  <c r="A566" i="54"/>
  <c r="A565" i="54"/>
  <c r="A564" i="54"/>
  <c r="A562" i="54"/>
  <c r="A561" i="54"/>
  <c r="A560" i="54"/>
  <c r="A559" i="54"/>
  <c r="A558" i="54"/>
  <c r="A557" i="54"/>
  <c r="A554" i="54"/>
  <c r="A551" i="54"/>
  <c r="A549" i="54"/>
  <c r="A548" i="54"/>
  <c r="A547" i="54"/>
  <c r="A546" i="54"/>
  <c r="A544" i="54"/>
  <c r="A543" i="54"/>
  <c r="A542" i="54"/>
  <c r="A539" i="54"/>
  <c r="A538" i="54"/>
  <c r="A537" i="54"/>
  <c r="A536" i="54"/>
  <c r="A535" i="54"/>
  <c r="A534" i="54"/>
  <c r="A533" i="54"/>
  <c r="A531" i="54"/>
  <c r="A530" i="54"/>
  <c r="A529" i="54"/>
  <c r="A528" i="54"/>
  <c r="A527" i="54"/>
  <c r="A525" i="54"/>
  <c r="A524" i="54"/>
  <c r="A523" i="54"/>
  <c r="A522" i="54"/>
  <c r="A521" i="54"/>
  <c r="A520" i="54"/>
  <c r="A519" i="54"/>
  <c r="A518" i="54"/>
  <c r="A517" i="54"/>
  <c r="A494" i="54"/>
  <c r="A493" i="54"/>
  <c r="A492" i="54"/>
  <c r="A491" i="54"/>
  <c r="A490" i="54"/>
  <c r="A489" i="54"/>
  <c r="A488" i="54"/>
  <c r="A487" i="54"/>
  <c r="A486" i="54"/>
  <c r="A485" i="54"/>
  <c r="A484" i="54"/>
  <c r="A483" i="54"/>
  <c r="A482" i="54"/>
  <c r="A481" i="54"/>
  <c r="A480" i="54"/>
  <c r="A479" i="54"/>
  <c r="A478" i="54"/>
  <c r="A477" i="54"/>
  <c r="A476" i="54"/>
  <c r="A475" i="54"/>
  <c r="A474" i="54"/>
  <c r="A473" i="54"/>
  <c r="A472" i="54"/>
  <c r="A471" i="54"/>
  <c r="A470" i="54"/>
  <c r="A469" i="54"/>
  <c r="A468" i="54"/>
  <c r="A467" i="54"/>
  <c r="A466" i="54"/>
  <c r="A465" i="54"/>
  <c r="A464" i="54"/>
  <c r="A463" i="54"/>
  <c r="A462" i="54"/>
  <c r="A461" i="54"/>
  <c r="A460" i="54"/>
  <c r="A459" i="54"/>
  <c r="A458" i="54"/>
  <c r="A457" i="54"/>
  <c r="A456" i="54"/>
  <c r="A455" i="54"/>
  <c r="A454" i="54"/>
  <c r="A453" i="54"/>
  <c r="A452" i="54"/>
  <c r="A451" i="54"/>
  <c r="A450" i="54"/>
  <c r="A449" i="54"/>
  <c r="A448" i="54"/>
  <c r="A447" i="54"/>
  <c r="A446" i="54"/>
  <c r="A445" i="54"/>
  <c r="A444" i="54"/>
  <c r="A443" i="54"/>
  <c r="A442" i="54"/>
  <c r="A441" i="54"/>
  <c r="A440" i="54"/>
  <c r="A439" i="54"/>
  <c r="A438" i="54"/>
  <c r="A437" i="54"/>
  <c r="A436" i="54"/>
  <c r="A435" i="54"/>
  <c r="A425" i="54"/>
  <c r="A424" i="54"/>
  <c r="A423" i="54"/>
  <c r="A422" i="54"/>
  <c r="A421" i="54"/>
  <c r="A420" i="54"/>
  <c r="A402" i="54"/>
  <c r="A401" i="54"/>
  <c r="A400" i="54"/>
  <c r="A368" i="54"/>
  <c r="A367" i="54"/>
  <c r="A366" i="54"/>
  <c r="A362" i="54"/>
  <c r="A361" i="54"/>
  <c r="A360" i="54"/>
  <c r="A359" i="54"/>
  <c r="A358" i="54"/>
  <c r="A357" i="54"/>
  <c r="A356" i="54"/>
  <c r="A355" i="54"/>
  <c r="A354" i="54"/>
  <c r="A353" i="54"/>
  <c r="A352" i="54"/>
  <c r="A351" i="54"/>
  <c r="A349" i="54"/>
  <c r="A348" i="54"/>
  <c r="A347" i="54"/>
  <c r="A346" i="54"/>
  <c r="A345" i="54"/>
  <c r="A344" i="54"/>
  <c r="A342" i="54"/>
  <c r="A341" i="54"/>
  <c r="A340" i="54"/>
  <c r="A339" i="54"/>
  <c r="A338" i="54"/>
  <c r="A337" i="54"/>
  <c r="A336" i="54"/>
  <c r="A335" i="54"/>
  <c r="A334" i="54"/>
  <c r="A333" i="54"/>
  <c r="A332" i="54"/>
  <c r="A331" i="54"/>
  <c r="A330" i="54"/>
  <c r="A329" i="54"/>
  <c r="A328" i="54"/>
  <c r="A325" i="54"/>
  <c r="A324" i="54"/>
  <c r="A323" i="54"/>
  <c r="A322" i="54"/>
  <c r="A321" i="54"/>
  <c r="A320" i="54"/>
  <c r="A319" i="54"/>
  <c r="A318" i="54"/>
  <c r="A317" i="54"/>
  <c r="A316" i="54"/>
  <c r="A315" i="54"/>
  <c r="A314" i="54"/>
  <c r="A311" i="54"/>
  <c r="A310" i="54"/>
  <c r="A309" i="54"/>
  <c r="A308" i="54"/>
  <c r="A307" i="54"/>
  <c r="A306" i="54"/>
  <c r="A305" i="54"/>
  <c r="A304" i="54"/>
  <c r="A303" i="54"/>
  <c r="A302" i="54"/>
  <c r="A301" i="54"/>
  <c r="A300" i="54"/>
  <c r="A299" i="54"/>
  <c r="A298" i="54"/>
  <c r="A297" i="54"/>
  <c r="A296" i="54"/>
  <c r="A295" i="54"/>
  <c r="A294" i="54"/>
  <c r="A293" i="54"/>
  <c r="A292" i="54"/>
  <c r="A291" i="54"/>
  <c r="A290" i="54"/>
  <c r="A289" i="54"/>
  <c r="A288" i="54"/>
  <c r="A287" i="54"/>
  <c r="A286" i="54"/>
  <c r="A285" i="54"/>
  <c r="A284" i="54"/>
  <c r="A283" i="54"/>
  <c r="A282" i="54"/>
  <c r="A281" i="54"/>
  <c r="A280" i="54"/>
  <c r="A279" i="54"/>
  <c r="A278" i="54"/>
  <c r="A277" i="54"/>
  <c r="A276" i="54"/>
  <c r="A275" i="54"/>
  <c r="A274" i="54"/>
  <c r="A273" i="54"/>
  <c r="A272" i="54"/>
  <c r="A271" i="54"/>
  <c r="A270" i="54"/>
  <c r="A269" i="54"/>
  <c r="A268" i="54"/>
  <c r="A267" i="54"/>
  <c r="A266" i="54"/>
  <c r="A265" i="54"/>
  <c r="A264" i="54"/>
  <c r="A261" i="54"/>
  <c r="A260" i="54"/>
  <c r="A259" i="54"/>
  <c r="A258" i="54"/>
  <c r="A257" i="54"/>
  <c r="A256" i="54"/>
  <c r="A255" i="54"/>
  <c r="A254" i="54"/>
  <c r="A253" i="54"/>
  <c r="A251" i="54"/>
  <c r="A250" i="54"/>
  <c r="A249" i="54"/>
  <c r="A248" i="54"/>
  <c r="A247" i="54"/>
  <c r="A246" i="54"/>
  <c r="A245" i="54"/>
  <c r="A244" i="54"/>
  <c r="A243" i="54"/>
  <c r="A242" i="54"/>
  <c r="A241" i="54"/>
  <c r="A240" i="54"/>
  <c r="A239" i="54"/>
  <c r="A238" i="54"/>
  <c r="A237" i="54"/>
  <c r="A236" i="54"/>
  <c r="A235" i="54"/>
  <c r="A234" i="54"/>
  <c r="A233" i="54"/>
  <c r="A232" i="54"/>
  <c r="A231" i="54"/>
  <c r="A230" i="54"/>
  <c r="A229" i="54"/>
  <c r="A228" i="54"/>
  <c r="A219" i="54"/>
  <c r="A220" i="54"/>
  <c r="A221" i="54"/>
  <c r="A222" i="54"/>
  <c r="A223" i="54"/>
  <c r="A224" i="54"/>
  <c r="A225" i="54"/>
  <c r="A226" i="54"/>
  <c r="A227" i="54"/>
  <c r="B494" i="54"/>
  <c r="B493" i="54"/>
  <c r="B492" i="54"/>
  <c r="B491" i="54"/>
  <c r="B490" i="54"/>
  <c r="B489" i="54"/>
  <c r="B488" i="54"/>
  <c r="B487" i="54"/>
  <c r="B486" i="54"/>
  <c r="B485" i="54"/>
  <c r="B484" i="54"/>
  <c r="B483" i="54"/>
  <c r="B482" i="54"/>
  <c r="B481" i="54"/>
  <c r="B480" i="54"/>
  <c r="B479" i="54"/>
  <c r="B478" i="54"/>
  <c r="B477" i="54"/>
  <c r="B476" i="54"/>
  <c r="B475" i="54"/>
  <c r="B474" i="54"/>
  <c r="B473" i="54"/>
  <c r="B472" i="54"/>
  <c r="B471" i="54"/>
  <c r="B470" i="54"/>
  <c r="B469" i="54"/>
  <c r="B468" i="54"/>
  <c r="B467" i="54"/>
  <c r="B466" i="54"/>
  <c r="B465" i="54"/>
  <c r="B464" i="54"/>
  <c r="B463" i="54"/>
  <c r="B462" i="54"/>
  <c r="B461" i="54"/>
  <c r="B460" i="54"/>
  <c r="B459" i="54"/>
  <c r="B458" i="54"/>
  <c r="B457" i="54"/>
  <c r="B456" i="54"/>
  <c r="B455" i="54"/>
  <c r="B454" i="54"/>
  <c r="B453" i="54"/>
  <c r="B452" i="54"/>
  <c r="B451" i="54"/>
  <c r="B450" i="54"/>
  <c r="B449" i="54"/>
  <c r="B448" i="54"/>
  <c r="B447" i="54"/>
  <c r="B446" i="54"/>
  <c r="B445" i="54"/>
  <c r="B444" i="54"/>
  <c r="B443" i="54"/>
  <c r="B442" i="54"/>
  <c r="B441" i="54"/>
  <c r="B440" i="54"/>
  <c r="B439" i="54"/>
  <c r="B438" i="54"/>
  <c r="B437" i="54"/>
  <c r="B436" i="54"/>
  <c r="B435" i="54"/>
  <c r="B425" i="54"/>
  <c r="B424" i="54"/>
  <c r="B423" i="54"/>
  <c r="B422" i="54"/>
  <c r="B421" i="54"/>
  <c r="B420" i="54"/>
  <c r="B402" i="54"/>
  <c r="B401" i="54"/>
  <c r="B400" i="54"/>
  <c r="B368" i="54"/>
  <c r="B367" i="54"/>
  <c r="B366" i="54"/>
  <c r="B362" i="54"/>
  <c r="B361" i="54"/>
  <c r="B360" i="54"/>
  <c r="B359" i="54"/>
  <c r="B358" i="54"/>
  <c r="B357" i="54"/>
  <c r="B356" i="54"/>
  <c r="B355" i="54"/>
  <c r="B354" i="54"/>
  <c r="B353" i="54"/>
  <c r="B352" i="54"/>
  <c r="B351" i="54"/>
  <c r="B349" i="54"/>
  <c r="B348" i="54"/>
  <c r="B347" i="54"/>
  <c r="B346" i="54"/>
  <c r="B345" i="54"/>
  <c r="B344" i="54"/>
  <c r="B342" i="54"/>
  <c r="B341" i="54"/>
  <c r="B340" i="54"/>
  <c r="B339" i="54"/>
  <c r="B338" i="54"/>
  <c r="B337" i="54"/>
  <c r="B336" i="54"/>
  <c r="B335" i="54"/>
  <c r="B334" i="54"/>
  <c r="B333" i="54"/>
  <c r="B332" i="54"/>
  <c r="B331" i="54"/>
  <c r="B330" i="54"/>
  <c r="B329" i="54"/>
  <c r="B328" i="54"/>
  <c r="B325" i="54"/>
  <c r="B324" i="54"/>
  <c r="B323" i="54"/>
  <c r="B322" i="54"/>
  <c r="B321" i="54"/>
  <c r="B320" i="54"/>
  <c r="B319" i="54"/>
  <c r="B318" i="54"/>
  <c r="B317" i="54"/>
  <c r="B316" i="54"/>
  <c r="B315" i="54"/>
  <c r="B314" i="54"/>
  <c r="B311" i="54"/>
  <c r="B310" i="54"/>
  <c r="B309" i="54"/>
  <c r="B308" i="54"/>
  <c r="B307" i="54"/>
  <c r="B306" i="54"/>
  <c r="B305" i="54"/>
  <c r="B304" i="54"/>
  <c r="B303" i="54"/>
  <c r="B302" i="54"/>
  <c r="B301" i="54"/>
  <c r="B300" i="54"/>
  <c r="B299" i="54"/>
  <c r="B298" i="54"/>
  <c r="B297" i="54"/>
  <c r="B296" i="54"/>
  <c r="B295" i="54"/>
  <c r="B294" i="54"/>
  <c r="B293" i="54"/>
  <c r="B292" i="54"/>
  <c r="B291" i="54"/>
  <c r="B290" i="54"/>
  <c r="B289" i="54"/>
  <c r="B288" i="54"/>
  <c r="B287" i="54"/>
  <c r="B286" i="54"/>
  <c r="B285" i="54"/>
  <c r="B284" i="54"/>
  <c r="B283" i="54"/>
  <c r="B282" i="54"/>
  <c r="B281" i="54"/>
  <c r="B280" i="54"/>
  <c r="B279" i="54"/>
  <c r="B278" i="54"/>
  <c r="B277" i="54"/>
  <c r="B276" i="54"/>
  <c r="B275" i="54"/>
  <c r="B274" i="54"/>
  <c r="B273" i="54"/>
  <c r="B272" i="54"/>
  <c r="B271" i="54"/>
  <c r="B270" i="54"/>
  <c r="B269" i="54"/>
  <c r="B268" i="54"/>
  <c r="B267" i="54"/>
  <c r="B266" i="54"/>
  <c r="B265" i="54"/>
  <c r="B264" i="54"/>
  <c r="B261" i="54"/>
  <c r="B260" i="54"/>
  <c r="B259" i="54"/>
  <c r="B258" i="54"/>
  <c r="B257" i="54"/>
  <c r="B256" i="54"/>
  <c r="B255" i="54"/>
  <c r="B254" i="54"/>
  <c r="B253" i="54"/>
  <c r="B251" i="54"/>
  <c r="B250" i="54"/>
  <c r="B248" i="54"/>
  <c r="B247" i="54"/>
  <c r="B245" i="54"/>
  <c r="B244" i="54"/>
  <c r="B242" i="54"/>
  <c r="B241" i="54"/>
  <c r="B239" i="54"/>
  <c r="B238" i="54"/>
  <c r="B236" i="54"/>
  <c r="B235" i="54"/>
  <c r="B233" i="54"/>
  <c r="B232" i="54"/>
  <c r="B222" i="54"/>
  <c r="B223" i="54"/>
  <c r="B224" i="54"/>
  <c r="B225" i="54"/>
  <c r="B226" i="54"/>
  <c r="B227" i="54"/>
  <c r="B221" i="54"/>
  <c r="B220" i="54"/>
  <c r="B219" i="54"/>
  <c r="B230" i="54"/>
  <c r="B229" i="54"/>
  <c r="B228" i="54"/>
  <c r="B218" i="54"/>
  <c r="A218" i="54"/>
  <c r="B217" i="54"/>
  <c r="A217" i="54"/>
  <c r="B231" i="54"/>
  <c r="B234" i="54"/>
  <c r="B237" i="54"/>
  <c r="B240" i="54"/>
  <c r="B243" i="54"/>
  <c r="B246" i="54"/>
  <c r="B249" i="54"/>
  <c r="B216" i="54"/>
  <c r="A191" i="54"/>
  <c r="A188" i="54"/>
  <c r="A186" i="54"/>
  <c r="A184" i="54"/>
  <c r="A182" i="54"/>
  <c r="A179" i="54"/>
  <c r="A176" i="54"/>
  <c r="A173" i="54"/>
  <c r="A171" i="54"/>
  <c r="A166" i="54"/>
  <c r="A194" i="54"/>
  <c r="A7" i="54"/>
  <c r="B676" i="54"/>
  <c r="A91" i="54"/>
  <c r="B91" i="54"/>
  <c r="A807" i="54" l="1"/>
  <c r="A801" i="54"/>
  <c r="A800" i="54"/>
  <c r="A797" i="54"/>
  <c r="A796" i="54"/>
  <c r="A795" i="54"/>
  <c r="A794" i="54"/>
  <c r="A793" i="54"/>
  <c r="A792" i="54"/>
  <c r="A791" i="54"/>
  <c r="A216" i="54"/>
  <c r="A197" i="54"/>
  <c r="A163" i="54"/>
  <c r="A162" i="54"/>
  <c r="A161" i="54"/>
  <c r="A160" i="54"/>
  <c r="A159" i="54"/>
  <c r="A158" i="54"/>
  <c r="A157" i="54"/>
  <c r="A156" i="54"/>
  <c r="A155" i="54"/>
  <c r="A154" i="54"/>
  <c r="A153" i="54"/>
  <c r="A152" i="54"/>
  <c r="A151" i="54"/>
  <c r="A150" i="54"/>
  <c r="A149" i="54"/>
  <c r="A148" i="54"/>
  <c r="A147" i="54"/>
  <c r="A146" i="54"/>
  <c r="A145" i="54"/>
  <c r="A144" i="54"/>
  <c r="A143" i="54"/>
  <c r="A132" i="54"/>
  <c r="A131" i="54"/>
  <c r="A130" i="54"/>
  <c r="A129" i="54"/>
  <c r="A128" i="54"/>
  <c r="A127" i="54"/>
  <c r="A126" i="54"/>
  <c r="A125" i="54"/>
  <c r="A124" i="54"/>
  <c r="A123" i="54"/>
  <c r="A122" i="54"/>
  <c r="A121" i="54"/>
  <c r="A120" i="54"/>
  <c r="A119" i="54"/>
  <c r="A118" i="54"/>
  <c r="A117" i="54"/>
  <c r="A116" i="54"/>
  <c r="A115" i="54"/>
  <c r="A114" i="54"/>
  <c r="A110" i="54"/>
  <c r="A109" i="54"/>
  <c r="A89" i="54"/>
  <c r="A87" i="54"/>
  <c r="A86" i="54"/>
  <c r="A85" i="54"/>
  <c r="A84" i="54"/>
  <c r="A82" i="54"/>
  <c r="A81" i="54"/>
  <c r="A79" i="54"/>
  <c r="A78" i="54"/>
  <c r="A77" i="54"/>
  <c r="A76" i="54"/>
  <c r="A75" i="54"/>
  <c r="A72" i="54"/>
  <c r="A71" i="54"/>
  <c r="A70" i="54"/>
  <c r="A69" i="54"/>
  <c r="A66" i="54"/>
  <c r="A65" i="54"/>
  <c r="A64" i="54"/>
  <c r="A63" i="54"/>
  <c r="A62" i="54"/>
  <c r="A61" i="54"/>
  <c r="A60" i="54"/>
  <c r="A59" i="54"/>
  <c r="A58" i="54"/>
  <c r="A57" i="54"/>
  <c r="A56" i="54"/>
  <c r="A55" i="54"/>
  <c r="A54" i="54"/>
  <c r="A53" i="54"/>
  <c r="A52" i="54"/>
  <c r="A51" i="54"/>
  <c r="A48" i="54"/>
  <c r="A47" i="54"/>
  <c r="A46" i="54"/>
  <c r="A44" i="54"/>
  <c r="A43" i="54"/>
  <c r="A42" i="54"/>
  <c r="A41" i="54"/>
  <c r="A40" i="54"/>
  <c r="A39" i="54"/>
  <c r="A38" i="54"/>
  <c r="A37" i="54"/>
  <c r="A36" i="54"/>
  <c r="A35" i="54"/>
  <c r="A34" i="54"/>
  <c r="A33" i="54"/>
  <c r="A17" i="54"/>
  <c r="A16" i="54"/>
  <c r="A15" i="54"/>
  <c r="A14" i="54"/>
  <c r="A13" i="54"/>
  <c r="A12" i="54"/>
  <c r="A11" i="54"/>
  <c r="A10" i="54"/>
  <c r="A5" i="54"/>
  <c r="B619" i="54" l="1"/>
  <c r="B620" i="54"/>
  <c r="B621" i="54"/>
  <c r="B622" i="54"/>
  <c r="B623" i="54"/>
  <c r="B624" i="54"/>
  <c r="B625" i="54"/>
  <c r="B626" i="54"/>
  <c r="B627" i="54"/>
  <c r="B628" i="54"/>
  <c r="B629" i="54"/>
  <c r="B618" i="54"/>
  <c r="B740" i="54"/>
  <c r="B741" i="54"/>
  <c r="B742" i="54"/>
  <c r="B743" i="54"/>
  <c r="B744" i="54"/>
  <c r="B745" i="54"/>
  <c r="B746" i="54"/>
  <c r="B747" i="54"/>
  <c r="B748" i="54"/>
  <c r="B749" i="54"/>
  <c r="B750" i="54"/>
  <c r="B751" i="54"/>
  <c r="B752" i="54"/>
  <c r="B753" i="54"/>
  <c r="B754" i="54"/>
  <c r="B755" i="54"/>
  <c r="B756" i="54"/>
  <c r="B757" i="54"/>
  <c r="B758" i="54"/>
  <c r="B759" i="54"/>
  <c r="B739" i="54"/>
  <c r="B729" i="54"/>
  <c r="B730" i="54"/>
  <c r="B731" i="54"/>
  <c r="B732" i="54"/>
  <c r="B733" i="54"/>
  <c r="B734" i="54"/>
  <c r="B735" i="54"/>
  <c r="B736" i="54"/>
  <c r="B737" i="54"/>
  <c r="B738" i="54"/>
  <c r="B728" i="54"/>
  <c r="B718" i="54"/>
  <c r="B717" i="54"/>
  <c r="B716" i="54"/>
  <c r="B715" i="54"/>
  <c r="B714" i="54"/>
  <c r="B713" i="54"/>
  <c r="B712" i="54"/>
  <c r="B711" i="54"/>
  <c r="B710" i="54"/>
  <c r="B709" i="54"/>
  <c r="B708" i="54"/>
  <c r="B707" i="54"/>
  <c r="B706" i="54"/>
  <c r="B705" i="54"/>
  <c r="B704" i="54"/>
  <c r="B703" i="54"/>
  <c r="B702" i="54"/>
  <c r="B701" i="54"/>
  <c r="B700" i="54"/>
  <c r="B699" i="54"/>
  <c r="B695" i="54"/>
  <c r="B694" i="54"/>
  <c r="B674" i="54"/>
  <c r="B672" i="54"/>
  <c r="B671" i="54"/>
  <c r="B670" i="54"/>
  <c r="B669" i="54"/>
  <c r="B667" i="54"/>
  <c r="B666" i="54"/>
  <c r="B664" i="54"/>
  <c r="B663" i="54"/>
  <c r="B662" i="54"/>
  <c r="B661" i="54"/>
  <c r="B660" i="54"/>
  <c r="B657" i="54"/>
  <c r="B656" i="54"/>
  <c r="B655" i="54"/>
  <c r="B654" i="54"/>
  <c r="B651" i="54"/>
  <c r="B650" i="54"/>
  <c r="B649" i="54"/>
  <c r="B648" i="54"/>
  <c r="B647" i="54"/>
  <c r="B646" i="54"/>
  <c r="B645" i="54"/>
  <c r="B644" i="54"/>
  <c r="B643" i="54"/>
  <c r="B642" i="54"/>
  <c r="B641" i="54"/>
  <c r="B640" i="54"/>
  <c r="B639" i="54"/>
  <c r="B638" i="54"/>
  <c r="B637" i="54"/>
  <c r="B636" i="54"/>
  <c r="B601" i="54"/>
  <c r="B633" i="54"/>
  <c r="B632" i="54"/>
  <c r="B631" i="54"/>
  <c r="B163" i="54"/>
  <c r="B162" i="54"/>
  <c r="B161" i="54"/>
  <c r="B160" i="54"/>
  <c r="B159" i="54"/>
  <c r="B158" i="54"/>
  <c r="B157" i="54"/>
  <c r="B156" i="54"/>
  <c r="B155" i="54"/>
  <c r="B154" i="54"/>
  <c r="B153" i="54"/>
  <c r="B152" i="54"/>
  <c r="B151" i="54"/>
  <c r="B150" i="54"/>
  <c r="B149" i="54"/>
  <c r="B148" i="54"/>
  <c r="B147" i="54"/>
  <c r="B146" i="54"/>
  <c r="B145" i="54"/>
  <c r="B144" i="54"/>
  <c r="B143" i="54"/>
  <c r="B132" i="54" l="1"/>
  <c r="B131" i="54"/>
  <c r="B130" i="54"/>
  <c r="B129" i="54"/>
  <c r="B128" i="54"/>
  <c r="B127" i="54"/>
  <c r="B126" i="54"/>
  <c r="B125" i="54"/>
  <c r="B124" i="54"/>
  <c r="B123" i="54"/>
  <c r="B122" i="54"/>
  <c r="B121" i="54"/>
  <c r="B120" i="54"/>
  <c r="B119" i="54"/>
  <c r="B118" i="54"/>
  <c r="B117" i="54"/>
  <c r="B116" i="54"/>
  <c r="B115" i="54"/>
  <c r="B114" i="54"/>
  <c r="B110" i="54"/>
  <c r="B109" i="54"/>
  <c r="B89" i="54"/>
  <c r="B87" i="54"/>
  <c r="B86" i="54"/>
  <c r="B85" i="54"/>
  <c r="B84" i="54"/>
  <c r="B82" i="54"/>
  <c r="B81" i="54"/>
  <c r="B79" i="54"/>
  <c r="B78" i="54"/>
  <c r="B77" i="54"/>
  <c r="B76" i="54"/>
  <c r="B75" i="54"/>
  <c r="B72" i="54"/>
  <c r="B71" i="54"/>
  <c r="B70" i="54"/>
  <c r="B69" i="54"/>
  <c r="B66" i="54"/>
  <c r="B65" i="54"/>
  <c r="B64" i="54"/>
  <c r="B63" i="54"/>
  <c r="B62" i="54"/>
  <c r="B61" i="54"/>
  <c r="B60" i="54"/>
  <c r="B59" i="54"/>
  <c r="B58" i="54"/>
  <c r="B57" i="54"/>
  <c r="B56" i="54"/>
  <c r="B55" i="54"/>
  <c r="B54" i="54"/>
  <c r="B53" i="54"/>
  <c r="B52" i="54"/>
  <c r="B51" i="54"/>
  <c r="B48" i="54"/>
  <c r="B47" i="54"/>
  <c r="B46" i="54"/>
  <c r="B44" i="54"/>
  <c r="B43" i="54"/>
  <c r="B42" i="54"/>
  <c r="B41" i="54"/>
  <c r="B40" i="54"/>
  <c r="B39" i="54"/>
  <c r="B38" i="54"/>
  <c r="B37" i="54"/>
  <c r="B36" i="54"/>
  <c r="B35" i="54"/>
  <c r="B34" i="54"/>
  <c r="B33" i="54"/>
  <c r="B17" i="54"/>
  <c r="B16" i="54"/>
  <c r="B15" i="54"/>
  <c r="B14" i="54"/>
  <c r="B13" i="54"/>
  <c r="B12" i="54"/>
  <c r="B11" i="54"/>
  <c r="B10" i="54"/>
  <c r="H820" i="54" l="1"/>
  <c r="C4" i="38" l="1"/>
  <c r="C8" i="38" s="1"/>
  <c r="A5" i="38"/>
  <c r="A6" i="38" s="1"/>
  <c r="A7" i="38" s="1"/>
  <c r="C5" i="38"/>
  <c r="C6" i="38"/>
  <c r="C7" i="38"/>
</calcChain>
</file>

<file path=xl/sharedStrings.xml><?xml version="1.0" encoding="utf-8"?>
<sst xmlns="http://schemas.openxmlformats.org/spreadsheetml/2006/main" count="3137" uniqueCount="569">
  <si>
    <t>(Đơn vị tính: Đồng)</t>
  </si>
  <si>
    <t>STT</t>
  </si>
  <si>
    <t>Mô tả</t>
  </si>
  <si>
    <t>Ghi chú</t>
  </si>
  <si>
    <t>I</t>
  </si>
  <si>
    <t>B</t>
  </si>
  <si>
    <t>Đơn giản</t>
  </si>
  <si>
    <t>Trung bình</t>
  </si>
  <si>
    <t>Phức tạp</t>
  </si>
  <si>
    <t>II</t>
  </si>
  <si>
    <t>M</t>
  </si>
  <si>
    <t>III</t>
  </si>
  <si>
    <t>T</t>
  </si>
  <si>
    <t>IV</t>
  </si>
  <si>
    <t>V</t>
  </si>
  <si>
    <t>BẢNG 4.6. MỨC LƯƠNG LAO ĐỘNG BÌNH QUÂN
Phần mềm "Nâng cấp, mở rộng hệ thống quản lý thuế tập trung (TMS) đáp ứng nghiệp vụ thanh tra, kiểm tra và triển khai thí điểm"</t>
  </si>
  <si>
    <t>Chức danh công việc</t>
  </si>
  <si>
    <t>Mức lương lao động/h</t>
  </si>
  <si>
    <t>Nhóm quản trị dự án</t>
  </si>
  <si>
    <t>Hệ số lương áp dụng cho kỹ sư Bậc 4</t>
  </si>
  <si>
    <t>Nhóm phân tích thiết kế hệ thống</t>
  </si>
  <si>
    <t>Hệ số lương áp dụng cho kỹ sư Bậc 3</t>
  </si>
  <si>
    <t>Nhóm lập trình</t>
  </si>
  <si>
    <t>Hệ số lương áp dụng cho kỹ sư Bậc 2</t>
  </si>
  <si>
    <t>Nhóm đào tạo, triển khai hỗ trợ</t>
  </si>
  <si>
    <t>Hệ số lương áp dụng cho kỹ sưBậc 1</t>
  </si>
  <si>
    <t>Mức lương lao động bình quân</t>
  </si>
  <si>
    <t>Số ngày làm việc bình quân theo tháng là 26 ngày
Mỗi ngày làm việc : 8h</t>
  </si>
  <si>
    <t>Quản trị hệ thống</t>
  </si>
  <si>
    <t>Người thực hiện TGPL</t>
  </si>
  <si>
    <t>Mức độ cần thiết</t>
  </si>
  <si>
    <t>Tên Usecase</t>
  </si>
  <si>
    <t>Tác nhân chính</t>
  </si>
  <si>
    <t>Tác nhân phụ</t>
  </si>
  <si>
    <t>Mức độ phức tạp</t>
  </si>
  <si>
    <t>QUY TRÌNH THU THẬP DỮ LIỆU</t>
  </si>
  <si>
    <t>I.1</t>
  </si>
  <si>
    <t>Danh mục giới tính</t>
  </si>
  <si>
    <t>Hệ thống nguồn (TTDLQG)</t>
  </si>
  <si>
    <t>Danh mục và mã các dân tộc</t>
  </si>
  <si>
    <t>Danh mục và mã Quốc gia, Quốc tịch</t>
  </si>
  <si>
    <t>Danh mục và mã các Tôn giáo</t>
  </si>
  <si>
    <t>Danh mục cơ quan</t>
  </si>
  <si>
    <t>Danh mục đơn vị hành chính</t>
  </si>
  <si>
    <t>Danh mục và mã mối quan hệ trong gia đình</t>
  </si>
  <si>
    <t>Danh mục mã giấy tờ tùy thân</t>
  </si>
  <si>
    <t>I.2</t>
  </si>
  <si>
    <t>Thu thập dữ liệu từ các Hệ thống trong ngành</t>
  </si>
  <si>
    <t>I.2.1</t>
  </si>
  <si>
    <t>Cục Hành chính tư pháp</t>
  </si>
  <si>
    <t>I.2.1.1</t>
  </si>
  <si>
    <t>CSDL Hộ tịch điện tử</t>
  </si>
  <si>
    <t>Bộ dữ liệu hồ sơ đăng ký khai sinh</t>
  </si>
  <si>
    <t>Hệ thống nguồn (CSDL Hộ tịch điện tử)</t>
  </si>
  <si>
    <t>Bộ dữ liệu hồ sơ đăng ký kết hôn</t>
  </si>
  <si>
    <t>Bộ dữ liệu hồ sơ cấp Giấy xác nhận tình trạng hôn nhân</t>
  </si>
  <si>
    <t>Bộ dữ liệu hồ sơ đăng ký khai tử</t>
  </si>
  <si>
    <t>Bộ dữ liệu hồ sơ đăng ký nhận cha, mẹ, con</t>
  </si>
  <si>
    <t>Bộ dữ liệu hồ sơ đăng ký nuôi con nuôi</t>
  </si>
  <si>
    <t>Bộ dữ liệu hồ sơ đăng ký giám hộ</t>
  </si>
  <si>
    <t>Bộ dữ liệu hồ sơ đăng ký chấm dứt giám hộ</t>
  </si>
  <si>
    <t>Bộ dữ liệu hồ sơ đăng ký thay đổi, cải chính, bổ sung thông tin hộ tịch, xác định lại dân tộc</t>
  </si>
  <si>
    <t>Bộ dữ liệu hồ sơ đăng ký giám sát việc giám hộ</t>
  </si>
  <si>
    <t>Bộ dữ liệu hồ sơ đăng ký chấm dứt giám sát việc giám hộ</t>
  </si>
  <si>
    <t>Bộ dữ liệu hồ sơ ghi vào sổ việc ly hôn/hủy việc kết hôn đã thực hiện tại cơ quan có thẩm quyền của nước ngoài (ghi chú ly hôn)</t>
  </si>
  <si>
    <t>I.2.1.2</t>
  </si>
  <si>
    <t>Hệ thống quản lý hồ sơ quốc tịch</t>
  </si>
  <si>
    <t>Nhập Quốc tịch</t>
  </si>
  <si>
    <t>Hệ thống nguồn (Hệ thống quản lý hồ sơ quốc tịch)</t>
  </si>
  <si>
    <t>Thôi Quốc tịch</t>
  </si>
  <si>
    <t>Trở lại Quốc tịch</t>
  </si>
  <si>
    <t>I.2.2</t>
  </si>
  <si>
    <t>Cục Quản lý thi hành án dân sự</t>
  </si>
  <si>
    <t>I.2.2.1</t>
  </si>
  <si>
    <t>Cơ sở dữ liệu thi hành án dân sự</t>
  </si>
  <si>
    <t>Bản án, quyết định của Tòa án được cơ quan thi hành án dân sự đưa ra tổ chức thi hành</t>
  </si>
  <si>
    <t>Hệ thống nguồn (CSDL thi hành án dân sự)</t>
  </si>
  <si>
    <t>Yêu cầu thi hành án của cá nhân, cơ quan, tổ chức</t>
  </si>
  <si>
    <t>Quyết định thi hành án dân sự</t>
  </si>
  <si>
    <t>Người phải thi hành án, người được thi hành án, người có quyền lợi nghĩa vụ liên quan</t>
  </si>
  <si>
    <t>Nghĩa vụ thi hành án</t>
  </si>
  <si>
    <t>Trạng thái thi hành án</t>
  </si>
  <si>
    <t>Tài sản thi hành án</t>
  </si>
  <si>
    <t>Xác minh điều kiện trong thi hành án dân sự</t>
  </si>
  <si>
    <t>Cưỡng chế thi hành án trong thi hành án dân sự</t>
  </si>
  <si>
    <t>Áp dụng biện pháp bảo đảm trong thi hành án dân sự</t>
  </si>
  <si>
    <t>Chứng từ nghiệp vụ trong thi hành án dân sự</t>
  </si>
  <si>
    <t>Biên lai thu tiền thi hành án dân sự</t>
  </si>
  <si>
    <t>Vật chứng trong thi hành án dân sự</t>
  </si>
  <si>
    <t>Thẩm định giá tài sản trong thi hành án dân sự</t>
  </si>
  <si>
    <t>Đấu giá tài sản trong thi hành án dân sự</t>
  </si>
  <si>
    <t>Giải quyết khiếu nại, tố cáo trong thi hành án dân sự</t>
  </si>
  <si>
    <t>Hướng dẫn nghiệp vụ trong thi hành án dân sự</t>
  </si>
  <si>
    <t>I.2.3</t>
  </si>
  <si>
    <t>Cục Đăng ký giao dịch bảo đảm và
BTNN</t>
  </si>
  <si>
    <t>I.2.3.1</t>
  </si>
  <si>
    <t>Cơ sở dữ liệu về biện pháp bảo đảm</t>
  </si>
  <si>
    <t>Thông tin chung (Bao gồm người đăng ký và Hợp đồng bảo đảm)</t>
  </si>
  <si>
    <t>Hệ thống nguồn (CSDL về biện pháp bảo đảm)</t>
  </si>
  <si>
    <t>Bên bảo đảm</t>
  </si>
  <si>
    <t>Bên nhận bảo đảm</t>
  </si>
  <si>
    <t>Tài sản bảo đảm</t>
  </si>
  <si>
    <t>I.2.4</t>
  </si>
  <si>
    <t>Cục Kiểm tra văn bản và Quản lý xử lý vi phạm hành chính</t>
  </si>
  <si>
    <t>I.2.4.1</t>
  </si>
  <si>
    <t>CSDL quốc gia về pháp luật</t>
  </si>
  <si>
    <t>Văn bản quy phạm pháp luật</t>
  </si>
  <si>
    <t>Hệ thống nguồn (CSDL quốc gia về pháp luật)</t>
  </si>
  <si>
    <t>Nội dung của văn bản quy phạm pháp luật</t>
  </si>
  <si>
    <t>Quan hệ giữa các điều khoản trong các văn bản quy phạm pháp luật</t>
  </si>
  <si>
    <t>Văn bản hợp nhất</t>
  </si>
  <si>
    <t>Hệ thống hóa văn bản quy phạm pháp luật</t>
  </si>
  <si>
    <t>I.2.4.2</t>
  </si>
  <si>
    <t>Cơ sở dữ liệu tương trợ tư pháp về dân sự</t>
  </si>
  <si>
    <t>Hồ sơ ủy thác tư pháp đến</t>
  </si>
  <si>
    <t>Hệ thống nguồn (CSDL tương trợ tư pháp về dân sự)</t>
  </si>
  <si>
    <t>Hồ sơ ủy thác tư pháp đi</t>
  </si>
  <si>
    <t>I.2.4.3</t>
  </si>
  <si>
    <t>Hệ thống thông tin trợ giúp pháp lý</t>
  </si>
  <si>
    <t>Tổ chức thực hiện trợ giúp pháp lý</t>
  </si>
  <si>
    <t>Hệ thống nguồn (Hệ thống thông tin trợ giúp pháp lý)</t>
  </si>
  <si>
    <t>Tổ chức đăng ký tham gia trợ giúp pháp lý</t>
  </si>
  <si>
    <t>Thông tin văn bản cử người thực hiện trợ giúp pháp lý</t>
  </si>
  <si>
    <t>Trung tâm TGPL nhà nước</t>
  </si>
  <si>
    <t>I.2.5</t>
  </si>
  <si>
    <t>Cục Bổ trợ tư pháp</t>
  </si>
  <si>
    <t>I.2.5.1</t>
  </si>
  <si>
    <t>CSDL quản lý đấu giá tài sản</t>
  </si>
  <si>
    <t>Đấu giá viên</t>
  </si>
  <si>
    <t>Hệ thống nguồn (CSDL quản lý đấu giá tài sản)</t>
  </si>
  <si>
    <t>Tổ chức hành nghề đấu giá</t>
  </si>
  <si>
    <t>Công chứng viên</t>
  </si>
  <si>
    <t>Thông tin ngăn chặn</t>
  </si>
  <si>
    <t>Tổ chức hành nghề công chứng</t>
  </si>
  <si>
    <t>Tài sản trong giao dịch công chứng</t>
  </si>
  <si>
    <t>Kết quả hoạt động công chứng</t>
  </si>
  <si>
    <t>Quản tài viên</t>
  </si>
  <si>
    <t>Doanh nghiệp quản lý, thanh lý tài sản</t>
  </si>
  <si>
    <t>Luật sư Việt Nam</t>
  </si>
  <si>
    <t>Người được cấp chứng chỉ hành nghề luật sư</t>
  </si>
  <si>
    <t>Tổ chức hành nghề luật sư Việt Nam</t>
  </si>
  <si>
    <t>Luật sư nước ngoài</t>
  </si>
  <si>
    <t>Tổ chức hành nghề luật sư nước ngoài</t>
  </si>
  <si>
    <t>Trọng tài viên</t>
  </si>
  <si>
    <t>Trung tâm trọng tài</t>
  </si>
  <si>
    <t>Chi nhánh của tổ chức trọng tài</t>
  </si>
  <si>
    <t>Văn phòng đại diện của trung tâm trọng tài</t>
  </si>
  <si>
    <t>Hòa giải viên thương mại</t>
  </si>
  <si>
    <t>Trung tâm hòa giải thương mại</t>
  </si>
  <si>
    <t>Giám định viên tư pháp</t>
  </si>
  <si>
    <t>Tổ chức giám định tư pháp</t>
  </si>
  <si>
    <t>II.1</t>
  </si>
  <si>
    <t>Đối soát dữ liệu danh mục từ Bộ ngành ngoài (qua Trung tâm dữ liệu Quốc gia)</t>
  </si>
  <si>
    <t>II.2</t>
  </si>
  <si>
    <t>Đối soát dữ liệu từ các Hệ thống trong ngành</t>
  </si>
  <si>
    <t>Đối soát với CSDL Hộ tịch điện tử</t>
  </si>
  <si>
    <t>Đối soát với Hệ thống quản lý hồ sơ quốc tịch</t>
  </si>
  <si>
    <t>Đối soát với Cơ sở dữ liệu thi hành án dân sự</t>
  </si>
  <si>
    <t>Đối soát với Cơ sở dữ liệu về biện pháp bảo đảm</t>
  </si>
  <si>
    <t>Đối soát với CSDL quốc gia về pháp luật</t>
  </si>
  <si>
    <t>Đối soát với Cơ sở dữ liệu tương trợ tư pháp về dân sự</t>
  </si>
  <si>
    <t>Đối soát với Hệ thống thông tin trợ giúp pháp lý</t>
  </si>
  <si>
    <t>Đối soát với CSDL quản lý đấu giá tài sản</t>
  </si>
  <si>
    <t>QUY TRÌNH XỬ LÝ DỮ LIỆU</t>
  </si>
  <si>
    <t>III.1</t>
  </si>
  <si>
    <t>Dữ liệu danh mục dùng chung thu thập qua TTDLQG</t>
  </si>
  <si>
    <t>III.2</t>
  </si>
  <si>
    <t>Thiết lập quy tắc chuẩn hóa, làm sạch dữ liệu thu thập từ các Hệ thống trong ngành</t>
  </si>
  <si>
    <t>III.2.1</t>
  </si>
  <si>
    <t>III.2.1.1</t>
  </si>
  <si>
    <t>III.2.1.2</t>
  </si>
  <si>
    <t>III.2.2</t>
  </si>
  <si>
    <t>III.2.2.1</t>
  </si>
  <si>
    <t>III.2.3</t>
  </si>
  <si>
    <t>III.2.3.1</t>
  </si>
  <si>
    <t>III.2.4</t>
  </si>
  <si>
    <t>III.2.4.1</t>
  </si>
  <si>
    <t>III.2.4.2</t>
  </si>
  <si>
    <t>III.2.4.3</t>
  </si>
  <si>
    <t>III.2.5</t>
  </si>
  <si>
    <t>III.2.5.1</t>
  </si>
  <si>
    <t>QUY TRÌNH QUẢN LÝ DANH MỤC DÙNG CHUNG</t>
  </si>
  <si>
    <t>IV.1</t>
  </si>
  <si>
    <t>Thiết lập danh mục</t>
  </si>
  <si>
    <t>Thiết lập danh sách các danh mục</t>
  </si>
  <si>
    <t>Tạo danh mục cấp cao (VD: lĩnh vực, cơ quan, địa bàn).</t>
  </si>
  <si>
    <t>Thiết lập cấu trúc danh mục</t>
  </si>
  <si>
    <t>Tạo, chỉnh sửa, gửi duyệt cấu trúc danh mục</t>
  </si>
  <si>
    <t>Thiết lập quan hệ giữa các danh mục</t>
  </si>
  <si>
    <t>Khai báo quan hệ logic giữa các danh mục.</t>
  </si>
  <si>
    <t>Thiết lập phiên bản danh mục</t>
  </si>
  <si>
    <t>Lưu trữ, quản lý, khôi phục phiên bản danh mục.</t>
  </si>
  <si>
    <t>Phê duyệt danh sách danh mục</t>
  </si>
  <si>
    <t>Lãnh đạo bộ phận quản trị</t>
  </si>
  <si>
    <t>Hết hiệu lực danh mục</t>
  </si>
  <si>
    <t>IV.2</t>
  </si>
  <si>
    <t>Sửa, thêm, ngừng hiệu lực giá trị danh mục.</t>
  </si>
  <si>
    <t>Phê duyệt danh mục cập nhật</t>
  </si>
  <si>
    <t>Duyệt thay đổi nội dung danh mục.</t>
  </si>
  <si>
    <t>Quản lý phiên bản danh mục dùng chung</t>
  </si>
  <si>
    <t>Quản lý đánh version</t>
  </si>
  <si>
    <t>Công khai danh mục</t>
  </si>
  <si>
    <t>Công bố danh mục chuẩn lên cổng mở, đánh version</t>
  </si>
  <si>
    <t>Hủy công khai danh mục</t>
  </si>
  <si>
    <t xml:space="preserve">Hủy công khai thông tin danh mục lên cổng </t>
  </si>
  <si>
    <t>IV.3</t>
  </si>
  <si>
    <t>Khai thác và báo cáo</t>
  </si>
  <si>
    <t>Tìm kiếm cơ bản</t>
  </si>
  <si>
    <t>Tìm kiếm theo mã, tên, thuộc tính danh mục.</t>
  </si>
  <si>
    <t>Tìm kiếm nâng cao</t>
  </si>
  <si>
    <t>Tìm kiếm theo nhiều tiêu chí, lọc, sắp xếp.</t>
  </si>
  <si>
    <t>Xuất dữ liệu tra cứu</t>
  </si>
  <si>
    <t>Tải kết quả ra Excel, CSV, PDF.</t>
  </si>
  <si>
    <t>Báo cáo thống kê danh sách danh mục</t>
  </si>
  <si>
    <t>Thống kê danh sách danh mục</t>
  </si>
  <si>
    <t>Báo cáo tình trạng khai thác danh mục</t>
  </si>
  <si>
    <t>Báo cáo tình trạng, tần suất khai thác danh mục</t>
  </si>
  <si>
    <t>Báo cáo trạng thái danh mục</t>
  </si>
  <si>
    <t>Báo cáo phiên bản danh mục</t>
  </si>
  <si>
    <t>QUY TRÌNH QUẢN LÝ DANH MỤC DỮ LIỆU MỞ</t>
  </si>
  <si>
    <t>V.1</t>
  </si>
  <si>
    <t>Quản lý danh mục dữ liệu mở</t>
  </si>
  <si>
    <t>Tạo, cập nhật, xóa danh mục dữ liệu mở (dataset), nhóm lĩnh vực, chủ đề, cơ quan công bố.</t>
  </si>
  <si>
    <t>Thiết lập danh mục chuẩn dùng chung để phân loại và gán nhãn tập dữ liệu mở.</t>
  </si>
  <si>
    <t>V.2</t>
  </si>
  <si>
    <t>Công bố dữ liệu mở</t>
  </si>
  <si>
    <t>Gửi yêu cầu công bố dữ liệu mở</t>
  </si>
  <si>
    <t>Cán bộ nghiệp vụ</t>
  </si>
  <si>
    <t xml:space="preserve">Đăng tải tập dữ liệu (có thể qua API hoặc giao diện), đồng bộ metadata với Cổng dữ liệu mở </t>
  </si>
  <si>
    <t>Quản lý phiên bản dữ liệu mở</t>
  </si>
  <si>
    <t>Phê duyệt dữ liệu mở</t>
  </si>
  <si>
    <t>Lãnh đạo nghiệp vụ</t>
  </si>
  <si>
    <t>Lãnh đạo nghiệp vụ kiểm tra nội dung yêu cầu phê duyệt dữ liệu  mở, bao gồm: tính đầy đủ thông tin, độ chính xác của thông tin, tính phù hợp với quy định bảo mật và quy tắc công bố dữ liệu mở của cơ quan</t>
  </si>
  <si>
    <t>Thiết lập lịch công bố / cập nhật tự động</t>
  </si>
  <si>
    <t>Lập lịch để hệ thống tự động tải và công bố dữ liệu mở định kỳ.</t>
  </si>
  <si>
    <t>V.3</t>
  </si>
  <si>
    <t>Tìm kiếm và lọc tập dữ liệu mở</t>
  </si>
  <si>
    <t>Cho phép người dùng tìm kiếm theo chủ đề, cơ quan, từ khóa, định dạng, giấy phép.</t>
  </si>
  <si>
    <t>Báo cáo thống kê phân loại dữ liệu mở</t>
  </si>
  <si>
    <t>Cho phép phân loại theo nguồn cung cấp, …</t>
  </si>
  <si>
    <t>Thống kê và phân tích lượt truy cập, tải dữ liệu</t>
  </si>
  <si>
    <t>Báo cáo sử dụng dữ liệu theo thời gian, loại người dùng, số lượt tải.</t>
  </si>
  <si>
    <t>VI</t>
  </si>
  <si>
    <t>QUY TRÌNH QUẢN LÝ DỮ LIỆU CHỦ</t>
  </si>
  <si>
    <t>VI.1</t>
  </si>
  <si>
    <t>Quản lý mô hình dữ liệu chủ</t>
  </si>
  <si>
    <t>Thiết lập dữ liệu chủ</t>
  </si>
  <si>
    <t>Khai báo các thực thể (Tổ chức, Cá nhân, Văn bản…).</t>
  </si>
  <si>
    <t>Quản lý thuộc tính dữ liệu chủ</t>
  </si>
  <si>
    <t>Định nghĩa trường dữ liệu, kiểu và ràng buộc.</t>
  </si>
  <si>
    <t>Thiết lập quy tắc hợp nhất dữ liệu chủ</t>
  </si>
  <si>
    <t>Thiết lập quy tắc hợp nhất, trích rút thông tin dữ liệu chủ từ các nguồn dữ liệu</t>
  </si>
  <si>
    <t>Thiết lập quan hệ giữa thực thể</t>
  </si>
  <si>
    <t>Xác định mối quan hệ 1–n, n–n giữa các thực thể.</t>
  </si>
  <si>
    <t>Tạo mã định danh thống nhất toàn hệ thống.</t>
  </si>
  <si>
    <t>Phê duyệt danh sách dữ liệu chủ</t>
  </si>
  <si>
    <t>Phê duyệt loại dữ liệu, cấu trúc,…</t>
  </si>
  <si>
    <t>VI.2</t>
  </si>
  <si>
    <t>Cập nhật dữ liệu chủ</t>
  </si>
  <si>
    <t>Rà soát, gửi phê duyệt bản ghi dữ liệu chủ</t>
  </si>
  <si>
    <t>Rà soát bản ghi dữ liệu chủ trùng lặp hoặc được tạo mới, gửi phê duyệt</t>
  </si>
  <si>
    <t>Phê duyệt dữ liệu</t>
  </si>
  <si>
    <t>Phê duyệt bản ghi dữ liệu chủ được tạo ra</t>
  </si>
  <si>
    <t>Hủy phê duyệt dữ liệu chủ</t>
  </si>
  <si>
    <t>Hủy phê duyệt bản ghi dữ liệu chủ</t>
  </si>
  <si>
    <t>Theo dõi lịch sử thay đổi</t>
  </si>
  <si>
    <t>Lưu lại toàn bộ thay đổi dữ liệu.</t>
  </si>
  <si>
    <t>Xóa và khôi phục bản ghi</t>
  </si>
  <si>
    <t>Cho phép xóa mềm và khôi phục.</t>
  </si>
  <si>
    <t>Quản lý phiên bản dữ liệu chủ</t>
  </si>
  <si>
    <t>Cho phép tạo quy tắc để đánh phiên bản dữ liệu</t>
  </si>
  <si>
    <t>Công khai dữ liệu chủ</t>
  </si>
  <si>
    <t>Cho phép công khai dữ liệu chủ lên cổng dữ liệu</t>
  </si>
  <si>
    <t>Hủy công khai dữ liệu chủ</t>
  </si>
  <si>
    <t>Cho phép hủy công khai dữ liệu chủ trên cổng dữ liệu</t>
  </si>
  <si>
    <t>VI.3</t>
  </si>
  <si>
    <t>Tra cứu dữ liệu chủ</t>
  </si>
  <si>
    <t>Cán bộ nghiệp vụ; Lãnh đạo nghiệp vụ</t>
  </si>
  <si>
    <t>Tìm kiếm, xem chi tiết dữ liệu.</t>
  </si>
  <si>
    <t>Báo cáo sử dụng dữ liệu chủ</t>
  </si>
  <si>
    <t>Thống kê truy cập và tiêu thụ dữ liệu.</t>
  </si>
  <si>
    <t>Báo cáo vòng đời dữ liệu</t>
  </si>
  <si>
    <t>Theo dõi dữ liệu sắp hết hiệu lực.</t>
  </si>
  <si>
    <t>VII</t>
  </si>
  <si>
    <t>QUY TRÌNH ĐIỀU PHỐI DỮ LIỆU</t>
  </si>
  <si>
    <t>VII.1</t>
  </si>
  <si>
    <t>Thiết lập và phê duyệt dịch vụ dữ liệu</t>
  </si>
  <si>
    <t>Thiết lập dịch vụ cung cấp dữ liệu</t>
  </si>
  <si>
    <t>Cấu hình thông tin dịch vụ (loại dữ liệu, tần suất, giao thức kết nối, phạm vi truy cập, chính sách chia sẻ).</t>
  </si>
  <si>
    <t>Kiểm tra và phê duyệt dịch vụ dữ liệu</t>
  </si>
  <si>
    <t>Kiểm tra nội dung, quy tắc, đối tượng và quyền truy cập của dịch vụ dữ liệu trước khi công bố.</t>
  </si>
  <si>
    <t>Từ chối phê duyệt dịch vụ dữ liệu</t>
  </si>
  <si>
    <t>Ghi nhận lý do, phản hồi kết quả từ chối và trả lại yêu cầu để điều chỉnh.</t>
  </si>
  <si>
    <t>Phê duyệt dịch vụ dữ liệu</t>
  </si>
  <si>
    <t>Xác nhận, ký duyệt và cho phép dịch vụ dữ liệu được công bố chính thức.</t>
  </si>
  <si>
    <t>Tự động công khai thông tin dịch vụ dữ liệu lên Cổng dữ liệu dùng chung hoặc nền tảng chia sẻ dữ liệu.</t>
  </si>
  <si>
    <t>VII.2</t>
  </si>
  <si>
    <t>Quản lý danh mục API cung cấp dữ liệu</t>
  </si>
  <si>
    <t>Tạo mới, cập nhật, ngừng hoặc xóa API cung cấp dữ liệu cho các hệ thống khác.</t>
  </si>
  <si>
    <t>Giám sát và ghi log API</t>
  </si>
  <si>
    <t>Theo dõi trạng thái hoạt động, hiệu năng và log truy cập của các API cung cấp dữ liệu.</t>
  </si>
  <si>
    <t>Cấp quyền truy cập API</t>
  </si>
  <si>
    <t>Gán quyền sử dụng API cho từng tổ chức hoặc người dùng được phê duyệt.</t>
  </si>
  <si>
    <t>VII.3</t>
  </si>
  <si>
    <t>Nhóm chức năng cung cấp dữ liệu thụ động / theo yêu cầu</t>
  </si>
  <si>
    <t>Tiếp nhận yêu cầu cung cấp dữ liệu</t>
  </si>
  <si>
    <t>Tiếp nhận đề nghị khai thác hoặc chia sẻ dữ liệu từ các cơ quan, tổ chức, hệ thống khác.</t>
  </si>
  <si>
    <t>Tra cứu dữ liệu theo yêu cầu</t>
  </si>
  <si>
    <t>Cung cấp công cụ tìm kiếm, lọc và tải dữ liệu theo điều kiện được phê duyệt.</t>
  </si>
  <si>
    <t>Tạo dịch vụ dữ liệu theo yêu cầu</t>
  </si>
  <si>
    <t>Kết xuất dữ liệu hoặc báo cáo chuyên đề từ kho dữ liệu theo các tiêu chí tùy chỉnh.</t>
  </si>
  <si>
    <t>Xuất dữ liệu định dạng chuẩn</t>
  </si>
  <si>
    <t>Cho phép người dùng xuất dữ liệu dưới các định dạng chuẩn (JSON, CSV, XML, Excel…).</t>
  </si>
  <si>
    <t>Công bố dịch vụ dữ liệu</t>
  </si>
  <si>
    <t>Tự động đồng bộ dữ liệu đã công khai lên Cổng dữ liệu mở quốc gia hoặc nền tảng chia sẻ nội bộ.</t>
  </si>
  <si>
    <t>Hủy công bố dịch vụ dữ liệu</t>
  </si>
  <si>
    <t>VII.4</t>
  </si>
  <si>
    <t>Nhóm chức năng kiểm soát và giám sát cung cấp dữ liệu</t>
  </si>
  <si>
    <t>Giám sát luồng cung cấp dữ liệu</t>
  </si>
  <si>
    <t>Theo dõi, ghi nhận, và phân tích luồng chia sẻ dữ liệu giữa các hệ thống.</t>
  </si>
  <si>
    <t>Báo cáo thống kê dịch vụ dữ liệu</t>
  </si>
  <si>
    <t>Tổng hợp thống kê lượng dữ liệu cung cấp, số lượt truy cập, hiệu năng API, lỗi kết nối, v.v.</t>
  </si>
  <si>
    <t>Hệ thống đích</t>
  </si>
  <si>
    <t>VIII</t>
  </si>
  <si>
    <t>QUẢN TRỊ HỆ THỐNG</t>
  </si>
  <si>
    <t>Quản lý nhóm người dùng</t>
  </si>
  <si>
    <t>Gán người dùng vào nhóm</t>
  </si>
  <si>
    <t>Phân quyền chức năng cho nhóm người dùng</t>
  </si>
  <si>
    <t>Tổng hợp báo cáo về tình trạng kho dữ liệu: số lượng dữ liệu thu thập, tỷ lệ thành công, trạng thái version, lỗi phát hiện, tình hình phân quyền. Biểu diễn bằng dashboard và biểu đồ.</t>
  </si>
  <si>
    <t>I.2.6</t>
  </si>
  <si>
    <t>Các chỉ tiêu thống kê ngành Tư pháp</t>
  </si>
  <si>
    <t>Biên tập dữ liệu danh mục và công khai danh mục</t>
  </si>
  <si>
    <t>Biên tập danh mục</t>
  </si>
  <si>
    <t>Cục Kế hoạch - Tài chính</t>
  </si>
  <si>
    <t>Phần mềm thống kê ngành Tư pháp</t>
  </si>
  <si>
    <t>I.2.6.1</t>
  </si>
  <si>
    <t>Chọn chức năng “Quản lý danh mục” 
Tạo mới danh mục (tên, mô tả, loại dữ liệu, đơn vị quản lý)
Lưu và gửi yêu cầu phê duyệt.</t>
  </si>
  <si>
    <t>Tìm danh mục trong danh sách danh mục đã tạo
Định nghĩa các trường dữ liệu,
Định nghĩa kiểu dữ liệu, xác định độ dài,  giá trị mặc định 
Xác định khóa chính
Xác định khóa ngoại (nếu có)
Lưu cấu trúc
Gửi duyệt cấu trúc danh mục</t>
  </si>
  <si>
    <t>Phê duyệt cấu trúc danh mục</t>
  </si>
  <si>
    <t>Phê duyệt phiên bản danh mục</t>
  </si>
  <si>
    <t>Phê duyệt hết hiệu lực danh mục</t>
  </si>
  <si>
    <t>Nhận yêu cầu phê duyệt danh sách danh mục
Kiểm tra tên các danh mục, xác minh tính hợp lệ, tránh trùng lặp
Đồng ý Phê duyệt 
Từ chối phê duyệt kèm ghi chú
Hệ thống cập nhật trạng thái danh mục “Đã phê duyệt”.</t>
  </si>
  <si>
    <t>Nhận yêu cầu phê duyệt cấu trúc danh mục
Kiểm tra từng trường thông tin, kiểu dữ liệu, khóa, và ràng buộc
Đồng ý Phê duyệt 
Từ chối phê duyệt kèm ghi chú
Hệ thống cập nhật trạng thái danh mục “Đã phê duyệt cấu trúc danh mục”.</t>
  </si>
  <si>
    <t>Nhận yêu cầu cập nhật phiên bản danh mục
So sánh với phiên bản trước, xem lịch sử thay đổi 
Đánh giá tác động đến hệ thống và các bảng tham chiếu 
Đồng ý Phê duyệt 
Từ chối phê duyệt kèm ghi chú
Hệ thống kích hoạt phiên bản mới nếu được phê duyệt</t>
  </si>
  <si>
    <t>Xác định danh mục không còn được sử dụng
Gửi yêu cầu hết hiệu lực lên hệ thống 
Ghi nhận lý do và thời điểm hết hiệu lực
Gửi yêu cầu phê duyệt</t>
  </si>
  <si>
    <t>Xem xét yêu cầu hết hiệu lực
Kiểm tra các bảng, dữ liệu đang sử dụng danh mục 
Nếu không còn ràng buộc, phê duyệt hết hiệu lực. Hệ thống cập nhật trạng thái “Hết hiệu lực”, ngừng tham chiếu danh mục trong các quy trình nhập và đồng bộ dữ liệu.
Từ chối phê duyệt nếu danh mục chưa hết hiệu lực</t>
  </si>
  <si>
    <t>Xây dựng văn bản quy phạm pháp luật</t>
  </si>
  <si>
    <t>Kiểm tra văn bản quy phạm pháp luật</t>
  </si>
  <si>
    <t>Rà soát văn bản quy phạm pháp luật</t>
  </si>
  <si>
    <t>Tổ chức và người làm công tác pháp chế</t>
  </si>
  <si>
    <t>Phổ biến, giáo dục pháp luật</t>
  </si>
  <si>
    <t>Hòa giải ở cơ sở</t>
  </si>
  <si>
    <t>Chuẩn tiếp cận pháp luật</t>
  </si>
  <si>
    <t>Hộ tịch</t>
  </si>
  <si>
    <t>Chứng thực</t>
  </si>
  <si>
    <t>Lý lịch tư pháp</t>
  </si>
  <si>
    <t>Nuôi con nuôi</t>
  </si>
  <si>
    <t>Trợ giúp pháp lý</t>
  </si>
  <si>
    <t>Đăng ký giao dịch bảo đảm</t>
  </si>
  <si>
    <t>Luật sư</t>
  </si>
  <si>
    <t>Công chứng</t>
  </si>
  <si>
    <t>Giám định tư pháp</t>
  </si>
  <si>
    <t>Đấu giá tài sản</t>
  </si>
  <si>
    <t>Trọng tài thương mại</t>
  </si>
  <si>
    <t>Hòa giải thương mại</t>
  </si>
  <si>
    <t>Quản lý thanh lý tài sản</t>
  </si>
  <si>
    <t>Tương trợ tư pháp</t>
  </si>
  <si>
    <t>Hệ thống nguồn (Phần mềm thống kê ngành Tư pháp)</t>
  </si>
  <si>
    <t>Quản lý giấy phép</t>
  </si>
  <si>
    <t>Báo cáo thống kê dữ liệu mở</t>
  </si>
  <si>
    <t>Tra cứu, báo cáo</t>
  </si>
  <si>
    <t>VII.5</t>
  </si>
  <si>
    <t>Dịch vụ cung cấp dữ liệu mở theo Quyết định số 1459/QĐ-BTP ngày 15 tháng 5 năm 2025 của Bộ trưởng Bộ Tư pháp (dịch vụ chủ động)</t>
  </si>
  <si>
    <t>Danh sách tổ chức thực hiện trợ giúp pháp lý</t>
  </si>
  <si>
    <t>Danh sách người thực hiện trợ giúp pháp lý</t>
  </si>
  <si>
    <t>Danh sách Báo cáo viên pháp luật trung ương</t>
  </si>
  <si>
    <t>Danh sách tổ chức hành nghề luật sư nước ngoài</t>
  </si>
  <si>
    <t>Danh sách luật sư nước ngoài</t>
  </si>
  <si>
    <t>Danh sách tổ chức hành nghề luật sư Việt Nam</t>
  </si>
  <si>
    <t>Danh sách luật sư Việt Nam</t>
  </si>
  <si>
    <t>Danh sách cá nhân giám định tư pháp</t>
  </si>
  <si>
    <t>Danh sách tổ chức giám định tư pháp</t>
  </si>
  <si>
    <t>Danh sách công chứng viên</t>
  </si>
  <si>
    <t>Danh sách tổ chức hành nghề công chứng</t>
  </si>
  <si>
    <t>Nhóm chức năng quản lý API cung cấp dữ liệu, đối soát dữ liệu cung cấp</t>
  </si>
  <si>
    <t>Quản lý danh mục API đối soát dữ liệu cung cấp</t>
  </si>
  <si>
    <t>Tạo mới, cập nhật, ngừng hoặc xóa API đối soát dữ liệu cung cấp cho các hệ thống khác.</t>
  </si>
  <si>
    <t>Quản lý phiên bản API</t>
  </si>
  <si>
    <t>Công khai dịch vụ dữ liệu</t>
  </si>
  <si>
    <t>Quản lý danh sách chức năng</t>
  </si>
  <si>
    <t>Theo dõi lịch sử thay đổi, quản lý phiên bản của tập dữ liệu.</t>
  </si>
  <si>
    <t>Dịch vụ cung cấp dữ liệu</t>
  </si>
  <si>
    <t>VII.5.1</t>
  </si>
  <si>
    <t>VII.5.2</t>
  </si>
  <si>
    <t>VII.5.2.1</t>
  </si>
  <si>
    <t>VII.5.2.1.1</t>
  </si>
  <si>
    <t>VII.5.2.1.2</t>
  </si>
  <si>
    <t>VII.5.2.2</t>
  </si>
  <si>
    <t>VII.5.2.2.1</t>
  </si>
  <si>
    <t>VII.5.2.3</t>
  </si>
  <si>
    <t>VII.5.2.3.1</t>
  </si>
  <si>
    <t>VII.5.2.4</t>
  </si>
  <si>
    <t>VII.5.2.4.1</t>
  </si>
  <si>
    <t>VII.5.2.4.2</t>
  </si>
  <si>
    <t>VII.5.2.4.3</t>
  </si>
  <si>
    <t>VII.5.2.5</t>
  </si>
  <si>
    <t>VII.5.2.5.1</t>
  </si>
  <si>
    <t>VII.5.3</t>
  </si>
  <si>
    <t>Cung cấp dữ liệu danh mục cho các hệ thống nội ngành</t>
  </si>
  <si>
    <t>Cung cấp dữ liệu danh mục</t>
  </si>
  <si>
    <t>Dữ liệu danh mục</t>
  </si>
  <si>
    <t>Quản lý người dùng</t>
  </si>
  <si>
    <t>Phân quyền dữ liệu cho nhóm người dùng</t>
  </si>
  <si>
    <t>Giám sát các phiên đăng nhập, đăng xuất, khóa phiên nếu cần.</t>
  </si>
  <si>
    <t>Quản lý vai trò</t>
  </si>
  <si>
    <t>1. Chọn người dùng cần gán.
2. Chọn nhóm hoặc các nhóm tương ứng.
Hệ thống kiểm tra trùng lặp và thông báo nếu người dùng đã thuộc nhóm.
Lưu cấu hình và cập nhật quyền theo nhóm.</t>
  </si>
  <si>
    <t>1. Thêm mới nhóm người dùng, nhập thông tin của nhóm người dùng
2. Chọn trạng thái nhóm
3. Cho phép chỉnh sửa nhóm người dùng
4. Cho phép xóa nhóm người dùng
Lưu thông tin và xác nhận tạo nhóm người dùng.</t>
  </si>
  <si>
    <t>1. Thêm mới người dùng, nhập thông tin của người dùng
2. Chọn trạng thái tài khoản (Active/Inactive).
3. Cho phép chỉnh sửa người dùng
4. Cho phép xóa người dùng
Lưu thông tin và xác nhận tạo người dùng.</t>
  </si>
  <si>
    <t>1.Chọn nhóm người dùng cần phân quyền.
2. Chọn danh sách chức năng hoặc module hệ thống được phép truy cập.
Lưu cấu hình. Hệ thống tự động áp dụng quyền cho tất cả thành viên nhóm.</t>
  </si>
  <si>
    <t>1. Chọn nhóm người dùng cần phân quyền dữ liệu.
2. Chọn phạm vi dữ liệu (bảng, bản ghi, trường dữ liệu).
3. Xác định loại quyền: đọc, ghi, cập nhật, xóa.
Lưu cấu hình, hệ thống áp dụng quyền cho tất cả thành viên nhóm</t>
  </si>
  <si>
    <t>1. Cho phép thêm chức năng mới
2. Cho phép chỉnh sửa chức năng
3. Cho phép xóa chức năng khi cần.
Lưu thay đổi.</t>
  </si>
  <si>
    <t>Thay đổi mật khẩu, reset mật khẩu, tích hợp xác thực định danh điện tử</t>
  </si>
  <si>
    <t>1. Khi có thay đổi cấu trúc hoặc nội dung danh mục tạo phiên bản mới
2. Cho phép ghi nhận ngày hiệu lực, người chỉnh sửa, mô tả thay đổi 
3. Lưu và chuyển phê duyệt</t>
  </si>
  <si>
    <t>1. Cho phép nhập thông tin mô tả: tên tập dữ liệu, mô tả, từ khóa, giấy phép, tần suất cập nhật, định dạng, nguồn.
2. Cho phép chỉnh sửa</t>
  </si>
  <si>
    <t>Cho phép duy trì nhiều phiên bản API khác nhau để phục vụ các ứng dụng hoặc cơ quan khác nhau.</t>
  </si>
  <si>
    <t>Cho phép người dùng hủy công bố dịch vụ dữ liệu. Hệ thống gửi thông báo tới các hệ thống đích, người dùng liên quan</t>
  </si>
  <si>
    <t>Cục Đăng ký giao dịch bảo đảm và BTNN</t>
  </si>
  <si>
    <t>Báo cáo viên pháp luật</t>
  </si>
  <si>
    <t>Hệ thống nguồn (CSDL phổ biến, giáo dục pháp luật và hoà giải cơ sở)</t>
  </si>
  <si>
    <t>Quản lý phương thức thu thập dữ liệu</t>
  </si>
  <si>
    <t>Quản lý Nhật ký thu thập dữ liệu</t>
  </si>
  <si>
    <t>Dashboard quản lý thu thập dữ liệu</t>
  </si>
  <si>
    <t>II.2.1</t>
  </si>
  <si>
    <t>II.2.1.1</t>
  </si>
  <si>
    <t>II.2.1.2</t>
  </si>
  <si>
    <t>II.2.2</t>
  </si>
  <si>
    <t>II.2.2.1</t>
  </si>
  <si>
    <t>II.2.3</t>
  </si>
  <si>
    <t>II.2.3.1</t>
  </si>
  <si>
    <t>II.2.4</t>
  </si>
  <si>
    <t>II.2.4.1</t>
  </si>
  <si>
    <t>II.2.4.2</t>
  </si>
  <si>
    <t>II.2.4.3</t>
  </si>
  <si>
    <t>II.2.5</t>
  </si>
  <si>
    <t>II.2.5.1</t>
  </si>
  <si>
    <t>II.2.6</t>
  </si>
  <si>
    <t>II.2.6.1</t>
  </si>
  <si>
    <t>Đối soát tổng hợp các danh mục từ Bộ ngành ngoài (qua Trung tâm dữ liệu Quốc gia)</t>
  </si>
  <si>
    <t>Thu thập số liệu thống kê từ Phần mềm thống kê ngành Tư pháp phục vụ chia sẻ dữ liệu mở  theo Quyết định số 1459/QĐ-BTP ngày 15 tháng 5 năm 2025 của Bộ trưởng Bộ Tư pháp</t>
  </si>
  <si>
    <t>Đối soát số liệu thống kê từ Phần mềm thống kê ngành Tư pháp phục vụ chia sẻ dữ liệu mở  theo Quyết định số 1459/QĐ-BTP ngày 15 tháng 5 năm 2025 của Bộ trưởng Bộ Tư pháp</t>
  </si>
  <si>
    <t>Đối soát tổng hợp với CSDL Hộ tịch điện tử</t>
  </si>
  <si>
    <t>Đối soát tổng hợp với Hệ thống quản lý hồ sơ quốc tịch</t>
  </si>
  <si>
    <t>Đối soát tổng hợp với Cơ sở dữ liệu thi hành án dân sự</t>
  </si>
  <si>
    <t>Đối soát tổng hợp với Cơ sở dữ liệu về biện pháp bảo đảm</t>
  </si>
  <si>
    <t>Đối soát tổng hợp với CSDL quốc gia về pháp luật</t>
  </si>
  <si>
    <t>Đối soát tổng hợp với Cơ sở dữ liệu tương trợ tư pháp về dân sự</t>
  </si>
  <si>
    <t>Đối soát tổng hợp với Hệ thống thông tin trợ giúp pháp lý</t>
  </si>
  <si>
    <t>Đối soát tổng hợp với CSDL quản lý đấu giá tài sản</t>
  </si>
  <si>
    <t>Đối soát tổng hợp với Phần mềm thống kê ngành Tư pháp</t>
  </si>
  <si>
    <t>II.2.4.4</t>
  </si>
  <si>
    <t>CSDL phổ biến, giáo dục pháp luật và hoà giải cơ sở</t>
  </si>
  <si>
    <t>QUY TRÌNH ĐỐI SOÁT DỮ LIỆU THU THẬP</t>
  </si>
  <si>
    <t>QUY TRÌNH ĐỐI SOÁT DỮ LIỆU CUNG CẤP</t>
  </si>
  <si>
    <t>Đối soát dữ liệu các nhóm dữ liệu chia sẻ</t>
  </si>
  <si>
    <t>Đối soát dữ liệu danh mục</t>
  </si>
  <si>
    <t>VIII.1</t>
  </si>
  <si>
    <t>Đối soát tổng hợp về dữ liệu Danh mục cung cấp cho các hệ thống khác</t>
  </si>
  <si>
    <t>VIII.2</t>
  </si>
  <si>
    <t>VIII.3</t>
  </si>
  <si>
    <t>VIII.4</t>
  </si>
  <si>
    <t>VIII.5</t>
  </si>
  <si>
    <t>VIII.6</t>
  </si>
  <si>
    <t>VIII.7</t>
  </si>
  <si>
    <t>VIII.8</t>
  </si>
  <si>
    <t>VIII.9</t>
  </si>
  <si>
    <t>VIII.10</t>
  </si>
  <si>
    <t>Đối soát về dữ liệu mở</t>
  </si>
  <si>
    <t>Chọn hai hoặc nhiều danh mục cần liên kết
Xác định loại quan hệ
Gán trường khóa liên kết
Kiểm tra ràng buộc tham chiếu 
Lưu cấu hình quan hệ.</t>
  </si>
  <si>
    <t>1. Tạo vai trò mới: tên, mô tả, danh sách quyền chức năng/quyền dữ liệu.
2. Cho phép chỉnh sửa vai trò
3. Cho phép xóa vai trò
4. Gán vai trò cho người dùng/ nhóm người dùng.
Lưu và xác nhận.</t>
  </si>
  <si>
    <t>Quản lý metadata (siêu dữ liệu) về dữ liệu mở</t>
  </si>
  <si>
    <t>Quy tắc định danh duy nhất</t>
  </si>
  <si>
    <t>Đăng nhập hệ thống</t>
  </si>
  <si>
    <t>Đăng xuất hệ thống</t>
  </si>
  <si>
    <t>Người dùng</t>
  </si>
  <si>
    <t>Thiết lập cấu hình hệ thống</t>
  </si>
  <si>
    <t>Thiết lập quy tắc đặt mật khẩu</t>
  </si>
  <si>
    <t>Quản lý nhật ký truy cập</t>
  </si>
  <si>
    <t>Quản lý nhật ký đăng nhập</t>
  </si>
  <si>
    <t>Quản lý nhật ký các lỗi phát sinh trong quá trình hoạt động</t>
  </si>
  <si>
    <t>Quản lý Nhật ký thay đổi cấu hình</t>
  </si>
  <si>
    <t>Quản lý cấu hình khoảng thời gian lưu trữ nhật ký qua giao diện Quản lý nhật ký</t>
  </si>
  <si>
    <t>Sao lưu dự phòng</t>
  </si>
  <si>
    <t>Quản lý nhật ký quản lý tài khoản</t>
  </si>
  <si>
    <t>Xem biểu đồ thống kê</t>
  </si>
  <si>
    <t xml:space="preserve">Thiết lập quy tắc xử lý dữ liệu danh mục từ Bộ ngành ngoài </t>
  </si>
  <si>
    <t>I.2.4.4</t>
  </si>
  <si>
    <t>Tuyên truyền viên pháp luật</t>
  </si>
  <si>
    <t>Chương trình, kế hoạch về phổ biến, giáo dục pháp luật</t>
  </si>
  <si>
    <t>Hội đồng phối hợp phổ biến, giáo dục pháp luật</t>
  </si>
  <si>
    <t>Đề án</t>
  </si>
  <si>
    <t>Hội nghị tập huấn (trực tuyến, trực tiếp)</t>
  </si>
  <si>
    <t>Hội thảo</t>
  </si>
  <si>
    <t>Tổ hoà giải</t>
  </si>
  <si>
    <t>Hoà giải viên</t>
  </si>
  <si>
    <t>Vụ việc hoà giải</t>
  </si>
  <si>
    <t>Tập huấn viên</t>
  </si>
  <si>
    <t>Kinh phí phổ biến giáo dục pháp luật</t>
  </si>
  <si>
    <t>Tiêu chí, chỉ tiêu tiếp cận pháp luật</t>
  </si>
  <si>
    <t>Đánh giá cấp xã đạt chuẩn tiếp cận pháp luật</t>
  </si>
  <si>
    <t>Cuộc PBGDPL</t>
  </si>
  <si>
    <t>Cuộc thi tìm hiểu về pháp luật</t>
  </si>
  <si>
    <t>Vụ Hợp tác quốc tế</t>
  </si>
  <si>
    <t>CSDL Hợp tác quốc tế</t>
  </si>
  <si>
    <t>Thông tin điều ước quốc tế, thỏa thuận quốc tế</t>
  </si>
  <si>
    <t>Thông tin chương trình dự án</t>
  </si>
  <si>
    <t>Danh sách chuyên gia</t>
  </si>
  <si>
    <t>Thông tin hội nghị, hội thảo</t>
  </si>
  <si>
    <t>Thông tin sản phẩm nghiên cứu, truyền thông</t>
  </si>
  <si>
    <t>Thông tin Đoàn</t>
  </si>
  <si>
    <t>Hệ thống nguồn (CSDL CSDL Hợp tác quốc tế)</t>
  </si>
  <si>
    <t>III.2.4.4</t>
  </si>
  <si>
    <t xml:space="preserve">CSDL phổ biến, giáo dục pháp luật và hoà giải cơ sở </t>
  </si>
  <si>
    <t>III.2.6</t>
  </si>
  <si>
    <t>Cung cấp dữ liệu dùng chung</t>
  </si>
  <si>
    <t>VII.5.2.6</t>
  </si>
  <si>
    <t>VIII.11</t>
  </si>
  <si>
    <t>Đối soát tổng hợp với CSDL Hợp tác quốc tế</t>
  </si>
  <si>
    <t>VII.5.4</t>
  </si>
  <si>
    <t>Cung cấp dữ liệu chủ</t>
  </si>
  <si>
    <t>Cung cấp dữ liệu chủ</t>
  </si>
  <si>
    <t>Dữ liệu chủ</t>
  </si>
  <si>
    <t>Đối soát về dữ liệu chủ</t>
  </si>
  <si>
    <t>Đối soát tổng hợp về Dữ liệu chủ</t>
  </si>
  <si>
    <t>Đối soát tổng hợp về Dữ liệu mở</t>
  </si>
  <si>
    <t>Đối soát tổng hợp về cung cấp dữ liệu Hộ tịch điện tử</t>
  </si>
  <si>
    <t>Đối soát tổng hợp về cung cấp dữ liệu hồ sơ quốc tịch</t>
  </si>
  <si>
    <t>Đối soát tổng hợp về cung cấp dữ liệu thi hành án dân sự</t>
  </si>
  <si>
    <t>Đối soát tổng hợp về cung cấp dữ liệu về biện pháp bảo đảm</t>
  </si>
  <si>
    <t>Đối soát tổng hợp về cung cấp dữ liệu quốc gia về pháp luật</t>
  </si>
  <si>
    <t>Đối soát tổng hợp về cung cấp dữ liệu tương trợ tư pháp về dân sự</t>
  </si>
  <si>
    <t>Đối soát tổng hợp về cung cấp dữ liệu thông tin trợ giúp pháp lý</t>
  </si>
  <si>
    <t>Đối soát tổng hợp về cung cấp dữ liệu phổ biến, giáo dục pháp luật và hoà giải cơ sở</t>
  </si>
  <si>
    <t>Đối soát với CSDL phổ biến, giáo dục pháp luật và hoà giải cơ sở</t>
  </si>
  <si>
    <t>Đối soát tổng hợp về cung cấp dữ liệu quản lý đấu giá tài sản</t>
  </si>
  <si>
    <t>Đối soát tổng hợp về cung cấp dữ liệu Hợp tác quốc tế</t>
  </si>
  <si>
    <t>Đối soát tổng hợp về cung cấp dữ liệu mở</t>
  </si>
  <si>
    <t>Đối soát tổng hợp về cung cấp dữ liệu chủ</t>
  </si>
  <si>
    <t>Thu thập dữ liệu từ Bộ ngành ngoài</t>
  </si>
  <si>
    <t>Thông tin Bản án, quyết định</t>
  </si>
  <si>
    <t>Tòa án nhân dân tối cao</t>
  </si>
  <si>
    <t>Bảo trợ xã hội và giảm nghèo - Hưởng trợ giúp xã hội</t>
  </si>
  <si>
    <t>Bảo trợ xã hội và giảm nghèo - Thông tin người nghèo, cận nghèo</t>
  </si>
  <si>
    <t>Bảo trợ xã hội và giảm nghèo - Người đơn thân</t>
  </si>
  <si>
    <t>Bảo trợ xã hội và giảm nghèo - Trẻ em là đối tượng bảo trợ xã hội</t>
  </si>
  <si>
    <t>Bảo trợ xã hội và giảm nghèo -Người có HIV</t>
  </si>
  <si>
    <t>Bảo trợ xã hội và giảm nghèo -Người cao tuổi</t>
  </si>
  <si>
    <t>Bảo trợ xã hội và giảm nghèo - Thông tin về người khuyết tật</t>
  </si>
  <si>
    <t>Người có công - Hồ sơ công nhận người có công</t>
  </si>
  <si>
    <t>Người có công - Hồ sơ liệt sĩ:</t>
  </si>
  <si>
    <t>Người có công - Hồ sơ công nhận thân nhân người có công</t>
  </si>
  <si>
    <t xml:space="preserve">Trẻ em -Trẻ em </t>
  </si>
  <si>
    <t>Chi nhánh TGPL</t>
  </si>
  <si>
    <t>Người có tài sản đấu giá</t>
  </si>
  <si>
    <t>Thông tin việc đấu giá</t>
  </si>
  <si>
    <t>Tài sản đấu giá</t>
  </si>
  <si>
    <t>Đối soát dữ liệu từ Bộ ngành ngoài</t>
  </si>
  <si>
    <t>Hệ thống nguồn (TANDTC)</t>
  </si>
  <si>
    <t>Đối soát dữ liệu Thông tin Bản án, quyết định</t>
  </si>
  <si>
    <t>Đối soát tổng hợp dữ liệu về Thông tin Bản án, quyết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</si>
</sst>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 _₫_-;\-* #,##0\ _₫_-;_-* &quot;-&quot;??\ _₫_-;_-@_-"/>
  </numFmts>
  <fonts count="22">
    <font>
      <sz val="11"/>
      <color theme="1"/>
      <name val="Calibri"/>
      <family val="2"/>
      <scheme val="minor"/>
    </font>
    <font>
      <sz val="11"/>
      <color indexed="8"/>
      <name val="Calibri"/>
      <family val="2"/>
    </font>
    <font>
      <b/>
      <sz val="14"/>
      <name val="Times New Roman"/>
      <family val="1"/>
    </font>
    <font>
      <sz val="10"/>
      <name val="Helv"/>
      <family val="2"/>
    </font>
    <font>
      <b/>
      <sz val="12"/>
      <name val="Times New Roman"/>
      <family val="1"/>
    </font>
    <font>
      <sz val="12"/>
      <name val="Times New Roman"/>
      <family val="1"/>
    </font>
    <font>
      <sz val="10"/>
      <name val="Arial"/>
      <family val="2"/>
      <charset val="163"/>
    </font>
    <font>
      <sz val="11"/>
      <name val="UVnTime"/>
    </font>
    <font>
      <i/>
      <sz val="13"/>
      <name val="Times New Roman"/>
      <family val="1"/>
    </font>
    <font>
      <sz val="12"/>
      <name val="Arial"/>
      <family val="2"/>
    </font>
    <font>
      <sz val="10"/>
      <name val="Arial"/>
      <family val="2"/>
    </font>
    <font>
      <sz val="12"/>
      <color indexed="8"/>
      <name val="Times New Roman"/>
      <family val="2"/>
    </font>
    <font>
      <sz val="11"/>
      <color theme="1"/>
      <name val="Calibri"/>
      <family val="2"/>
      <scheme val="minor"/>
    </font>
    <font>
      <sz val="12"/>
      <color theme="1"/>
      <name val="Times New Roman"/>
      <family val="2"/>
    </font>
    <font>
      <sz val="11"/>
      <color theme="1"/>
      <name val="Calibri"/>
      <family val="2"/>
      <charset val="163"/>
      <scheme val="minor"/>
    </font>
    <font>
      <sz val="12"/>
      <color theme="1"/>
      <name val="Times New Roman"/>
      <family val="1"/>
    </font>
    <font>
      <sz val="13"/>
      <color theme="1"/>
      <name val="Times New Roman"/>
      <family val="1"/>
    </font>
    <font>
      <sz val="11"/>
      <color theme="1"/>
      <name val="Times New Roman"/>
      <family val="1"/>
    </font>
    <font>
      <sz val="13"/>
      <color rgb="FFFF0000"/>
      <name val="Times New Roman"/>
      <family val="1"/>
    </font>
    <font>
      <b/>
      <sz val="13"/>
      <color rgb="FF000000"/>
      <name val="Times New Roman"/>
      <family val="1"/>
    </font>
    <font>
      <sz val="13"/>
      <color rgb="FF000000"/>
      <name val="Times New Roman"/>
      <family val="1"/>
    </font>
    <font>
      <b/>
      <sz val="13"/>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BE5F1"/>
        <bgColor indexed="64"/>
      </patternFill>
    </fill>
    <fill>
      <patternFill patternType="solid">
        <fgColor rgb="FFC6D9F1"/>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0">
    <xf numFmtId="0" fontId="0" fillId="0" borderId="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10" fillId="0" borderId="0"/>
    <xf numFmtId="0" fontId="10" fillId="0" borderId="0"/>
    <xf numFmtId="0" fontId="1" fillId="0" borderId="0"/>
    <xf numFmtId="0" fontId="12" fillId="0" borderId="0"/>
    <xf numFmtId="0" fontId="11" fillId="0" borderId="0"/>
    <xf numFmtId="0" fontId="13" fillId="0" borderId="0"/>
    <xf numFmtId="0" fontId="10" fillId="0" borderId="0"/>
    <xf numFmtId="0" fontId="10" fillId="0" borderId="0"/>
    <xf numFmtId="0" fontId="14" fillId="0" borderId="0"/>
    <xf numFmtId="0" fontId="6" fillId="0" borderId="0"/>
    <xf numFmtId="0" fontId="1" fillId="0" borderId="0"/>
    <xf numFmtId="0" fontId="3" fillId="0" borderId="0"/>
  </cellStyleXfs>
  <cellXfs count="66">
    <xf numFmtId="0" fontId="0" fillId="0" borderId="0" xfId="0"/>
    <xf numFmtId="0" fontId="4" fillId="0" borderId="1" xfId="17" applyFont="1" applyBorder="1" applyAlignment="1">
      <alignment horizontal="center" vertical="center" wrapText="1"/>
    </xf>
    <xf numFmtId="0" fontId="5" fillId="0" borderId="1" xfId="17" applyFont="1" applyBorder="1" applyAlignment="1">
      <alignment horizontal="center" vertical="center"/>
    </xf>
    <xf numFmtId="0" fontId="5" fillId="0" borderId="1" xfId="17" applyFont="1" applyBorder="1" applyAlignment="1">
      <alignment vertical="center"/>
    </xf>
    <xf numFmtId="3" fontId="5" fillId="0" borderId="1" xfId="17" applyNumberFormat="1" applyFont="1" applyBorder="1" applyAlignment="1">
      <alignment horizontal="center" vertical="center"/>
    </xf>
    <xf numFmtId="0" fontId="5" fillId="0" borderId="1" xfId="17" applyFont="1" applyBorder="1" applyAlignment="1">
      <alignment vertical="center" wrapText="1"/>
    </xf>
    <xf numFmtId="164" fontId="12" fillId="0" borderId="0" xfId="7" applyNumberFormat="1" applyFont="1"/>
    <xf numFmtId="0" fontId="5" fillId="0" borderId="1" xfId="17" applyFont="1" applyBorder="1" applyAlignment="1">
      <alignment wrapText="1"/>
    </xf>
    <xf numFmtId="0" fontId="4" fillId="0" borderId="1" xfId="17" applyFont="1" applyBorder="1" applyAlignment="1">
      <alignment vertical="center"/>
    </xf>
    <xf numFmtId="3" fontId="5" fillId="0" borderId="1" xfId="17" applyNumberFormat="1" applyFont="1" applyBorder="1" applyAlignment="1">
      <alignment horizontal="left" vertical="center" wrapText="1"/>
    </xf>
    <xf numFmtId="0" fontId="5" fillId="0" borderId="0" xfId="0" applyFont="1" applyAlignment="1">
      <alignment horizontal="center" vertical="center"/>
    </xf>
    <xf numFmtId="0" fontId="9" fillId="0" borderId="0" xfId="0" applyFont="1"/>
    <xf numFmtId="0" fontId="17" fillId="0" borderId="0" xfId="0" applyFont="1"/>
    <xf numFmtId="0" fontId="17" fillId="0" borderId="0" xfId="0" applyFont="1" applyAlignment="1">
      <alignment horizontal="center"/>
    </xf>
    <xf numFmtId="0" fontId="15" fillId="0" borderId="1" xfId="0" applyFont="1" applyBorder="1" applyAlignment="1">
      <alignment horizontal="center" vertical="center" wrapText="1"/>
    </xf>
    <xf numFmtId="0" fontId="17" fillId="0" borderId="0" xfId="0" applyFont="1" applyAlignment="1">
      <alignment vertical="top"/>
    </xf>
    <xf numFmtId="0" fontId="15" fillId="0" borderId="4" xfId="0" applyFont="1" applyBorder="1"/>
    <xf numFmtId="0" fontId="15" fillId="0" borderId="4" xfId="0" applyFont="1" applyBorder="1" applyAlignment="1">
      <alignment vertical="center" wrapText="1"/>
    </xf>
    <xf numFmtId="0" fontId="15" fillId="0" borderId="4" xfId="0" applyFont="1" applyBorder="1" applyAlignment="1">
      <alignment horizontal="center" wrapText="1"/>
    </xf>
    <xf numFmtId="0" fontId="17" fillId="0" borderId="0" xfId="0" applyFont="1" applyAlignment="1">
      <alignment horizontal="center" wrapText="1"/>
    </xf>
    <xf numFmtId="0" fontId="15" fillId="0" borderId="5" xfId="0" applyFont="1" applyBorder="1" applyAlignment="1">
      <alignment horizontal="center" vertical="top" wrapText="1"/>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6" fillId="0" borderId="4" xfId="0" applyFont="1" applyBorder="1" applyAlignment="1">
      <alignment horizontal="center" vertical="center"/>
    </xf>
    <xf numFmtId="0" fontId="16" fillId="0" borderId="4" xfId="0" applyFont="1" applyBorder="1" applyAlignment="1">
      <alignment horizontal="left" vertical="center"/>
    </xf>
    <xf numFmtId="0" fontId="16" fillId="0" borderId="1" xfId="0" applyFont="1" applyBorder="1" applyAlignment="1">
      <alignment horizontal="left" vertical="top" wrapText="1"/>
    </xf>
    <xf numFmtId="0" fontId="15" fillId="0" borderId="4" xfId="0" applyFont="1" applyBorder="1" applyAlignment="1">
      <alignment vertical="top" wrapText="1"/>
    </xf>
    <xf numFmtId="0" fontId="21" fillId="3" borderId="1" xfId="0" applyFont="1" applyFill="1" applyBorder="1" applyAlignment="1">
      <alignment horizontal="center" vertical="top" wrapText="1"/>
    </xf>
    <xf numFmtId="0" fontId="21" fillId="3" borderId="2" xfId="0" applyFont="1" applyFill="1" applyBorder="1" applyAlignment="1">
      <alignment horizontal="center" vertical="top" wrapText="1"/>
    </xf>
    <xf numFmtId="0" fontId="21" fillId="4" borderId="1" xfId="0" applyFont="1" applyFill="1" applyBorder="1" applyAlignment="1">
      <alignment horizontal="center" vertical="top"/>
    </xf>
    <xf numFmtId="0" fontId="21" fillId="4" borderId="1" xfId="0" applyFont="1" applyFill="1" applyBorder="1" applyAlignment="1">
      <alignment vertical="top" wrapText="1"/>
    </xf>
    <xf numFmtId="0" fontId="16" fillId="0" borderId="1" xfId="0" applyFont="1" applyBorder="1" applyAlignment="1">
      <alignment horizontal="center" vertical="top" wrapText="1"/>
    </xf>
    <xf numFmtId="0" fontId="16" fillId="0" borderId="1" xfId="0" applyFont="1" applyBorder="1" applyAlignment="1">
      <alignment vertical="top"/>
    </xf>
    <xf numFmtId="0" fontId="16" fillId="0" borderId="1" xfId="0" applyFont="1" applyBorder="1" applyAlignment="1">
      <alignment horizontal="center" vertical="top"/>
    </xf>
    <xf numFmtId="0" fontId="16" fillId="0" borderId="1" xfId="0" applyFont="1" applyBorder="1" applyAlignment="1">
      <alignment horizontal="justify" vertical="top" wrapText="1"/>
    </xf>
    <xf numFmtId="0" fontId="16" fillId="0" borderId="1" xfId="0" applyFont="1" applyBorder="1" applyAlignment="1">
      <alignment vertical="top" wrapText="1"/>
    </xf>
    <xf numFmtId="0" fontId="21" fillId="5" borderId="1" xfId="0" applyFont="1" applyFill="1" applyBorder="1" applyAlignment="1">
      <alignment vertical="top" wrapText="1"/>
    </xf>
    <xf numFmtId="0" fontId="21" fillId="5" borderId="1" xfId="0" applyFont="1" applyFill="1" applyBorder="1" applyAlignment="1">
      <alignment horizontal="center" vertical="top"/>
    </xf>
    <xf numFmtId="0" fontId="21" fillId="0" borderId="1" xfId="0" applyFont="1" applyBorder="1" applyAlignment="1">
      <alignment horizontal="center" vertical="top"/>
    </xf>
    <xf numFmtId="0" fontId="21" fillId="0" borderId="1" xfId="0" applyFont="1" applyBorder="1" applyAlignment="1">
      <alignment vertical="top" wrapText="1"/>
    </xf>
    <xf numFmtId="0" fontId="20" fillId="0" borderId="1" xfId="0" applyFont="1" applyBorder="1" applyAlignment="1">
      <alignment vertical="top" wrapText="1"/>
    </xf>
    <xf numFmtId="0" fontId="19" fillId="6" borderId="1" xfId="0" applyFont="1" applyFill="1" applyBorder="1" applyAlignment="1">
      <alignment vertical="top" wrapText="1"/>
    </xf>
    <xf numFmtId="0" fontId="20" fillId="6" borderId="1" xfId="0" applyFont="1" applyFill="1" applyBorder="1" applyAlignment="1">
      <alignment vertical="top" wrapText="1"/>
    </xf>
    <xf numFmtId="0" fontId="21" fillId="0" borderId="1" xfId="14" applyFont="1" applyBorder="1" applyAlignment="1">
      <alignment horizontal="left" vertical="top" wrapText="1"/>
    </xf>
    <xf numFmtId="0" fontId="18" fillId="0" borderId="1" xfId="0" applyFont="1" applyBorder="1" applyAlignment="1">
      <alignment vertical="top" wrapText="1"/>
    </xf>
    <xf numFmtId="0" fontId="20" fillId="7" borderId="1" xfId="0" applyFont="1" applyFill="1" applyBorder="1" applyAlignment="1">
      <alignment vertical="top" wrapText="1"/>
    </xf>
    <xf numFmtId="0" fontId="16" fillId="2" borderId="1" xfId="0" applyFont="1" applyFill="1" applyBorder="1" applyAlignment="1">
      <alignment horizontal="center" vertical="top"/>
    </xf>
    <xf numFmtId="0" fontId="16" fillId="2" borderId="1" xfId="0" applyFont="1" applyFill="1" applyBorder="1" applyAlignment="1">
      <alignment vertical="top" wrapText="1"/>
    </xf>
    <xf numFmtId="0" fontId="16" fillId="2" borderId="1" xfId="0" applyFont="1" applyFill="1" applyBorder="1" applyAlignment="1">
      <alignment horizontal="center" vertical="top" wrapText="1"/>
    </xf>
    <xf numFmtId="0" fontId="16" fillId="2" borderId="1" xfId="0" applyFont="1" applyFill="1" applyBorder="1" applyAlignment="1">
      <alignment vertical="top"/>
    </xf>
    <xf numFmtId="0" fontId="16" fillId="0" borderId="3" xfId="0" applyFont="1" applyBorder="1" applyAlignment="1">
      <alignment vertical="top" wrapText="1"/>
    </xf>
    <xf numFmtId="0" fontId="20" fillId="8" borderId="1" xfId="0" applyFont="1" applyFill="1" applyBorder="1" applyAlignment="1">
      <alignment vertical="top" wrapText="1"/>
    </xf>
    <xf numFmtId="0" fontId="16" fillId="8" borderId="1" xfId="0" applyFont="1" applyFill="1" applyBorder="1" applyAlignment="1">
      <alignment horizontal="center" vertical="top" wrapText="1"/>
    </xf>
    <xf numFmtId="0" fontId="16" fillId="8" borderId="1" xfId="0" applyFont="1" applyFill="1" applyBorder="1" applyAlignment="1">
      <alignment vertical="top"/>
    </xf>
    <xf numFmtId="0" fontId="16" fillId="8" borderId="1" xfId="0" applyFont="1" applyFill="1" applyBorder="1" applyAlignment="1">
      <alignment vertical="top" wrapText="1"/>
    </xf>
    <xf numFmtId="0" fontId="16" fillId="8" borderId="1" xfId="0" applyFont="1" applyFill="1" applyBorder="1" applyAlignment="1">
      <alignment horizontal="center" vertical="top"/>
    </xf>
    <xf numFmtId="0" fontId="21" fillId="0" borderId="1" xfId="0" applyFont="1" applyBorder="1" applyAlignment="1">
      <alignment horizontal="left" vertical="top" wrapText="1"/>
    </xf>
    <xf numFmtId="0" fontId="21" fillId="0" borderId="1" xfId="0" applyFont="1" applyBorder="1" applyAlignment="1">
      <alignment horizontal="center" vertical="top" wrapText="1"/>
    </xf>
    <xf numFmtId="0" fontId="20" fillId="2" borderId="1" xfId="0" applyFont="1" applyFill="1" applyBorder="1" applyAlignment="1">
      <alignment vertical="top" wrapText="1"/>
    </xf>
    <xf numFmtId="0" fontId="16" fillId="0" borderId="1" xfId="0" applyFont="1" applyBorder="1" applyAlignment="1">
      <alignment horizontal="left" vertical="top"/>
    </xf>
    <xf numFmtId="0" fontId="15" fillId="2" borderId="1" xfId="0" applyFont="1" applyFill="1" applyBorder="1" applyAlignment="1">
      <alignment horizontal="left" vertical="top" wrapText="1"/>
    </xf>
    <xf numFmtId="0" fontId="16" fillId="3" borderId="1" xfId="0" applyFont="1" applyFill="1" applyBorder="1" applyAlignment="1">
      <alignment vertical="top" wrapText="1"/>
    </xf>
    <xf numFmtId="0" fontId="16" fillId="3" borderId="1" xfId="0" applyFont="1" applyFill="1" applyBorder="1" applyAlignment="1">
      <alignment horizontal="center" vertical="top" wrapText="1"/>
    </xf>
    <xf numFmtId="0" fontId="15" fillId="2" borderId="6" xfId="0" applyFont="1" applyFill="1" applyBorder="1" applyAlignment="1">
      <alignment vertical="top" wrapText="1"/>
    </xf>
    <xf numFmtId="0" fontId="2" fillId="0" borderId="0" xfId="0" applyFont="1" applyAlignment="1">
      <alignment horizontal="center" vertical="center" wrapText="1"/>
    </xf>
    <xf numFmtId="0" fontId="8" fillId="0" borderId="0" xfId="0" applyFont="1" applyAlignment="1">
      <alignment horizontal="right" vertical="center" wrapText="1"/>
    </xf>
  </cellXfs>
  <cellStyles count="20">
    <cellStyle name="Comma 11" xfId="1" xr:uid="{040BDE9F-A803-41C4-BA10-5D122779879A}"/>
    <cellStyle name="Comma 16" xfId="2" xr:uid="{5D17AFF8-C74F-4A38-B4B3-CFE251F7E132}"/>
    <cellStyle name="Comma 16 2" xfId="3" xr:uid="{9632B673-8D13-4FC4-9175-73A343EF65A9}"/>
    <cellStyle name="Comma 16 2 2" xfId="4" xr:uid="{03E6C9CB-576F-4527-B4C3-B1FE42B1939F}"/>
    <cellStyle name="Comma 3" xfId="5" xr:uid="{89D5F9C6-BE4F-462A-864C-ED2C4C3B351E}"/>
    <cellStyle name="Comma 3 2" xfId="6" xr:uid="{66733553-D0A0-4AB6-91CF-2920C3C70E70}"/>
    <cellStyle name="Comma 5" xfId="7" xr:uid="{F2FD882A-9873-479A-AD13-631A0366FB5F}"/>
    <cellStyle name="Ledger 17 x 11 in 3" xfId="8" xr:uid="{2285D635-D875-4900-86DA-C5BECE1AF0E4}"/>
    <cellStyle name="Normal" xfId="0" builtinId="0"/>
    <cellStyle name="Normal 10 2 5" xfId="9" xr:uid="{6A4D79B3-51B2-4173-8389-817187AB5F8B}"/>
    <cellStyle name="Normal 14" xfId="10" xr:uid="{ED17DDF1-F814-4852-93FE-58EC696FD2AE}"/>
    <cellStyle name="Normal 16" xfId="11" xr:uid="{6039A2E2-73F8-4A7D-B7A3-F53A9E2D3702}"/>
    <cellStyle name="Normal 16 2" xfId="12" xr:uid="{A8709FCD-9A33-4C12-BCDD-FCD06F1808E1}"/>
    <cellStyle name="Normal 16 2 2 3" xfId="13" xr:uid="{D8E4F15D-E61B-40C9-B71D-C7E59C010532}"/>
    <cellStyle name="Normal 2" xfId="14" xr:uid="{FCFF4B93-CA7C-468B-9D96-7AF7920FE66C}"/>
    <cellStyle name="Normal 2 2 2 2" xfId="15" xr:uid="{03BA5D3C-0955-4C43-A020-CBF687A2F544}"/>
    <cellStyle name="Normal 200" xfId="16" xr:uid="{416189D1-2C51-427B-B954-AD080FA281AE}"/>
    <cellStyle name="Normal 3" xfId="17" xr:uid="{57858996-4274-4687-8176-5F2107937FD1}"/>
    <cellStyle name="Normal 5_DT_STTTT_MVP_2012_v1" xfId="18" xr:uid="{1C47CAB9-FC66-4D24-AF55-F3828700E714}"/>
    <cellStyle name="Style 1" xfId="19" xr:uid="{5B6B4BC0-D967-452A-8D26-0A0B852DD42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8176-B68F-4DCF-AEE6-EBD7F557CB93}">
  <dimension ref="A3:J820"/>
  <sheetViews>
    <sheetView tabSelected="1" topLeftCell="A186" zoomScale="70" zoomScaleNormal="70" workbookViewId="0">
      <selection activeCell="B197" sqref="B197"/>
    </sheetView>
  </sheetViews>
  <sheetFormatPr defaultColWidth="8.7109375" defaultRowHeight="15"/>
  <cols>
    <col min="1" max="1" width="10.42578125" style="12" customWidth="1"/>
    <col min="2" max="2" width="64.7109375" style="12" customWidth="1"/>
    <col min="3" max="3" width="31.140625" style="15" hidden="1" customWidth="1"/>
    <col min="4" max="4" width="47.7109375" style="19" customWidth="1"/>
    <col min="5" max="5" width="15.85546875" style="12" hidden="1" customWidth="1"/>
    <col min="6" max="6" width="51.85546875" style="12" hidden="1" customWidth="1"/>
    <col min="7" max="7" width="11.42578125" style="13" customWidth="1"/>
    <col min="8" max="8" width="14.5703125" style="13" customWidth="1"/>
    <col min="9" max="16384" width="8.7109375" style="12"/>
  </cols>
  <sheetData>
    <row r="3" spans="1:8" ht="33">
      <c r="A3" s="27" t="s">
        <v>1</v>
      </c>
      <c r="B3" s="27" t="s">
        <v>31</v>
      </c>
      <c r="C3" s="27"/>
      <c r="D3" s="27" t="s">
        <v>32</v>
      </c>
      <c r="E3" s="27" t="s">
        <v>33</v>
      </c>
      <c r="F3" s="27" t="s">
        <v>2</v>
      </c>
      <c r="G3" s="28" t="s">
        <v>30</v>
      </c>
      <c r="H3" s="27" t="s">
        <v>34</v>
      </c>
    </row>
    <row r="4" spans="1:8" ht="16.5">
      <c r="A4" s="29" t="s">
        <v>4</v>
      </c>
      <c r="B4" s="30" t="s">
        <v>35</v>
      </c>
      <c r="C4" s="30"/>
      <c r="D4" s="31"/>
      <c r="E4" s="32"/>
      <c r="F4" s="32"/>
      <c r="G4" s="33"/>
      <c r="H4" s="33"/>
    </row>
    <row r="5" spans="1:8" ht="16.5">
      <c r="A5" s="33">
        <f>COUNTA($D$4:D5)</f>
        <v>1</v>
      </c>
      <c r="B5" s="34" t="s">
        <v>429</v>
      </c>
      <c r="C5" s="34"/>
      <c r="D5" s="31" t="s">
        <v>28</v>
      </c>
      <c r="E5" s="32"/>
      <c r="F5" s="35"/>
      <c r="G5" s="33" t="s">
        <v>5</v>
      </c>
      <c r="H5" s="31" t="s">
        <v>7</v>
      </c>
    </row>
    <row r="6" spans="1:8" ht="16.5">
      <c r="A6" s="33">
        <v>2</v>
      </c>
      <c r="B6" s="34" t="s">
        <v>430</v>
      </c>
      <c r="C6" s="32"/>
      <c r="D6" s="31" t="s">
        <v>28</v>
      </c>
      <c r="E6" s="32"/>
      <c r="F6" s="35"/>
      <c r="G6" s="33" t="s">
        <v>5</v>
      </c>
      <c r="H6" s="31" t="s">
        <v>7</v>
      </c>
    </row>
    <row r="7" spans="1:8" ht="16.5">
      <c r="A7" s="33">
        <f>COUNTA($D$4:D7)</f>
        <v>3</v>
      </c>
      <c r="B7" s="34" t="s">
        <v>431</v>
      </c>
      <c r="C7" s="34"/>
      <c r="D7" s="31" t="s">
        <v>28</v>
      </c>
      <c r="E7" s="32"/>
      <c r="F7" s="35"/>
      <c r="G7" s="33" t="s">
        <v>5</v>
      </c>
      <c r="H7" s="31" t="s">
        <v>7</v>
      </c>
    </row>
    <row r="8" spans="1:8" ht="16.5">
      <c r="A8" s="37" t="s">
        <v>36</v>
      </c>
      <c r="B8" s="36" t="s">
        <v>547</v>
      </c>
      <c r="C8" s="36"/>
      <c r="D8" s="31"/>
      <c r="E8" s="32"/>
      <c r="F8" s="32"/>
      <c r="G8" s="33"/>
      <c r="H8" s="33"/>
    </row>
    <row r="9" spans="1:8" ht="33">
      <c r="A9" s="46">
        <f>COUNTA($D$4:D9)</f>
        <v>4</v>
      </c>
      <c r="B9" s="47" t="str">
        <f>"Thu thập dữ liệu "&amp;C9 &amp;" từ "&amp;D9</f>
        <v>Thu thập dữ liệu Thông tin Bản án, quyết định từ Tòa án nhân dân tối cao</v>
      </c>
      <c r="C9" s="47" t="s">
        <v>548</v>
      </c>
      <c r="D9" s="48" t="s">
        <v>549</v>
      </c>
      <c r="E9" s="32"/>
      <c r="F9" s="35"/>
      <c r="G9" s="33" t="s">
        <v>5</v>
      </c>
      <c r="H9" s="33" t="s">
        <v>6</v>
      </c>
    </row>
    <row r="10" spans="1:8" ht="16.5">
      <c r="A10" s="33">
        <f>COUNTA($D$4:D10)</f>
        <v>5</v>
      </c>
      <c r="B10" s="35" t="str">
        <f>"Thu thập dữ liệu "&amp;C10</f>
        <v>Thu thập dữ liệu Danh mục giới tính</v>
      </c>
      <c r="C10" s="35" t="s">
        <v>37</v>
      </c>
      <c r="D10" s="31" t="s">
        <v>38</v>
      </c>
      <c r="E10" s="32"/>
      <c r="F10" s="35"/>
      <c r="G10" s="33" t="s">
        <v>5</v>
      </c>
      <c r="H10" s="33" t="s">
        <v>6</v>
      </c>
    </row>
    <row r="11" spans="1:8" ht="16.5">
      <c r="A11" s="33">
        <f>COUNTA($D$4:D11)</f>
        <v>6</v>
      </c>
      <c r="B11" s="35" t="str">
        <f t="shared" ref="B11:B17" si="0">"Thu thập dữ liệu "&amp;C11</f>
        <v>Thu thập dữ liệu Danh mục và mã các dân tộc</v>
      </c>
      <c r="C11" s="35" t="s">
        <v>39</v>
      </c>
      <c r="D11" s="31" t="s">
        <v>38</v>
      </c>
      <c r="E11" s="32"/>
      <c r="F11" s="35"/>
      <c r="G11" s="33" t="s">
        <v>5</v>
      </c>
      <c r="H11" s="33" t="s">
        <v>6</v>
      </c>
    </row>
    <row r="12" spans="1:8" ht="33">
      <c r="A12" s="33">
        <f>COUNTA($D$4:D12)</f>
        <v>7</v>
      </c>
      <c r="B12" s="35" t="str">
        <f t="shared" si="0"/>
        <v>Thu thập dữ liệu Danh mục và mã Quốc gia, Quốc tịch</v>
      </c>
      <c r="C12" s="35" t="s">
        <v>40</v>
      </c>
      <c r="D12" s="31" t="s">
        <v>38</v>
      </c>
      <c r="E12" s="32"/>
      <c r="F12" s="35"/>
      <c r="G12" s="33" t="s">
        <v>5</v>
      </c>
      <c r="H12" s="33" t="s">
        <v>6</v>
      </c>
    </row>
    <row r="13" spans="1:8" ht="16.5">
      <c r="A13" s="33">
        <f>COUNTA($D$4:D13)</f>
        <v>8</v>
      </c>
      <c r="B13" s="35" t="str">
        <f t="shared" si="0"/>
        <v>Thu thập dữ liệu Danh mục và mã các Tôn giáo</v>
      </c>
      <c r="C13" s="35" t="s">
        <v>41</v>
      </c>
      <c r="D13" s="31" t="s">
        <v>38</v>
      </c>
      <c r="E13" s="32"/>
      <c r="F13" s="35"/>
      <c r="G13" s="33" t="s">
        <v>5</v>
      </c>
      <c r="H13" s="33" t="s">
        <v>6</v>
      </c>
    </row>
    <row r="14" spans="1:8" ht="16.5">
      <c r="A14" s="33">
        <f>COUNTA($D$4:D14)</f>
        <v>9</v>
      </c>
      <c r="B14" s="35" t="str">
        <f t="shared" si="0"/>
        <v>Thu thập dữ liệu Danh mục cơ quan</v>
      </c>
      <c r="C14" s="35" t="s">
        <v>42</v>
      </c>
      <c r="D14" s="31" t="s">
        <v>38</v>
      </c>
      <c r="E14" s="32"/>
      <c r="F14" s="35"/>
      <c r="G14" s="33" t="s">
        <v>5</v>
      </c>
      <c r="H14" s="33" t="s">
        <v>6</v>
      </c>
    </row>
    <row r="15" spans="1:8" ht="16.5">
      <c r="A15" s="33">
        <f>COUNTA($D$4:D15)</f>
        <v>10</v>
      </c>
      <c r="B15" s="35" t="str">
        <f t="shared" si="0"/>
        <v>Thu thập dữ liệu Danh mục đơn vị hành chính</v>
      </c>
      <c r="C15" s="35" t="s">
        <v>43</v>
      </c>
      <c r="D15" s="31" t="s">
        <v>38</v>
      </c>
      <c r="E15" s="32"/>
      <c r="F15" s="35"/>
      <c r="G15" s="33" t="s">
        <v>5</v>
      </c>
      <c r="H15" s="33" t="s">
        <v>6</v>
      </c>
    </row>
    <row r="16" spans="1:8" ht="33">
      <c r="A16" s="33">
        <f>COUNTA($D$4:D16)</f>
        <v>11</v>
      </c>
      <c r="B16" s="35" t="str">
        <f t="shared" si="0"/>
        <v>Thu thập dữ liệu Danh mục và mã mối quan hệ trong gia đình</v>
      </c>
      <c r="C16" s="35" t="s">
        <v>44</v>
      </c>
      <c r="D16" s="31" t="s">
        <v>38</v>
      </c>
      <c r="E16" s="32"/>
      <c r="F16" s="35"/>
      <c r="G16" s="33" t="s">
        <v>5</v>
      </c>
      <c r="H16" s="33" t="s">
        <v>6</v>
      </c>
    </row>
    <row r="17" spans="1:8" ht="16.5">
      <c r="A17" s="33">
        <f>COUNTA($D$4:D17)</f>
        <v>12</v>
      </c>
      <c r="B17" s="35" t="str">
        <f t="shared" si="0"/>
        <v>Thu thập dữ liệu Danh mục mã giấy tờ tùy thân</v>
      </c>
      <c r="C17" s="35" t="s">
        <v>45</v>
      </c>
      <c r="D17" s="31" t="s">
        <v>38</v>
      </c>
      <c r="E17" s="32"/>
      <c r="F17" s="35"/>
      <c r="G17" s="33" t="s">
        <v>5</v>
      </c>
      <c r="H17" s="33" t="s">
        <v>6</v>
      </c>
    </row>
    <row r="18" spans="1:8" ht="33">
      <c r="A18" s="46">
        <f>COUNTA($D$4:D18)</f>
        <v>13</v>
      </c>
      <c r="B18" s="47" t="str">
        <f t="shared" ref="B18" si="1">"Thu thập dữ liệu "&amp;C18</f>
        <v>Thu thập dữ liệu Bảo trợ xã hội và giảm nghèo - Hưởng trợ giúp xã hội</v>
      </c>
      <c r="C18" s="47" t="s">
        <v>550</v>
      </c>
      <c r="D18" s="48" t="s">
        <v>38</v>
      </c>
      <c r="E18" s="32"/>
      <c r="F18" s="35"/>
      <c r="G18" s="33" t="s">
        <v>5</v>
      </c>
      <c r="H18" s="33" t="s">
        <v>6</v>
      </c>
    </row>
    <row r="19" spans="1:8" ht="33">
      <c r="A19" s="46">
        <f>COUNTA($D$4:D19)</f>
        <v>14</v>
      </c>
      <c r="B19" s="47" t="str">
        <f t="shared" ref="B19" si="2">"Thu thập dữ liệu "&amp;C19</f>
        <v>Thu thập dữ liệu Bảo trợ xã hội và giảm nghèo - Hưởng trợ giúp xã hội</v>
      </c>
      <c r="C19" s="47" t="s">
        <v>550</v>
      </c>
      <c r="D19" s="48" t="s">
        <v>38</v>
      </c>
      <c r="E19" s="32"/>
      <c r="F19" s="35"/>
      <c r="G19" s="33" t="s">
        <v>5</v>
      </c>
      <c r="H19" s="33" t="s">
        <v>6</v>
      </c>
    </row>
    <row r="20" spans="1:8" ht="33">
      <c r="A20" s="46">
        <f>COUNTA($D$4:D20)</f>
        <v>15</v>
      </c>
      <c r="B20" s="47" t="str">
        <f t="shared" ref="B20:B29" si="3">"Thu thập dữ liệu "&amp;C20</f>
        <v>Thu thập dữ liệu Bảo trợ xã hội và giảm nghèo - Thông tin người nghèo, cận nghèo</v>
      </c>
      <c r="C20" s="60" t="s">
        <v>551</v>
      </c>
      <c r="D20" s="48" t="s">
        <v>38</v>
      </c>
      <c r="E20" s="32"/>
      <c r="F20" s="35"/>
      <c r="G20" s="33" t="s">
        <v>5</v>
      </c>
      <c r="H20" s="33" t="s">
        <v>6</v>
      </c>
    </row>
    <row r="21" spans="1:8" ht="31.5">
      <c r="A21" s="46">
        <f>COUNTA($D$4:D21)</f>
        <v>16</v>
      </c>
      <c r="B21" s="47" t="str">
        <f t="shared" si="3"/>
        <v>Thu thập dữ liệu Bảo trợ xã hội và giảm nghèo - Người đơn thân</v>
      </c>
      <c r="C21" s="60" t="s">
        <v>552</v>
      </c>
      <c r="D21" s="48" t="s">
        <v>38</v>
      </c>
      <c r="E21" s="32"/>
      <c r="F21" s="35"/>
      <c r="G21" s="33" t="s">
        <v>5</v>
      </c>
      <c r="H21" s="33" t="s">
        <v>6</v>
      </c>
    </row>
    <row r="22" spans="1:8" ht="47.25">
      <c r="A22" s="46">
        <f>COUNTA($D$4:D22)</f>
        <v>17</v>
      </c>
      <c r="B22" s="47" t="str">
        <f t="shared" si="3"/>
        <v>Thu thập dữ liệu Bảo trợ xã hội và giảm nghèo - Trẻ em là đối tượng bảo trợ xã hội</v>
      </c>
      <c r="C22" s="60" t="s">
        <v>553</v>
      </c>
      <c r="D22" s="48" t="s">
        <v>38</v>
      </c>
      <c r="E22" s="32"/>
      <c r="F22" s="35"/>
      <c r="G22" s="33" t="s">
        <v>5</v>
      </c>
      <c r="H22" s="33" t="s">
        <v>6</v>
      </c>
    </row>
    <row r="23" spans="1:8" ht="31.5">
      <c r="A23" s="46">
        <f>COUNTA($D$4:D23)</f>
        <v>18</v>
      </c>
      <c r="B23" s="47" t="str">
        <f t="shared" si="3"/>
        <v>Thu thập dữ liệu Bảo trợ xã hội và giảm nghèo -Người có HIV</v>
      </c>
      <c r="C23" s="60" t="s">
        <v>554</v>
      </c>
      <c r="D23" s="48" t="s">
        <v>38</v>
      </c>
      <c r="E23" s="32"/>
      <c r="F23" s="35"/>
      <c r="G23" s="33" t="s">
        <v>5</v>
      </c>
      <c r="H23" s="33" t="s">
        <v>6</v>
      </c>
    </row>
    <row r="24" spans="1:8" ht="31.5">
      <c r="A24" s="46">
        <f>COUNTA($D$4:D24)</f>
        <v>19</v>
      </c>
      <c r="B24" s="47" t="str">
        <f t="shared" si="3"/>
        <v>Thu thập dữ liệu Bảo trợ xã hội và giảm nghèo -Người cao tuổi</v>
      </c>
      <c r="C24" s="60" t="s">
        <v>555</v>
      </c>
      <c r="D24" s="48" t="s">
        <v>38</v>
      </c>
      <c r="E24" s="32"/>
      <c r="F24" s="35"/>
      <c r="G24" s="33" t="s">
        <v>5</v>
      </c>
      <c r="H24" s="33" t="s">
        <v>6</v>
      </c>
    </row>
    <row r="25" spans="1:8" ht="33">
      <c r="A25" s="46">
        <f>COUNTA($D$4:D25)</f>
        <v>20</v>
      </c>
      <c r="B25" s="47" t="str">
        <f t="shared" si="3"/>
        <v>Thu thập dữ liệu Bảo trợ xã hội và giảm nghèo - Thông tin về người khuyết tật</v>
      </c>
      <c r="C25" s="60" t="s">
        <v>556</v>
      </c>
      <c r="D25" s="48" t="s">
        <v>38</v>
      </c>
      <c r="E25" s="32"/>
      <c r="F25" s="35"/>
      <c r="G25" s="33" t="s">
        <v>5</v>
      </c>
      <c r="H25" s="33" t="s">
        <v>6</v>
      </c>
    </row>
    <row r="26" spans="1:8" ht="33">
      <c r="A26" s="46">
        <f>COUNTA($D$4:D26)</f>
        <v>21</v>
      </c>
      <c r="B26" s="47" t="str">
        <f t="shared" si="3"/>
        <v>Thu thập dữ liệu Người có công - Hồ sơ công nhận người có công</v>
      </c>
      <c r="C26" s="60" t="s">
        <v>557</v>
      </c>
      <c r="D26" s="48" t="s">
        <v>38</v>
      </c>
      <c r="E26" s="32"/>
      <c r="F26" s="35"/>
      <c r="G26" s="33" t="s">
        <v>5</v>
      </c>
      <c r="H26" s="33" t="s">
        <v>6</v>
      </c>
    </row>
    <row r="27" spans="1:8" ht="16.5">
      <c r="A27" s="46">
        <f>COUNTA($D$4:D27)</f>
        <v>22</v>
      </c>
      <c r="B27" s="47" t="str">
        <f t="shared" si="3"/>
        <v>Thu thập dữ liệu Người có công - Hồ sơ liệt sĩ:</v>
      </c>
      <c r="C27" s="60" t="s">
        <v>558</v>
      </c>
      <c r="D27" s="48" t="s">
        <v>38</v>
      </c>
      <c r="E27" s="32"/>
      <c r="F27" s="35"/>
      <c r="G27" s="33" t="s">
        <v>5</v>
      </c>
      <c r="H27" s="33" t="s">
        <v>6</v>
      </c>
    </row>
    <row r="28" spans="1:8" ht="33">
      <c r="A28" s="46">
        <f>COUNTA($D$4:D28)</f>
        <v>23</v>
      </c>
      <c r="B28" s="47" t="str">
        <f t="shared" si="3"/>
        <v>Thu thập dữ liệu Người có công - Hồ sơ công nhận thân nhân người có công</v>
      </c>
      <c r="C28" s="60" t="s">
        <v>559</v>
      </c>
      <c r="D28" s="48" t="s">
        <v>38</v>
      </c>
      <c r="E28" s="32"/>
      <c r="F28" s="35"/>
      <c r="G28" s="33" t="s">
        <v>5</v>
      </c>
      <c r="H28" s="33" t="s">
        <v>6</v>
      </c>
    </row>
    <row r="29" spans="1:8" ht="16.5">
      <c r="A29" s="46">
        <f>COUNTA($D$4:D29)</f>
        <v>24</v>
      </c>
      <c r="B29" s="47" t="str">
        <f t="shared" si="3"/>
        <v xml:space="preserve">Thu thập dữ liệu Trẻ em -Trẻ em </v>
      </c>
      <c r="C29" s="60" t="s">
        <v>560</v>
      </c>
      <c r="D29" s="48" t="s">
        <v>38</v>
      </c>
      <c r="E29" s="32"/>
      <c r="F29" s="35"/>
      <c r="G29" s="33" t="s">
        <v>5</v>
      </c>
      <c r="H29" s="33" t="s">
        <v>6</v>
      </c>
    </row>
    <row r="30" spans="1:8" ht="16.5">
      <c r="A30" s="37" t="s">
        <v>46</v>
      </c>
      <c r="B30" s="36" t="s">
        <v>47</v>
      </c>
      <c r="C30" s="36"/>
      <c r="D30" s="31"/>
      <c r="E30" s="32"/>
      <c r="F30" s="32"/>
      <c r="G30" s="33"/>
      <c r="H30" s="33"/>
    </row>
    <row r="31" spans="1:8" ht="16.5">
      <c r="A31" s="38" t="s">
        <v>48</v>
      </c>
      <c r="B31" s="39" t="s">
        <v>49</v>
      </c>
      <c r="C31" s="39"/>
      <c r="D31" s="31"/>
      <c r="E31" s="32"/>
      <c r="F31" s="32"/>
      <c r="G31" s="33"/>
      <c r="H31" s="33"/>
    </row>
    <row r="32" spans="1:8" ht="16.5">
      <c r="A32" s="38" t="s">
        <v>50</v>
      </c>
      <c r="B32" s="39" t="s">
        <v>51</v>
      </c>
      <c r="C32" s="39"/>
      <c r="D32" s="31"/>
      <c r="E32" s="32"/>
      <c r="F32" s="32"/>
      <c r="G32" s="33"/>
      <c r="H32" s="33"/>
    </row>
    <row r="33" spans="1:8" ht="33">
      <c r="A33" s="33">
        <f>COUNTA($D$4:D33)</f>
        <v>25</v>
      </c>
      <c r="B33" s="35" t="str">
        <f>"Thu thập "&amp;C33</f>
        <v>Thu thập Bộ dữ liệu hồ sơ đăng ký khai sinh</v>
      </c>
      <c r="C33" s="40" t="s">
        <v>52</v>
      </c>
      <c r="D33" s="31" t="s">
        <v>53</v>
      </c>
      <c r="E33" s="32"/>
      <c r="F33" s="35"/>
      <c r="G33" s="33" t="s">
        <v>5</v>
      </c>
      <c r="H33" s="33" t="s">
        <v>6</v>
      </c>
    </row>
    <row r="34" spans="1:8" ht="33">
      <c r="A34" s="33">
        <f>COUNTA($D$4:D34)</f>
        <v>26</v>
      </c>
      <c r="B34" s="35" t="str">
        <f t="shared" ref="B34:B44" si="4">"Thu thập "&amp;C34</f>
        <v>Thu thập Bộ dữ liệu hồ sơ đăng ký kết hôn</v>
      </c>
      <c r="C34" s="40" t="s">
        <v>54</v>
      </c>
      <c r="D34" s="31" t="s">
        <v>53</v>
      </c>
      <c r="E34" s="32"/>
      <c r="F34" s="35"/>
      <c r="G34" s="33" t="s">
        <v>5</v>
      </c>
      <c r="H34" s="33" t="s">
        <v>6</v>
      </c>
    </row>
    <row r="35" spans="1:8" ht="33">
      <c r="A35" s="33">
        <f>COUNTA($D$4:D35)</f>
        <v>27</v>
      </c>
      <c r="B35" s="35" t="str">
        <f t="shared" si="4"/>
        <v>Thu thập Bộ dữ liệu hồ sơ cấp Giấy xác nhận tình trạng hôn nhân</v>
      </c>
      <c r="C35" s="40" t="s">
        <v>55</v>
      </c>
      <c r="D35" s="31" t="s">
        <v>53</v>
      </c>
      <c r="E35" s="32"/>
      <c r="F35" s="35"/>
      <c r="G35" s="33" t="s">
        <v>5</v>
      </c>
      <c r="H35" s="33" t="s">
        <v>6</v>
      </c>
    </row>
    <row r="36" spans="1:8" ht="33">
      <c r="A36" s="33">
        <f>COUNTA($D$4:D36)</f>
        <v>28</v>
      </c>
      <c r="B36" s="35" t="str">
        <f t="shared" si="4"/>
        <v>Thu thập Bộ dữ liệu hồ sơ đăng ký khai tử</v>
      </c>
      <c r="C36" s="40" t="s">
        <v>56</v>
      </c>
      <c r="D36" s="31" t="s">
        <v>53</v>
      </c>
      <c r="E36" s="32"/>
      <c r="F36" s="35"/>
      <c r="G36" s="33" t="s">
        <v>5</v>
      </c>
      <c r="H36" s="33" t="s">
        <v>6</v>
      </c>
    </row>
    <row r="37" spans="1:8" ht="33">
      <c r="A37" s="33">
        <f>COUNTA($D$4:D37)</f>
        <v>29</v>
      </c>
      <c r="B37" s="35" t="str">
        <f t="shared" si="4"/>
        <v>Thu thập Bộ dữ liệu hồ sơ đăng ký nhận cha, mẹ, con</v>
      </c>
      <c r="C37" s="40" t="s">
        <v>57</v>
      </c>
      <c r="D37" s="31" t="s">
        <v>53</v>
      </c>
      <c r="E37" s="32"/>
      <c r="F37" s="35"/>
      <c r="G37" s="33" t="s">
        <v>5</v>
      </c>
      <c r="H37" s="33" t="s">
        <v>6</v>
      </c>
    </row>
    <row r="38" spans="1:8" ht="33">
      <c r="A38" s="33">
        <f>COUNTA($D$4:D38)</f>
        <v>30</v>
      </c>
      <c r="B38" s="35" t="str">
        <f t="shared" si="4"/>
        <v>Thu thập Bộ dữ liệu hồ sơ đăng ký nuôi con nuôi</v>
      </c>
      <c r="C38" s="40" t="s">
        <v>58</v>
      </c>
      <c r="D38" s="31" t="s">
        <v>53</v>
      </c>
      <c r="E38" s="32"/>
      <c r="F38" s="35"/>
      <c r="G38" s="33" t="s">
        <v>5</v>
      </c>
      <c r="H38" s="33" t="s">
        <v>6</v>
      </c>
    </row>
    <row r="39" spans="1:8" ht="33">
      <c r="A39" s="33">
        <f>COUNTA($D$4:D39)</f>
        <v>31</v>
      </c>
      <c r="B39" s="35" t="str">
        <f t="shared" si="4"/>
        <v>Thu thập Bộ dữ liệu hồ sơ đăng ký giám hộ</v>
      </c>
      <c r="C39" s="40" t="s">
        <v>59</v>
      </c>
      <c r="D39" s="31" t="s">
        <v>53</v>
      </c>
      <c r="E39" s="32"/>
      <c r="F39" s="35"/>
      <c r="G39" s="33" t="s">
        <v>5</v>
      </c>
      <c r="H39" s="33" t="s">
        <v>6</v>
      </c>
    </row>
    <row r="40" spans="1:8" ht="33">
      <c r="A40" s="33">
        <f>COUNTA($D$4:D40)</f>
        <v>32</v>
      </c>
      <c r="B40" s="35" t="str">
        <f t="shared" si="4"/>
        <v>Thu thập Bộ dữ liệu hồ sơ đăng ký chấm dứt giám hộ</v>
      </c>
      <c r="C40" s="40" t="s">
        <v>60</v>
      </c>
      <c r="D40" s="31" t="s">
        <v>53</v>
      </c>
      <c r="E40" s="32"/>
      <c r="F40" s="35"/>
      <c r="G40" s="33" t="s">
        <v>5</v>
      </c>
      <c r="H40" s="33" t="s">
        <v>6</v>
      </c>
    </row>
    <row r="41" spans="1:8" ht="66">
      <c r="A41" s="33">
        <f>COUNTA($D$4:D41)</f>
        <v>33</v>
      </c>
      <c r="B41" s="35" t="str">
        <f t="shared" si="4"/>
        <v>Thu thập Bộ dữ liệu hồ sơ đăng ký thay đổi, cải chính, bổ sung thông tin hộ tịch, xác định lại dân tộc</v>
      </c>
      <c r="C41" s="40" t="s">
        <v>61</v>
      </c>
      <c r="D41" s="31" t="s">
        <v>53</v>
      </c>
      <c r="E41" s="32"/>
      <c r="F41" s="35"/>
      <c r="G41" s="33" t="s">
        <v>5</v>
      </c>
      <c r="H41" s="33" t="s">
        <v>6</v>
      </c>
    </row>
    <row r="42" spans="1:8" ht="33">
      <c r="A42" s="33">
        <f>COUNTA($D$4:D42)</f>
        <v>34</v>
      </c>
      <c r="B42" s="35" t="str">
        <f t="shared" si="4"/>
        <v>Thu thập Bộ dữ liệu hồ sơ đăng ký giám sát việc giám hộ</v>
      </c>
      <c r="C42" s="40" t="s">
        <v>62</v>
      </c>
      <c r="D42" s="31" t="s">
        <v>53</v>
      </c>
      <c r="E42" s="32"/>
      <c r="F42" s="35"/>
      <c r="G42" s="33" t="s">
        <v>5</v>
      </c>
      <c r="H42" s="33" t="s">
        <v>6</v>
      </c>
    </row>
    <row r="43" spans="1:8" ht="49.5">
      <c r="A43" s="33">
        <f>COUNTA($D$4:D43)</f>
        <v>35</v>
      </c>
      <c r="B43" s="35" t="str">
        <f t="shared" si="4"/>
        <v>Thu thập Bộ dữ liệu hồ sơ đăng ký chấm dứt giám sát việc giám hộ</v>
      </c>
      <c r="C43" s="40" t="s">
        <v>63</v>
      </c>
      <c r="D43" s="31" t="s">
        <v>53</v>
      </c>
      <c r="E43" s="32"/>
      <c r="F43" s="35"/>
      <c r="G43" s="33" t="s">
        <v>5</v>
      </c>
      <c r="H43" s="33" t="s">
        <v>6</v>
      </c>
    </row>
    <row r="44" spans="1:8" ht="82.5">
      <c r="A44" s="33">
        <f>COUNTA($D$4:D44)</f>
        <v>36</v>
      </c>
      <c r="B44" s="35" t="str">
        <f t="shared" si="4"/>
        <v>Thu thập Bộ dữ liệu hồ sơ ghi vào sổ việc ly hôn/hủy việc kết hôn đã thực hiện tại cơ quan có thẩm quyền của nước ngoài (ghi chú ly hôn)</v>
      </c>
      <c r="C44" s="40" t="s">
        <v>64</v>
      </c>
      <c r="D44" s="31" t="s">
        <v>53</v>
      </c>
      <c r="E44" s="32"/>
      <c r="F44" s="35"/>
      <c r="G44" s="33" t="s">
        <v>5</v>
      </c>
      <c r="H44" s="33" t="s">
        <v>6</v>
      </c>
    </row>
    <row r="45" spans="1:8" ht="16.5">
      <c r="A45" s="38" t="s">
        <v>65</v>
      </c>
      <c r="B45" s="41" t="s">
        <v>66</v>
      </c>
      <c r="C45" s="41"/>
      <c r="D45" s="31"/>
      <c r="E45" s="32"/>
      <c r="F45" s="32"/>
      <c r="G45" s="33"/>
      <c r="H45" s="33"/>
    </row>
    <row r="46" spans="1:8" ht="33">
      <c r="A46" s="33">
        <f>COUNTA($D$4:D46)</f>
        <v>37</v>
      </c>
      <c r="B46" s="35" t="str">
        <f t="shared" ref="B46:B48" si="5">"Thu thập dữ liệu "&amp;C46</f>
        <v>Thu thập dữ liệu Nhập Quốc tịch</v>
      </c>
      <c r="C46" s="42" t="s">
        <v>67</v>
      </c>
      <c r="D46" s="31" t="s">
        <v>68</v>
      </c>
      <c r="E46" s="32"/>
      <c r="F46" s="35"/>
      <c r="G46" s="33" t="s">
        <v>5</v>
      </c>
      <c r="H46" s="33" t="s">
        <v>6</v>
      </c>
    </row>
    <row r="47" spans="1:8" ht="33">
      <c r="A47" s="33">
        <f>COUNTA($D$4:D47)</f>
        <v>38</v>
      </c>
      <c r="B47" s="35" t="str">
        <f t="shared" si="5"/>
        <v>Thu thập dữ liệu Thôi Quốc tịch</v>
      </c>
      <c r="C47" s="42" t="s">
        <v>69</v>
      </c>
      <c r="D47" s="31" t="s">
        <v>68</v>
      </c>
      <c r="E47" s="32"/>
      <c r="F47" s="35"/>
      <c r="G47" s="33" t="s">
        <v>5</v>
      </c>
      <c r="H47" s="33" t="s">
        <v>6</v>
      </c>
    </row>
    <row r="48" spans="1:8" ht="33">
      <c r="A48" s="33">
        <f>COUNTA($D$4:D48)</f>
        <v>39</v>
      </c>
      <c r="B48" s="35" t="str">
        <f t="shared" si="5"/>
        <v>Thu thập dữ liệu Trở lại Quốc tịch</v>
      </c>
      <c r="C48" s="42" t="s">
        <v>70</v>
      </c>
      <c r="D48" s="31" t="s">
        <v>68</v>
      </c>
      <c r="E48" s="32"/>
      <c r="F48" s="35"/>
      <c r="G48" s="33" t="s">
        <v>5</v>
      </c>
      <c r="H48" s="33" t="s">
        <v>6</v>
      </c>
    </row>
    <row r="49" spans="1:8" ht="16.5">
      <c r="A49" s="38" t="s">
        <v>71</v>
      </c>
      <c r="B49" s="43" t="s">
        <v>72</v>
      </c>
      <c r="C49" s="43"/>
      <c r="D49" s="31"/>
      <c r="E49" s="32"/>
      <c r="F49" s="35"/>
      <c r="G49" s="33"/>
      <c r="H49" s="33"/>
    </row>
    <row r="50" spans="1:8" ht="16.5">
      <c r="A50" s="38" t="s">
        <v>73</v>
      </c>
      <c r="B50" s="39" t="s">
        <v>74</v>
      </c>
      <c r="C50" s="39"/>
      <c r="D50" s="31"/>
      <c r="E50" s="32"/>
      <c r="F50" s="35"/>
      <c r="G50" s="33"/>
      <c r="H50" s="33"/>
    </row>
    <row r="51" spans="1:8" ht="33">
      <c r="A51" s="33">
        <f>COUNTA($D$4:D51)</f>
        <v>40</v>
      </c>
      <c r="B51" s="35" t="str">
        <f t="shared" ref="B51:B66" si="6">"Thu thập dữ liệu "&amp;C51</f>
        <v>Thu thập dữ liệu Yêu cầu thi hành án của cá nhân, cơ quan, tổ chức</v>
      </c>
      <c r="C51" s="35" t="s">
        <v>77</v>
      </c>
      <c r="D51" s="31" t="s">
        <v>76</v>
      </c>
      <c r="E51" s="32"/>
      <c r="F51" s="35"/>
      <c r="G51" s="33" t="s">
        <v>5</v>
      </c>
      <c r="H51" s="33" t="s">
        <v>6</v>
      </c>
    </row>
    <row r="52" spans="1:8" ht="16.5">
      <c r="A52" s="33">
        <f>COUNTA($D$4:D52)</f>
        <v>41</v>
      </c>
      <c r="B52" s="35" t="str">
        <f t="shared" si="6"/>
        <v>Thu thập dữ liệu Quyết định thi hành án dân sự</v>
      </c>
      <c r="C52" s="35" t="s">
        <v>78</v>
      </c>
      <c r="D52" s="31" t="s">
        <v>76</v>
      </c>
      <c r="E52" s="32"/>
      <c r="F52" s="35"/>
      <c r="G52" s="33" t="s">
        <v>5</v>
      </c>
      <c r="H52" s="33" t="s">
        <v>6</v>
      </c>
    </row>
    <row r="53" spans="1:8" ht="49.5">
      <c r="A53" s="33">
        <f>COUNTA($D$4:D53)</f>
        <v>42</v>
      </c>
      <c r="B53" s="35" t="str">
        <f t="shared" si="6"/>
        <v>Thu thập dữ liệu Người phải thi hành án, người được thi hành án, người có quyền lợi nghĩa vụ liên quan</v>
      </c>
      <c r="C53" s="35" t="s">
        <v>79</v>
      </c>
      <c r="D53" s="31" t="s">
        <v>76</v>
      </c>
      <c r="E53" s="32"/>
      <c r="F53" s="35"/>
      <c r="G53" s="33" t="s">
        <v>5</v>
      </c>
      <c r="H53" s="33" t="s">
        <v>6</v>
      </c>
    </row>
    <row r="54" spans="1:8" ht="16.5">
      <c r="A54" s="33">
        <f>COUNTA($D$4:D54)</f>
        <v>43</v>
      </c>
      <c r="B54" s="35" t="str">
        <f t="shared" si="6"/>
        <v>Thu thập dữ liệu Nghĩa vụ thi hành án</v>
      </c>
      <c r="C54" s="35" t="s">
        <v>80</v>
      </c>
      <c r="D54" s="31" t="s">
        <v>76</v>
      </c>
      <c r="E54" s="32"/>
      <c r="F54" s="35"/>
      <c r="G54" s="33" t="s">
        <v>5</v>
      </c>
      <c r="H54" s="33" t="s">
        <v>6</v>
      </c>
    </row>
    <row r="55" spans="1:8" ht="16.5">
      <c r="A55" s="33">
        <f>COUNTA($D$4:D55)</f>
        <v>44</v>
      </c>
      <c r="B55" s="35" t="str">
        <f t="shared" si="6"/>
        <v>Thu thập dữ liệu Trạng thái thi hành án</v>
      </c>
      <c r="C55" s="35" t="s">
        <v>81</v>
      </c>
      <c r="D55" s="31" t="s">
        <v>76</v>
      </c>
      <c r="E55" s="32"/>
      <c r="F55" s="35"/>
      <c r="G55" s="33" t="s">
        <v>5</v>
      </c>
      <c r="H55" s="33" t="s">
        <v>6</v>
      </c>
    </row>
    <row r="56" spans="1:8" ht="16.5">
      <c r="A56" s="33">
        <f>COUNTA($D$4:D56)</f>
        <v>45</v>
      </c>
      <c r="B56" s="35" t="str">
        <f t="shared" si="6"/>
        <v>Thu thập dữ liệu Tài sản thi hành án</v>
      </c>
      <c r="C56" s="35" t="s">
        <v>82</v>
      </c>
      <c r="D56" s="31" t="s">
        <v>76</v>
      </c>
      <c r="E56" s="32"/>
      <c r="F56" s="35"/>
      <c r="G56" s="33" t="s">
        <v>5</v>
      </c>
      <c r="H56" s="33" t="s">
        <v>6</v>
      </c>
    </row>
    <row r="57" spans="1:8" ht="33">
      <c r="A57" s="33">
        <f>COUNTA($D$4:D57)</f>
        <v>46</v>
      </c>
      <c r="B57" s="35" t="str">
        <f t="shared" si="6"/>
        <v>Thu thập dữ liệu Xác minh điều kiện trong thi hành án dân sự</v>
      </c>
      <c r="C57" s="35" t="s">
        <v>83</v>
      </c>
      <c r="D57" s="31" t="s">
        <v>76</v>
      </c>
      <c r="E57" s="32"/>
      <c r="F57" s="35"/>
      <c r="G57" s="33" t="s">
        <v>5</v>
      </c>
      <c r="H57" s="33" t="s">
        <v>6</v>
      </c>
    </row>
    <row r="58" spans="1:8" ht="33">
      <c r="A58" s="33">
        <f>COUNTA($D$4:D58)</f>
        <v>47</v>
      </c>
      <c r="B58" s="35" t="str">
        <f t="shared" si="6"/>
        <v>Thu thập dữ liệu Cưỡng chế thi hành án trong thi hành án dân sự</v>
      </c>
      <c r="C58" s="35" t="s">
        <v>84</v>
      </c>
      <c r="D58" s="31" t="s">
        <v>76</v>
      </c>
      <c r="E58" s="32"/>
      <c r="F58" s="35"/>
      <c r="G58" s="33" t="s">
        <v>5</v>
      </c>
      <c r="H58" s="33" t="s">
        <v>6</v>
      </c>
    </row>
    <row r="59" spans="1:8" ht="33">
      <c r="A59" s="33">
        <f>COUNTA($D$4:D59)</f>
        <v>48</v>
      </c>
      <c r="B59" s="35" t="str">
        <f t="shared" si="6"/>
        <v>Thu thập dữ liệu Áp dụng biện pháp bảo đảm trong thi hành án dân sự</v>
      </c>
      <c r="C59" s="35" t="s">
        <v>85</v>
      </c>
      <c r="D59" s="31" t="s">
        <v>76</v>
      </c>
      <c r="E59" s="32"/>
      <c r="F59" s="35"/>
      <c r="G59" s="33" t="s">
        <v>5</v>
      </c>
      <c r="H59" s="33" t="s">
        <v>6</v>
      </c>
    </row>
    <row r="60" spans="1:8" ht="33">
      <c r="A60" s="33">
        <f>COUNTA($D$4:D60)</f>
        <v>49</v>
      </c>
      <c r="B60" s="35" t="str">
        <f t="shared" si="6"/>
        <v>Thu thập dữ liệu Chứng từ nghiệp vụ trong thi hành án dân sự</v>
      </c>
      <c r="C60" s="35" t="s">
        <v>86</v>
      </c>
      <c r="D60" s="31" t="s">
        <v>76</v>
      </c>
      <c r="E60" s="32"/>
      <c r="F60" s="35"/>
      <c r="G60" s="33" t="s">
        <v>5</v>
      </c>
      <c r="H60" s="33" t="s">
        <v>6</v>
      </c>
    </row>
    <row r="61" spans="1:8" ht="33">
      <c r="A61" s="33">
        <f>COUNTA($D$4:D61)</f>
        <v>50</v>
      </c>
      <c r="B61" s="35" t="str">
        <f t="shared" si="6"/>
        <v>Thu thập dữ liệu Biên lai thu tiền thi hành án dân sự</v>
      </c>
      <c r="C61" s="35" t="s">
        <v>87</v>
      </c>
      <c r="D61" s="31" t="s">
        <v>76</v>
      </c>
      <c r="E61" s="32"/>
      <c r="F61" s="35"/>
      <c r="G61" s="33" t="s">
        <v>5</v>
      </c>
      <c r="H61" s="33" t="s">
        <v>6</v>
      </c>
    </row>
    <row r="62" spans="1:8" ht="33">
      <c r="A62" s="33">
        <f>COUNTA($D$4:D62)</f>
        <v>51</v>
      </c>
      <c r="B62" s="35" t="str">
        <f t="shared" si="6"/>
        <v>Thu thập dữ liệu Vật chứng trong thi hành án dân sự</v>
      </c>
      <c r="C62" s="35" t="s">
        <v>88</v>
      </c>
      <c r="D62" s="31" t="s">
        <v>76</v>
      </c>
      <c r="E62" s="32"/>
      <c r="F62" s="35"/>
      <c r="G62" s="33" t="s">
        <v>5</v>
      </c>
      <c r="H62" s="33" t="s">
        <v>6</v>
      </c>
    </row>
    <row r="63" spans="1:8" ht="33">
      <c r="A63" s="33">
        <f>COUNTA($D$4:D63)</f>
        <v>52</v>
      </c>
      <c r="B63" s="35" t="str">
        <f t="shared" si="6"/>
        <v>Thu thập dữ liệu Thẩm định giá tài sản trong thi hành án dân sự</v>
      </c>
      <c r="C63" s="35" t="s">
        <v>89</v>
      </c>
      <c r="D63" s="31" t="s">
        <v>76</v>
      </c>
      <c r="E63" s="32"/>
      <c r="F63" s="35"/>
      <c r="G63" s="33" t="s">
        <v>5</v>
      </c>
      <c r="H63" s="33" t="s">
        <v>6</v>
      </c>
    </row>
    <row r="64" spans="1:8" ht="33">
      <c r="A64" s="33">
        <f>COUNTA($D$4:D64)</f>
        <v>53</v>
      </c>
      <c r="B64" s="35" t="str">
        <f t="shared" si="6"/>
        <v>Thu thập dữ liệu Đấu giá tài sản trong thi hành án dân sự</v>
      </c>
      <c r="C64" s="35" t="s">
        <v>90</v>
      </c>
      <c r="D64" s="31" t="s">
        <v>76</v>
      </c>
      <c r="E64" s="32"/>
      <c r="F64" s="35"/>
      <c r="G64" s="33" t="s">
        <v>5</v>
      </c>
      <c r="H64" s="33" t="s">
        <v>6</v>
      </c>
    </row>
    <row r="65" spans="1:8" ht="33">
      <c r="A65" s="33">
        <f>COUNTA($D$4:D65)</f>
        <v>54</v>
      </c>
      <c r="B65" s="35" t="str">
        <f t="shared" si="6"/>
        <v>Thu thập dữ liệu Giải quyết khiếu nại, tố cáo trong thi hành án dân sự</v>
      </c>
      <c r="C65" s="35" t="s">
        <v>91</v>
      </c>
      <c r="D65" s="31" t="s">
        <v>76</v>
      </c>
      <c r="E65" s="32"/>
      <c r="F65" s="35"/>
      <c r="G65" s="33" t="s">
        <v>5</v>
      </c>
      <c r="H65" s="33" t="s">
        <v>6</v>
      </c>
    </row>
    <row r="66" spans="1:8" ht="33">
      <c r="A66" s="33">
        <f>COUNTA($D$4:D66)</f>
        <v>55</v>
      </c>
      <c r="B66" s="35" t="str">
        <f t="shared" si="6"/>
        <v>Thu thập dữ liệu Hướng dẫn nghiệp vụ trong thi hành án dân sự</v>
      </c>
      <c r="C66" s="35" t="s">
        <v>92</v>
      </c>
      <c r="D66" s="31" t="s">
        <v>76</v>
      </c>
      <c r="E66" s="32"/>
      <c r="F66" s="35"/>
      <c r="G66" s="33" t="s">
        <v>5</v>
      </c>
      <c r="H66" s="33" t="s">
        <v>6</v>
      </c>
    </row>
    <row r="67" spans="1:8" ht="16.5">
      <c r="A67" s="38" t="s">
        <v>93</v>
      </c>
      <c r="B67" s="43" t="s">
        <v>426</v>
      </c>
      <c r="C67" s="43"/>
      <c r="D67" s="31"/>
      <c r="E67" s="32"/>
      <c r="F67" s="32"/>
      <c r="G67" s="33"/>
      <c r="H67" s="33"/>
    </row>
    <row r="68" spans="1:8" ht="16.5">
      <c r="A68" s="38" t="s">
        <v>95</v>
      </c>
      <c r="B68" s="39" t="s">
        <v>96</v>
      </c>
      <c r="C68" s="39"/>
      <c r="D68" s="31"/>
      <c r="E68" s="32"/>
      <c r="F68" s="32"/>
      <c r="G68" s="33"/>
      <c r="H68" s="33"/>
    </row>
    <row r="69" spans="1:8" ht="49.5">
      <c r="A69" s="33">
        <f>COUNTA($D$4:D69)</f>
        <v>56</v>
      </c>
      <c r="B69" s="35" t="str">
        <f t="shared" ref="B69:B72" si="7">"Thu thập dữ liệu "&amp;C69</f>
        <v>Thu thập dữ liệu Thông tin chung (Bao gồm người đăng ký và Hợp đồng bảo đảm)</v>
      </c>
      <c r="C69" s="35" t="s">
        <v>97</v>
      </c>
      <c r="D69" s="31" t="s">
        <v>98</v>
      </c>
      <c r="E69" s="32"/>
      <c r="F69" s="35"/>
      <c r="G69" s="33" t="s">
        <v>5</v>
      </c>
      <c r="H69" s="33" t="s">
        <v>6</v>
      </c>
    </row>
    <row r="70" spans="1:8" ht="16.5">
      <c r="A70" s="33">
        <f>COUNTA($D$4:D70)</f>
        <v>57</v>
      </c>
      <c r="B70" s="35" t="str">
        <f t="shared" si="7"/>
        <v>Thu thập dữ liệu Bên bảo đảm</v>
      </c>
      <c r="C70" s="35" t="s">
        <v>99</v>
      </c>
      <c r="D70" s="31" t="s">
        <v>98</v>
      </c>
      <c r="E70" s="32"/>
      <c r="F70" s="35"/>
      <c r="G70" s="33" t="s">
        <v>5</v>
      </c>
      <c r="H70" s="33" t="s">
        <v>6</v>
      </c>
    </row>
    <row r="71" spans="1:8" ht="16.5">
      <c r="A71" s="33">
        <f>COUNTA($D$4:D71)</f>
        <v>58</v>
      </c>
      <c r="B71" s="35" t="str">
        <f t="shared" si="7"/>
        <v>Thu thập dữ liệu Bên nhận bảo đảm</v>
      </c>
      <c r="C71" s="35" t="s">
        <v>100</v>
      </c>
      <c r="D71" s="31" t="s">
        <v>98</v>
      </c>
      <c r="E71" s="32"/>
      <c r="F71" s="35"/>
      <c r="G71" s="33" t="s">
        <v>5</v>
      </c>
      <c r="H71" s="33" t="s">
        <v>6</v>
      </c>
    </row>
    <row r="72" spans="1:8" ht="16.5">
      <c r="A72" s="33">
        <f>COUNTA($D$4:D72)</f>
        <v>59</v>
      </c>
      <c r="B72" s="35" t="str">
        <f t="shared" si="7"/>
        <v>Thu thập dữ liệu Tài sản bảo đảm</v>
      </c>
      <c r="C72" s="35" t="s">
        <v>101</v>
      </c>
      <c r="D72" s="31" t="s">
        <v>98</v>
      </c>
      <c r="E72" s="32"/>
      <c r="F72" s="35"/>
      <c r="G72" s="33" t="s">
        <v>5</v>
      </c>
      <c r="H72" s="33" t="s">
        <v>6</v>
      </c>
    </row>
    <row r="73" spans="1:8" ht="16.5">
      <c r="A73" s="38" t="s">
        <v>102</v>
      </c>
      <c r="B73" s="43" t="s">
        <v>103</v>
      </c>
      <c r="C73" s="43"/>
      <c r="D73" s="31"/>
      <c r="E73" s="32"/>
      <c r="F73" s="32"/>
      <c r="G73" s="33"/>
      <c r="H73" s="33"/>
    </row>
    <row r="74" spans="1:8" ht="16.5">
      <c r="A74" s="38" t="s">
        <v>104</v>
      </c>
      <c r="B74" s="39" t="s">
        <v>105</v>
      </c>
      <c r="C74" s="39"/>
      <c r="D74" s="31"/>
      <c r="E74" s="32"/>
      <c r="F74" s="32"/>
      <c r="G74" s="33"/>
      <c r="H74" s="33"/>
    </row>
    <row r="75" spans="1:8" ht="16.5">
      <c r="A75" s="33">
        <f>COUNTA($D$4:D75)</f>
        <v>60</v>
      </c>
      <c r="B75" s="35" t="str">
        <f t="shared" ref="B75:B79" si="8">"Thu thập dữ liệu "&amp;C75</f>
        <v>Thu thập dữ liệu Văn bản quy phạm pháp luật</v>
      </c>
      <c r="C75" s="44" t="s">
        <v>106</v>
      </c>
      <c r="D75" s="31" t="s">
        <v>107</v>
      </c>
      <c r="E75" s="32"/>
      <c r="F75" s="35"/>
      <c r="G75" s="33" t="s">
        <v>5</v>
      </c>
      <c r="H75" s="33" t="s">
        <v>6</v>
      </c>
    </row>
    <row r="76" spans="1:8" ht="33">
      <c r="A76" s="33">
        <f>COUNTA($D$4:D76)</f>
        <v>61</v>
      </c>
      <c r="B76" s="35" t="str">
        <f t="shared" si="8"/>
        <v>Thu thập dữ liệu Nội dung của văn bản quy phạm pháp luật</v>
      </c>
      <c r="C76" s="44" t="s">
        <v>108</v>
      </c>
      <c r="D76" s="31" t="s">
        <v>107</v>
      </c>
      <c r="E76" s="32"/>
      <c r="F76" s="35"/>
      <c r="G76" s="33" t="s">
        <v>5</v>
      </c>
      <c r="H76" s="33" t="s">
        <v>6</v>
      </c>
    </row>
    <row r="77" spans="1:8" ht="49.5">
      <c r="A77" s="33">
        <f>COUNTA($D$4:D77)</f>
        <v>62</v>
      </c>
      <c r="B77" s="35" t="str">
        <f t="shared" si="8"/>
        <v>Thu thập dữ liệu Quan hệ giữa các điều khoản trong các văn bản quy phạm pháp luật</v>
      </c>
      <c r="C77" s="44" t="s">
        <v>109</v>
      </c>
      <c r="D77" s="31" t="s">
        <v>107</v>
      </c>
      <c r="E77" s="32"/>
      <c r="F77" s="35"/>
      <c r="G77" s="33" t="s">
        <v>5</v>
      </c>
      <c r="H77" s="33" t="s">
        <v>6</v>
      </c>
    </row>
    <row r="78" spans="1:8" ht="16.5">
      <c r="A78" s="33">
        <f>COUNTA($D$4:D78)</f>
        <v>63</v>
      </c>
      <c r="B78" s="35" t="str">
        <f t="shared" si="8"/>
        <v>Thu thập dữ liệu Văn bản hợp nhất</v>
      </c>
      <c r="C78" s="44" t="s">
        <v>110</v>
      </c>
      <c r="D78" s="31" t="s">
        <v>107</v>
      </c>
      <c r="E78" s="32"/>
      <c r="F78" s="35"/>
      <c r="G78" s="33" t="s">
        <v>5</v>
      </c>
      <c r="H78" s="33" t="s">
        <v>6</v>
      </c>
    </row>
    <row r="79" spans="1:8" ht="33">
      <c r="A79" s="33">
        <f>COUNTA($D$4:D79)</f>
        <v>64</v>
      </c>
      <c r="B79" s="35" t="str">
        <f t="shared" si="8"/>
        <v>Thu thập dữ liệu Hệ thống hóa văn bản quy phạm pháp luật</v>
      </c>
      <c r="C79" s="44" t="s">
        <v>111</v>
      </c>
      <c r="D79" s="31" t="s">
        <v>107</v>
      </c>
      <c r="E79" s="32"/>
      <c r="F79" s="35"/>
      <c r="G79" s="33" t="s">
        <v>5</v>
      </c>
      <c r="H79" s="33" t="s">
        <v>6</v>
      </c>
    </row>
    <row r="80" spans="1:8" ht="16.5">
      <c r="A80" s="38" t="s">
        <v>112</v>
      </c>
      <c r="B80" s="39" t="s">
        <v>113</v>
      </c>
      <c r="C80" s="39"/>
      <c r="D80" s="31"/>
      <c r="E80" s="32"/>
      <c r="F80" s="32"/>
      <c r="G80" s="33"/>
      <c r="H80" s="33"/>
    </row>
    <row r="81" spans="1:8" ht="33">
      <c r="A81" s="33">
        <f>COUNTA($D$4:D81)</f>
        <v>65</v>
      </c>
      <c r="B81" s="35" t="str">
        <f t="shared" ref="B81:B82" si="9">"Thu thập dữ liệu "&amp;C81</f>
        <v>Thu thập dữ liệu Hồ sơ ủy thác tư pháp đến</v>
      </c>
      <c r="C81" s="35" t="s">
        <v>114</v>
      </c>
      <c r="D81" s="31" t="s">
        <v>115</v>
      </c>
      <c r="E81" s="32"/>
      <c r="F81" s="35"/>
      <c r="G81" s="33" t="s">
        <v>5</v>
      </c>
      <c r="H81" s="33" t="s">
        <v>6</v>
      </c>
    </row>
    <row r="82" spans="1:8" ht="33">
      <c r="A82" s="33">
        <f>COUNTA($D$4:D82)</f>
        <v>66</v>
      </c>
      <c r="B82" s="35" t="str">
        <f t="shared" si="9"/>
        <v>Thu thập dữ liệu Hồ sơ ủy thác tư pháp đi</v>
      </c>
      <c r="C82" s="35" t="s">
        <v>116</v>
      </c>
      <c r="D82" s="31" t="s">
        <v>115</v>
      </c>
      <c r="E82" s="32"/>
      <c r="F82" s="35"/>
      <c r="G82" s="33" t="s">
        <v>5</v>
      </c>
      <c r="H82" s="33" t="s">
        <v>6</v>
      </c>
    </row>
    <row r="83" spans="1:8" ht="16.5">
      <c r="A83" s="38" t="s">
        <v>117</v>
      </c>
      <c r="B83" s="39" t="s">
        <v>118</v>
      </c>
      <c r="C83" s="39"/>
      <c r="D83" s="31"/>
      <c r="E83" s="32"/>
      <c r="F83" s="32"/>
      <c r="G83" s="33"/>
      <c r="H83" s="33"/>
    </row>
    <row r="84" spans="1:8" ht="33">
      <c r="A84" s="33">
        <f>COUNTA($D$4:D84)</f>
        <v>67</v>
      </c>
      <c r="B84" s="35" t="str">
        <f t="shared" ref="B84:B91" si="10">"Thu thập dữ liệu "&amp;C84</f>
        <v>Thu thập dữ liệu Tổ chức thực hiện trợ giúp pháp lý</v>
      </c>
      <c r="C84" s="35" t="s">
        <v>119</v>
      </c>
      <c r="D84" s="31" t="s">
        <v>120</v>
      </c>
      <c r="E84" s="32"/>
      <c r="F84" s="35"/>
      <c r="G84" s="33" t="s">
        <v>5</v>
      </c>
      <c r="H84" s="33" t="s">
        <v>6</v>
      </c>
    </row>
    <row r="85" spans="1:8" ht="33">
      <c r="A85" s="33">
        <f>COUNTA($D$4:D85)</f>
        <v>68</v>
      </c>
      <c r="B85" s="35" t="str">
        <f t="shared" si="10"/>
        <v>Thu thập dữ liệu Tổ chức đăng ký tham gia trợ giúp pháp lý</v>
      </c>
      <c r="C85" s="45" t="s">
        <v>121</v>
      </c>
      <c r="D85" s="31" t="s">
        <v>120</v>
      </c>
      <c r="E85" s="32"/>
      <c r="F85" s="35"/>
      <c r="G85" s="33" t="s">
        <v>5</v>
      </c>
      <c r="H85" s="33" t="s">
        <v>6</v>
      </c>
    </row>
    <row r="86" spans="1:8" ht="33">
      <c r="A86" s="33">
        <f>COUNTA($D$4:D86)</f>
        <v>69</v>
      </c>
      <c r="B86" s="35" t="str">
        <f t="shared" si="10"/>
        <v>Thu thập dữ liệu Thông tin văn bản cử người thực hiện trợ giúp pháp lý</v>
      </c>
      <c r="C86" s="45" t="s">
        <v>122</v>
      </c>
      <c r="D86" s="31" t="s">
        <v>120</v>
      </c>
      <c r="E86" s="32"/>
      <c r="F86" s="35"/>
      <c r="G86" s="33" t="s">
        <v>5</v>
      </c>
      <c r="H86" s="33" t="s">
        <v>6</v>
      </c>
    </row>
    <row r="87" spans="1:8" ht="33">
      <c r="A87" s="33">
        <f>COUNTA($D$4:D87)</f>
        <v>70</v>
      </c>
      <c r="B87" s="35" t="str">
        <f t="shared" si="10"/>
        <v>Thu thập dữ liệu Trung tâm TGPL nhà nước</v>
      </c>
      <c r="C87" s="35" t="s">
        <v>123</v>
      </c>
      <c r="D87" s="31" t="s">
        <v>120</v>
      </c>
      <c r="E87" s="32"/>
      <c r="F87" s="35"/>
      <c r="G87" s="33" t="s">
        <v>5</v>
      </c>
      <c r="H87" s="33" t="s">
        <v>6</v>
      </c>
    </row>
    <row r="88" spans="1:8" ht="33">
      <c r="A88" s="33">
        <f>COUNTA($D$4:D88)</f>
        <v>71</v>
      </c>
      <c r="B88" s="61" t="str">
        <f t="shared" ref="B88" si="11">"Thu thập dữ liệu "&amp;C88</f>
        <v>Thu thập dữ liệu Chi nhánh TGPL</v>
      </c>
      <c r="C88" s="47" t="s">
        <v>561</v>
      </c>
      <c r="D88" s="62" t="s">
        <v>120</v>
      </c>
      <c r="E88" s="32"/>
      <c r="F88" s="35"/>
      <c r="G88" s="33" t="s">
        <v>5</v>
      </c>
      <c r="H88" s="33" t="s">
        <v>6</v>
      </c>
    </row>
    <row r="89" spans="1:8" ht="33">
      <c r="A89" s="33">
        <f>COUNTA($D$4:D89)</f>
        <v>72</v>
      </c>
      <c r="B89" s="35" t="str">
        <f t="shared" si="10"/>
        <v>Thu thập dữ liệu Người thực hiện TGPL</v>
      </c>
      <c r="C89" s="35" t="s">
        <v>29</v>
      </c>
      <c r="D89" s="31" t="s">
        <v>120</v>
      </c>
      <c r="E89" s="32"/>
      <c r="F89" s="35"/>
      <c r="G89" s="33" t="s">
        <v>5</v>
      </c>
      <c r="H89" s="33" t="s">
        <v>6</v>
      </c>
    </row>
    <row r="90" spans="1:8" ht="16.5">
      <c r="A90" s="38" t="s">
        <v>495</v>
      </c>
      <c r="B90" s="39" t="s">
        <v>460</v>
      </c>
      <c r="C90" s="39"/>
      <c r="D90" s="31"/>
      <c r="E90" s="32"/>
      <c r="F90" s="32"/>
      <c r="G90" s="33"/>
      <c r="H90" s="33"/>
    </row>
    <row r="91" spans="1:8" ht="33">
      <c r="A91" s="46">
        <f>COUNTA($D$4:D91)</f>
        <v>73</v>
      </c>
      <c r="B91" s="47" t="str">
        <f t="shared" si="10"/>
        <v>Thu thập dữ liệu Báo cáo viên pháp luật</v>
      </c>
      <c r="C91" s="47" t="s">
        <v>427</v>
      </c>
      <c r="D91" s="48" t="s">
        <v>428</v>
      </c>
      <c r="E91" s="49"/>
      <c r="F91" s="47"/>
      <c r="G91" s="33" t="s">
        <v>5</v>
      </c>
      <c r="H91" s="33" t="s">
        <v>6</v>
      </c>
    </row>
    <row r="92" spans="1:8" ht="33">
      <c r="A92" s="46">
        <f>COUNTA($D$4:D92)</f>
        <v>74</v>
      </c>
      <c r="B92" s="47" t="str">
        <f t="shared" ref="B92:B106" si="12">"Thu thập dữ liệu "&amp;C92</f>
        <v>Thu thập dữ liệu Tuyên truyền viên pháp luật</v>
      </c>
      <c r="C92" s="35" t="s">
        <v>496</v>
      </c>
      <c r="D92" s="48" t="s">
        <v>428</v>
      </c>
      <c r="E92" s="49"/>
      <c r="F92" s="47"/>
      <c r="G92" s="33" t="s">
        <v>5</v>
      </c>
      <c r="H92" s="33" t="s">
        <v>6</v>
      </c>
    </row>
    <row r="93" spans="1:8" ht="33">
      <c r="A93" s="46">
        <f>COUNTA($D$4:D93)</f>
        <v>75</v>
      </c>
      <c r="B93" s="47" t="str">
        <f t="shared" si="12"/>
        <v>Thu thập dữ liệu Chương trình, kế hoạch về phổ biến, giáo dục pháp luật</v>
      </c>
      <c r="C93" s="35" t="s">
        <v>497</v>
      </c>
      <c r="D93" s="48" t="s">
        <v>428</v>
      </c>
      <c r="E93" s="49"/>
      <c r="F93" s="47"/>
      <c r="G93" s="33" t="s">
        <v>5</v>
      </c>
      <c r="H93" s="33" t="s">
        <v>6</v>
      </c>
    </row>
    <row r="94" spans="1:8" ht="33">
      <c r="A94" s="46">
        <f>COUNTA($D$4:D94)</f>
        <v>76</v>
      </c>
      <c r="B94" s="47" t="str">
        <f t="shared" si="12"/>
        <v>Thu thập dữ liệu Hội đồng phối hợp phổ biến, giáo dục pháp luật</v>
      </c>
      <c r="C94" s="35" t="s">
        <v>498</v>
      </c>
      <c r="D94" s="48" t="s">
        <v>428</v>
      </c>
      <c r="E94" s="49"/>
      <c r="F94" s="47"/>
      <c r="G94" s="33" t="s">
        <v>5</v>
      </c>
      <c r="H94" s="33" t="s">
        <v>6</v>
      </c>
    </row>
    <row r="95" spans="1:8" ht="33">
      <c r="A95" s="46">
        <f>COUNTA($D$4:D95)</f>
        <v>77</v>
      </c>
      <c r="B95" s="47" t="str">
        <f t="shared" si="12"/>
        <v>Thu thập dữ liệu Đề án</v>
      </c>
      <c r="C95" s="35" t="s">
        <v>499</v>
      </c>
      <c r="D95" s="48" t="s">
        <v>428</v>
      </c>
      <c r="E95" s="49"/>
      <c r="F95" s="47"/>
      <c r="G95" s="33" t="s">
        <v>5</v>
      </c>
      <c r="H95" s="33" t="s">
        <v>6</v>
      </c>
    </row>
    <row r="96" spans="1:8" ht="33">
      <c r="A96" s="46">
        <f>COUNTA($D$4:D96)</f>
        <v>78</v>
      </c>
      <c r="B96" s="47" t="str">
        <f t="shared" si="12"/>
        <v>Thu thập dữ liệu Hội nghị tập huấn (trực tuyến, trực tiếp)</v>
      </c>
      <c r="C96" s="35" t="s">
        <v>500</v>
      </c>
      <c r="D96" s="48" t="s">
        <v>428</v>
      </c>
      <c r="E96" s="49"/>
      <c r="F96" s="47"/>
      <c r="G96" s="33" t="s">
        <v>5</v>
      </c>
      <c r="H96" s="33" t="s">
        <v>6</v>
      </c>
    </row>
    <row r="97" spans="1:8" ht="33">
      <c r="A97" s="46">
        <f>COUNTA($D$4:D97)</f>
        <v>79</v>
      </c>
      <c r="B97" s="47" t="str">
        <f t="shared" si="12"/>
        <v>Thu thập dữ liệu Hội thảo</v>
      </c>
      <c r="C97" s="35" t="s">
        <v>501</v>
      </c>
      <c r="D97" s="48" t="s">
        <v>428</v>
      </c>
      <c r="E97" s="49"/>
      <c r="F97" s="47"/>
      <c r="G97" s="33" t="s">
        <v>5</v>
      </c>
      <c r="H97" s="33" t="s">
        <v>6</v>
      </c>
    </row>
    <row r="98" spans="1:8" ht="33">
      <c r="A98" s="46">
        <f>COUNTA($D$4:D98)</f>
        <v>80</v>
      </c>
      <c r="B98" s="47" t="str">
        <f t="shared" si="12"/>
        <v>Thu thập dữ liệu Tổ hoà giải</v>
      </c>
      <c r="C98" s="35" t="s">
        <v>502</v>
      </c>
      <c r="D98" s="48" t="s">
        <v>428</v>
      </c>
      <c r="E98" s="49"/>
      <c r="F98" s="47"/>
      <c r="G98" s="33" t="s">
        <v>5</v>
      </c>
      <c r="H98" s="33" t="s">
        <v>6</v>
      </c>
    </row>
    <row r="99" spans="1:8" ht="33">
      <c r="A99" s="46">
        <f>COUNTA($D$4:D99)</f>
        <v>81</v>
      </c>
      <c r="B99" s="47" t="str">
        <f t="shared" si="12"/>
        <v>Thu thập dữ liệu Hoà giải viên</v>
      </c>
      <c r="C99" s="35" t="s">
        <v>503</v>
      </c>
      <c r="D99" s="48" t="s">
        <v>428</v>
      </c>
      <c r="E99" s="49"/>
      <c r="F99" s="47"/>
      <c r="G99" s="33" t="s">
        <v>5</v>
      </c>
      <c r="H99" s="33" t="s">
        <v>6</v>
      </c>
    </row>
    <row r="100" spans="1:8" ht="33">
      <c r="A100" s="46">
        <f>COUNTA($D$4:D100)</f>
        <v>82</v>
      </c>
      <c r="B100" s="47" t="str">
        <f t="shared" si="12"/>
        <v>Thu thập dữ liệu Vụ việc hoà giải</v>
      </c>
      <c r="C100" s="35" t="s">
        <v>504</v>
      </c>
      <c r="D100" s="48" t="s">
        <v>428</v>
      </c>
      <c r="E100" s="49"/>
      <c r="F100" s="47"/>
      <c r="G100" s="33" t="s">
        <v>5</v>
      </c>
      <c r="H100" s="33" t="s">
        <v>6</v>
      </c>
    </row>
    <row r="101" spans="1:8" ht="33">
      <c r="A101" s="46">
        <f>COUNTA($D$4:D101)</f>
        <v>83</v>
      </c>
      <c r="B101" s="47" t="str">
        <f t="shared" si="12"/>
        <v>Thu thập dữ liệu Tập huấn viên</v>
      </c>
      <c r="C101" s="35" t="s">
        <v>505</v>
      </c>
      <c r="D101" s="48" t="s">
        <v>428</v>
      </c>
      <c r="E101" s="49"/>
      <c r="F101" s="47"/>
      <c r="G101" s="33" t="s">
        <v>5</v>
      </c>
      <c r="H101" s="33" t="s">
        <v>6</v>
      </c>
    </row>
    <row r="102" spans="1:8" ht="33">
      <c r="A102" s="46">
        <f>COUNTA($D$4:D102)</f>
        <v>84</v>
      </c>
      <c r="B102" s="47" t="str">
        <f t="shared" si="12"/>
        <v>Thu thập dữ liệu Kinh phí phổ biến giáo dục pháp luật</v>
      </c>
      <c r="C102" s="35" t="s">
        <v>506</v>
      </c>
      <c r="D102" s="48" t="s">
        <v>428</v>
      </c>
      <c r="E102" s="49"/>
      <c r="F102" s="47"/>
      <c r="G102" s="33" t="s">
        <v>5</v>
      </c>
      <c r="H102" s="33" t="s">
        <v>6</v>
      </c>
    </row>
    <row r="103" spans="1:8" ht="33">
      <c r="A103" s="46">
        <f>COUNTA($D$4:D103)</f>
        <v>85</v>
      </c>
      <c r="B103" s="47" t="str">
        <f t="shared" si="12"/>
        <v>Thu thập dữ liệu Tiêu chí, chỉ tiêu tiếp cận pháp luật</v>
      </c>
      <c r="C103" s="35" t="s">
        <v>507</v>
      </c>
      <c r="D103" s="48" t="s">
        <v>428</v>
      </c>
      <c r="E103" s="49"/>
      <c r="F103" s="47"/>
      <c r="G103" s="33" t="s">
        <v>5</v>
      </c>
      <c r="H103" s="33" t="s">
        <v>6</v>
      </c>
    </row>
    <row r="104" spans="1:8" ht="33">
      <c r="A104" s="46">
        <f>COUNTA($D$4:D104)</f>
        <v>86</v>
      </c>
      <c r="B104" s="47" t="str">
        <f t="shared" si="12"/>
        <v>Thu thập dữ liệu Đánh giá cấp xã đạt chuẩn tiếp cận pháp luật</v>
      </c>
      <c r="C104" s="35" t="s">
        <v>508</v>
      </c>
      <c r="D104" s="48" t="s">
        <v>428</v>
      </c>
      <c r="E104" s="49"/>
      <c r="F104" s="47"/>
      <c r="G104" s="33" t="s">
        <v>5</v>
      </c>
      <c r="H104" s="33" t="s">
        <v>6</v>
      </c>
    </row>
    <row r="105" spans="1:8" ht="33">
      <c r="A105" s="46">
        <f>COUNTA($D$4:D105)</f>
        <v>87</v>
      </c>
      <c r="B105" s="47" t="str">
        <f t="shared" si="12"/>
        <v>Thu thập dữ liệu Cuộc PBGDPL</v>
      </c>
      <c r="C105" s="35" t="s">
        <v>509</v>
      </c>
      <c r="D105" s="48" t="s">
        <v>428</v>
      </c>
      <c r="E105" s="49"/>
      <c r="F105" s="47"/>
      <c r="G105" s="33" t="s">
        <v>5</v>
      </c>
      <c r="H105" s="33" t="s">
        <v>6</v>
      </c>
    </row>
    <row r="106" spans="1:8" ht="33">
      <c r="A106" s="46">
        <f>COUNTA($D$4:D106)</f>
        <v>88</v>
      </c>
      <c r="B106" s="47" t="str">
        <f t="shared" si="12"/>
        <v>Thu thập dữ liệu Cuộc thi tìm hiểu về pháp luật</v>
      </c>
      <c r="C106" s="50" t="s">
        <v>510</v>
      </c>
      <c r="D106" s="48" t="s">
        <v>428</v>
      </c>
      <c r="E106" s="49"/>
      <c r="F106" s="47"/>
      <c r="G106" s="33" t="s">
        <v>5</v>
      </c>
      <c r="H106" s="33" t="s">
        <v>6</v>
      </c>
    </row>
    <row r="107" spans="1:8" ht="16.5">
      <c r="A107" s="38" t="s">
        <v>124</v>
      </c>
      <c r="B107" s="43" t="s">
        <v>125</v>
      </c>
      <c r="C107" s="43"/>
      <c r="D107" s="31"/>
      <c r="E107" s="32"/>
      <c r="F107" s="32"/>
      <c r="G107" s="33"/>
      <c r="H107" s="33"/>
    </row>
    <row r="108" spans="1:8" ht="16.5">
      <c r="A108" s="38" t="s">
        <v>126</v>
      </c>
      <c r="B108" s="39" t="s">
        <v>127</v>
      </c>
      <c r="C108" s="39"/>
      <c r="D108" s="31"/>
      <c r="E108" s="32"/>
      <c r="F108" s="32"/>
      <c r="G108" s="33"/>
      <c r="H108" s="33"/>
    </row>
    <row r="109" spans="1:8" ht="33">
      <c r="A109" s="33">
        <f>COUNTA($D$4:D109)</f>
        <v>89</v>
      </c>
      <c r="B109" s="35" t="str">
        <f t="shared" ref="B109:B132" si="13">"Thu thập dữ liệu "&amp;C109</f>
        <v>Thu thập dữ liệu Đấu giá viên</v>
      </c>
      <c r="C109" s="35" t="s">
        <v>128</v>
      </c>
      <c r="D109" s="31" t="s">
        <v>129</v>
      </c>
      <c r="E109" s="32"/>
      <c r="F109" s="35"/>
      <c r="G109" s="33" t="s">
        <v>5</v>
      </c>
      <c r="H109" s="33" t="s">
        <v>6</v>
      </c>
    </row>
    <row r="110" spans="1:8" ht="33">
      <c r="A110" s="33">
        <f>COUNTA($D$4:D110)</f>
        <v>90</v>
      </c>
      <c r="B110" s="35" t="str">
        <f t="shared" si="13"/>
        <v>Thu thập dữ liệu Tổ chức hành nghề đấu giá</v>
      </c>
      <c r="C110" s="35" t="s">
        <v>130</v>
      </c>
      <c r="D110" s="31" t="s">
        <v>129</v>
      </c>
      <c r="E110" s="32"/>
      <c r="F110" s="35"/>
      <c r="G110" s="33" t="s">
        <v>5</v>
      </c>
      <c r="H110" s="33" t="s">
        <v>6</v>
      </c>
    </row>
    <row r="111" spans="1:8" ht="33">
      <c r="A111" s="33">
        <f>COUNTA($D$4:D111)</f>
        <v>91</v>
      </c>
      <c r="B111" s="35" t="str">
        <f t="shared" ref="B111:B113" si="14">"Thu thập dữ liệu "&amp;C111</f>
        <v>Thu thập dữ liệu Người có tài sản đấu giá</v>
      </c>
      <c r="C111" s="63" t="s">
        <v>562</v>
      </c>
      <c r="D111" s="31" t="s">
        <v>129</v>
      </c>
      <c r="E111" s="32"/>
      <c r="F111" s="35"/>
      <c r="G111" s="33" t="s">
        <v>5</v>
      </c>
      <c r="H111" s="33" t="s">
        <v>6</v>
      </c>
    </row>
    <row r="112" spans="1:8" ht="33">
      <c r="A112" s="33">
        <f>COUNTA($D$4:D112)</f>
        <v>92</v>
      </c>
      <c r="B112" s="35" t="str">
        <f t="shared" si="14"/>
        <v>Thu thập dữ liệu Thông tin việc đấu giá</v>
      </c>
      <c r="C112" s="63" t="s">
        <v>563</v>
      </c>
      <c r="D112" s="31" t="s">
        <v>129</v>
      </c>
      <c r="E112" s="32"/>
      <c r="F112" s="35"/>
      <c r="G112" s="33" t="s">
        <v>5</v>
      </c>
      <c r="H112" s="33" t="s">
        <v>6</v>
      </c>
    </row>
    <row r="113" spans="1:8" ht="33">
      <c r="A113" s="33">
        <f>COUNTA($D$4:D113)</f>
        <v>93</v>
      </c>
      <c r="B113" s="35" t="str">
        <f t="shared" si="14"/>
        <v>Thu thập dữ liệu Tài sản đấu giá</v>
      </c>
      <c r="C113" s="63" t="s">
        <v>564</v>
      </c>
      <c r="D113" s="31" t="s">
        <v>129</v>
      </c>
      <c r="E113" s="32"/>
      <c r="F113" s="35"/>
      <c r="G113" s="33" t="s">
        <v>5</v>
      </c>
      <c r="H113" s="33" t="s">
        <v>6</v>
      </c>
    </row>
    <row r="114" spans="1:8" ht="33">
      <c r="A114" s="33">
        <f>COUNTA($D$4:D114)</f>
        <v>94</v>
      </c>
      <c r="B114" s="35" t="str">
        <f t="shared" si="13"/>
        <v>Thu thập dữ liệu Công chứng viên</v>
      </c>
      <c r="C114" s="35" t="s">
        <v>131</v>
      </c>
      <c r="D114" s="31" t="s">
        <v>129</v>
      </c>
      <c r="E114" s="32"/>
      <c r="F114" s="35"/>
      <c r="G114" s="33" t="s">
        <v>5</v>
      </c>
      <c r="H114" s="33" t="s">
        <v>6</v>
      </c>
    </row>
    <row r="115" spans="1:8" ht="33">
      <c r="A115" s="33">
        <f>COUNTA($D$4:D115)</f>
        <v>95</v>
      </c>
      <c r="B115" s="35" t="str">
        <f t="shared" si="13"/>
        <v>Thu thập dữ liệu Thông tin ngăn chặn</v>
      </c>
      <c r="C115" s="35" t="s">
        <v>132</v>
      </c>
      <c r="D115" s="31" t="s">
        <v>129</v>
      </c>
      <c r="E115" s="32"/>
      <c r="F115" s="35"/>
      <c r="G115" s="33" t="s">
        <v>5</v>
      </c>
      <c r="H115" s="33" t="s">
        <v>6</v>
      </c>
    </row>
    <row r="116" spans="1:8" ht="33">
      <c r="A116" s="33">
        <f>COUNTA($D$4:D116)</f>
        <v>96</v>
      </c>
      <c r="B116" s="35" t="str">
        <f t="shared" si="13"/>
        <v>Thu thập dữ liệu Tổ chức hành nghề công chứng</v>
      </c>
      <c r="C116" s="35" t="s">
        <v>133</v>
      </c>
      <c r="D116" s="31" t="s">
        <v>129</v>
      </c>
      <c r="E116" s="32"/>
      <c r="F116" s="35"/>
      <c r="G116" s="33" t="s">
        <v>5</v>
      </c>
      <c r="H116" s="33" t="s">
        <v>6</v>
      </c>
    </row>
    <row r="117" spans="1:8" ht="33">
      <c r="A117" s="33">
        <f>COUNTA($D$4:D117)</f>
        <v>97</v>
      </c>
      <c r="B117" s="35" t="str">
        <f t="shared" si="13"/>
        <v>Thu thập dữ liệu Tài sản trong giao dịch công chứng</v>
      </c>
      <c r="C117" s="35" t="s">
        <v>134</v>
      </c>
      <c r="D117" s="31" t="s">
        <v>129</v>
      </c>
      <c r="E117" s="32"/>
      <c r="F117" s="35"/>
      <c r="G117" s="33" t="s">
        <v>5</v>
      </c>
      <c r="H117" s="33" t="s">
        <v>6</v>
      </c>
    </row>
    <row r="118" spans="1:8" ht="33">
      <c r="A118" s="33">
        <f>COUNTA($D$4:D118)</f>
        <v>98</v>
      </c>
      <c r="B118" s="35" t="str">
        <f t="shared" si="13"/>
        <v>Thu thập dữ liệu Kết quả hoạt động công chứng</v>
      </c>
      <c r="C118" s="35" t="s">
        <v>135</v>
      </c>
      <c r="D118" s="31" t="s">
        <v>129</v>
      </c>
      <c r="E118" s="32"/>
      <c r="F118" s="35"/>
      <c r="G118" s="33" t="s">
        <v>5</v>
      </c>
      <c r="H118" s="33" t="s">
        <v>6</v>
      </c>
    </row>
    <row r="119" spans="1:8" ht="33">
      <c r="A119" s="33">
        <f>COUNTA($D$4:D119)</f>
        <v>99</v>
      </c>
      <c r="B119" s="35" t="str">
        <f t="shared" si="13"/>
        <v>Thu thập dữ liệu Quản tài viên</v>
      </c>
      <c r="C119" s="47" t="s">
        <v>136</v>
      </c>
      <c r="D119" s="31" t="s">
        <v>129</v>
      </c>
      <c r="E119" s="32"/>
      <c r="F119" s="35"/>
      <c r="G119" s="33" t="s">
        <v>5</v>
      </c>
      <c r="H119" s="33" t="s">
        <v>6</v>
      </c>
    </row>
    <row r="120" spans="1:8" ht="33">
      <c r="A120" s="33">
        <f>COUNTA($D$4:D120)</f>
        <v>100</v>
      </c>
      <c r="B120" s="35" t="str">
        <f t="shared" si="13"/>
        <v>Thu thập dữ liệu Doanh nghiệp quản lý, thanh lý tài sản</v>
      </c>
      <c r="C120" s="35" t="s">
        <v>137</v>
      </c>
      <c r="D120" s="31" t="s">
        <v>129</v>
      </c>
      <c r="E120" s="32"/>
      <c r="F120" s="35"/>
      <c r="G120" s="33" t="s">
        <v>5</v>
      </c>
      <c r="H120" s="33" t="s">
        <v>6</v>
      </c>
    </row>
    <row r="121" spans="1:8" ht="33">
      <c r="A121" s="33">
        <f>COUNTA($D$4:D121)</f>
        <v>101</v>
      </c>
      <c r="B121" s="35" t="str">
        <f t="shared" si="13"/>
        <v>Thu thập dữ liệu Luật sư Việt Nam</v>
      </c>
      <c r="C121" s="35" t="s">
        <v>138</v>
      </c>
      <c r="D121" s="31" t="s">
        <v>129</v>
      </c>
      <c r="E121" s="32"/>
      <c r="F121" s="35"/>
      <c r="G121" s="33" t="s">
        <v>5</v>
      </c>
      <c r="H121" s="33" t="s">
        <v>6</v>
      </c>
    </row>
    <row r="122" spans="1:8" ht="33">
      <c r="A122" s="33">
        <f>COUNTA($D$4:D122)</f>
        <v>102</v>
      </c>
      <c r="B122" s="35" t="str">
        <f t="shared" si="13"/>
        <v>Thu thập dữ liệu Người được cấp chứng chỉ hành nghề luật sư</v>
      </c>
      <c r="C122" s="35" t="s">
        <v>139</v>
      </c>
      <c r="D122" s="31" t="s">
        <v>129</v>
      </c>
      <c r="E122" s="32"/>
      <c r="F122" s="35"/>
      <c r="G122" s="33" t="s">
        <v>5</v>
      </c>
      <c r="H122" s="33" t="s">
        <v>6</v>
      </c>
    </row>
    <row r="123" spans="1:8" ht="33">
      <c r="A123" s="33">
        <f>COUNTA($D$4:D123)</f>
        <v>103</v>
      </c>
      <c r="B123" s="35" t="str">
        <f t="shared" si="13"/>
        <v>Thu thập dữ liệu Tổ chức hành nghề luật sư Việt Nam</v>
      </c>
      <c r="C123" s="35" t="s">
        <v>140</v>
      </c>
      <c r="D123" s="31" t="s">
        <v>129</v>
      </c>
      <c r="E123" s="32"/>
      <c r="F123" s="35"/>
      <c r="G123" s="33" t="s">
        <v>5</v>
      </c>
      <c r="H123" s="33" t="s">
        <v>6</v>
      </c>
    </row>
    <row r="124" spans="1:8" ht="33">
      <c r="A124" s="33">
        <f>COUNTA($D$4:D124)</f>
        <v>104</v>
      </c>
      <c r="B124" s="35" t="str">
        <f t="shared" si="13"/>
        <v>Thu thập dữ liệu Luật sư nước ngoài</v>
      </c>
      <c r="C124" s="35" t="s">
        <v>141</v>
      </c>
      <c r="D124" s="31" t="s">
        <v>129</v>
      </c>
      <c r="E124" s="32"/>
      <c r="F124" s="35"/>
      <c r="G124" s="33" t="s">
        <v>5</v>
      </c>
      <c r="H124" s="33" t="s">
        <v>6</v>
      </c>
    </row>
    <row r="125" spans="1:8" ht="33">
      <c r="A125" s="33">
        <f>COUNTA($D$4:D125)</f>
        <v>105</v>
      </c>
      <c r="B125" s="35" t="str">
        <f t="shared" si="13"/>
        <v>Thu thập dữ liệu Tổ chức hành nghề luật sư nước ngoài</v>
      </c>
      <c r="C125" s="35" t="s">
        <v>142</v>
      </c>
      <c r="D125" s="31" t="s">
        <v>129</v>
      </c>
      <c r="E125" s="32"/>
      <c r="F125" s="35"/>
      <c r="G125" s="33" t="s">
        <v>5</v>
      </c>
      <c r="H125" s="33" t="s">
        <v>6</v>
      </c>
    </row>
    <row r="126" spans="1:8" ht="33">
      <c r="A126" s="33">
        <f>COUNTA($D$4:D126)</f>
        <v>106</v>
      </c>
      <c r="B126" s="35" t="str">
        <f t="shared" si="13"/>
        <v>Thu thập dữ liệu Trọng tài viên</v>
      </c>
      <c r="C126" s="47" t="s">
        <v>143</v>
      </c>
      <c r="D126" s="31" t="s">
        <v>129</v>
      </c>
      <c r="E126" s="32"/>
      <c r="F126" s="35"/>
      <c r="G126" s="33" t="s">
        <v>5</v>
      </c>
      <c r="H126" s="33" t="s">
        <v>6</v>
      </c>
    </row>
    <row r="127" spans="1:8" ht="33">
      <c r="A127" s="33">
        <f>COUNTA($D$4:D127)</f>
        <v>107</v>
      </c>
      <c r="B127" s="35" t="str">
        <f t="shared" si="13"/>
        <v>Thu thập dữ liệu Trung tâm trọng tài</v>
      </c>
      <c r="C127" s="47" t="s">
        <v>144</v>
      </c>
      <c r="D127" s="31" t="s">
        <v>129</v>
      </c>
      <c r="E127" s="32"/>
      <c r="F127" s="35"/>
      <c r="G127" s="33" t="s">
        <v>5</v>
      </c>
      <c r="H127" s="33" t="s">
        <v>6</v>
      </c>
    </row>
    <row r="128" spans="1:8" ht="33">
      <c r="A128" s="33">
        <f>COUNTA($D$4:D128)</f>
        <v>108</v>
      </c>
      <c r="B128" s="35" t="str">
        <f t="shared" si="13"/>
        <v>Thu thập dữ liệu Chi nhánh của tổ chức trọng tài</v>
      </c>
      <c r="C128" s="47" t="s">
        <v>145</v>
      </c>
      <c r="D128" s="31" t="s">
        <v>129</v>
      </c>
      <c r="E128" s="32"/>
      <c r="F128" s="35"/>
      <c r="G128" s="33" t="s">
        <v>5</v>
      </c>
      <c r="H128" s="33" t="s">
        <v>6</v>
      </c>
    </row>
    <row r="129" spans="1:8" ht="33">
      <c r="A129" s="33">
        <f>COUNTA($D$4:D129)</f>
        <v>109</v>
      </c>
      <c r="B129" s="35" t="str">
        <f t="shared" si="13"/>
        <v>Thu thập dữ liệu Văn phòng đại diện của trung tâm trọng tài</v>
      </c>
      <c r="C129" s="47" t="s">
        <v>146</v>
      </c>
      <c r="D129" s="31" t="s">
        <v>129</v>
      </c>
      <c r="E129" s="32"/>
      <c r="F129" s="35"/>
      <c r="G129" s="33" t="s">
        <v>5</v>
      </c>
      <c r="H129" s="33" t="s">
        <v>6</v>
      </c>
    </row>
    <row r="130" spans="1:8" ht="33">
      <c r="A130" s="33">
        <f>COUNTA($D$4:D130)</f>
        <v>110</v>
      </c>
      <c r="B130" s="35" t="str">
        <f t="shared" si="13"/>
        <v>Thu thập dữ liệu Hòa giải viên thương mại</v>
      </c>
      <c r="C130" s="47" t="s">
        <v>147</v>
      </c>
      <c r="D130" s="31" t="s">
        <v>129</v>
      </c>
      <c r="E130" s="32"/>
      <c r="F130" s="35"/>
      <c r="G130" s="33" t="s">
        <v>5</v>
      </c>
      <c r="H130" s="33" t="s">
        <v>6</v>
      </c>
    </row>
    <row r="131" spans="1:8" ht="33">
      <c r="A131" s="33">
        <f>COUNTA($D$4:D131)</f>
        <v>111</v>
      </c>
      <c r="B131" s="35" t="str">
        <f t="shared" si="13"/>
        <v>Thu thập dữ liệu Trung tâm hòa giải thương mại</v>
      </c>
      <c r="C131" s="47" t="s">
        <v>148</v>
      </c>
      <c r="D131" s="31" t="s">
        <v>129</v>
      </c>
      <c r="E131" s="32"/>
      <c r="F131" s="35"/>
      <c r="G131" s="33" t="s">
        <v>5</v>
      </c>
      <c r="H131" s="33" t="s">
        <v>6</v>
      </c>
    </row>
    <row r="132" spans="1:8" ht="33">
      <c r="A132" s="33">
        <f>COUNTA($D$4:D132)</f>
        <v>112</v>
      </c>
      <c r="B132" s="35" t="str">
        <f t="shared" si="13"/>
        <v>Thu thập dữ liệu Giám định viên tư pháp</v>
      </c>
      <c r="C132" s="47" t="s">
        <v>149</v>
      </c>
      <c r="D132" s="31" t="s">
        <v>129</v>
      </c>
      <c r="E132" s="32"/>
      <c r="F132" s="35"/>
      <c r="G132" s="33" t="s">
        <v>5</v>
      </c>
      <c r="H132" s="33" t="s">
        <v>6</v>
      </c>
    </row>
    <row r="133" spans="1:8" ht="16.5">
      <c r="A133" s="38" t="s">
        <v>124</v>
      </c>
      <c r="B133" s="43" t="s">
        <v>511</v>
      </c>
      <c r="C133" s="43"/>
      <c r="D133" s="31"/>
      <c r="E133" s="32"/>
      <c r="F133" s="32"/>
      <c r="G133" s="33"/>
      <c r="H133" s="33"/>
    </row>
    <row r="134" spans="1:8" ht="16.5">
      <c r="A134" s="38" t="s">
        <v>126</v>
      </c>
      <c r="B134" s="39" t="s">
        <v>512</v>
      </c>
      <c r="C134" s="39"/>
      <c r="D134" s="31"/>
      <c r="E134" s="32"/>
      <c r="F134" s="32"/>
      <c r="G134" s="33"/>
      <c r="H134" s="33"/>
    </row>
    <row r="135" spans="1:8" ht="33">
      <c r="A135" s="33">
        <f>COUNTA($D$4:D135)</f>
        <v>113</v>
      </c>
      <c r="B135" s="35" t="str">
        <f t="shared" ref="B135:B140" si="15">"Thu thập dữ liệu "&amp;C135</f>
        <v>Thu thập dữ liệu Thông tin điều ước quốc tế, thỏa thuận quốc tế</v>
      </c>
      <c r="C135" s="47" t="s">
        <v>513</v>
      </c>
      <c r="D135" s="31" t="s">
        <v>519</v>
      </c>
      <c r="E135" s="32"/>
      <c r="F135" s="35"/>
      <c r="G135" s="33" t="s">
        <v>5</v>
      </c>
      <c r="H135" s="33" t="s">
        <v>6</v>
      </c>
    </row>
    <row r="136" spans="1:8" ht="33">
      <c r="A136" s="33">
        <f>COUNTA($D$4:D136)</f>
        <v>114</v>
      </c>
      <c r="B136" s="35" t="str">
        <f t="shared" si="15"/>
        <v>Thu thập dữ liệu Thông tin chương trình dự án</v>
      </c>
      <c r="C136" s="47" t="s">
        <v>514</v>
      </c>
      <c r="D136" s="31" t="s">
        <v>519</v>
      </c>
      <c r="E136" s="32"/>
      <c r="F136" s="35"/>
      <c r="G136" s="33" t="s">
        <v>5</v>
      </c>
      <c r="H136" s="33" t="s">
        <v>6</v>
      </c>
    </row>
    <row r="137" spans="1:8" ht="33">
      <c r="A137" s="33">
        <f>COUNTA($D$4:D137)</f>
        <v>115</v>
      </c>
      <c r="B137" s="35" t="str">
        <f t="shared" si="15"/>
        <v>Thu thập dữ liệu Danh sách chuyên gia</v>
      </c>
      <c r="C137" s="47" t="s">
        <v>515</v>
      </c>
      <c r="D137" s="31" t="s">
        <v>519</v>
      </c>
      <c r="E137" s="32"/>
      <c r="F137" s="35"/>
      <c r="G137" s="33" t="s">
        <v>5</v>
      </c>
      <c r="H137" s="33" t="s">
        <v>6</v>
      </c>
    </row>
    <row r="138" spans="1:8" ht="33">
      <c r="A138" s="33">
        <f>COUNTA($D$4:D138)</f>
        <v>116</v>
      </c>
      <c r="B138" s="35" t="str">
        <f t="shared" si="15"/>
        <v>Thu thập dữ liệu Thông tin hội nghị, hội thảo</v>
      </c>
      <c r="C138" s="47" t="s">
        <v>516</v>
      </c>
      <c r="D138" s="31" t="s">
        <v>519</v>
      </c>
      <c r="E138" s="32"/>
      <c r="F138" s="35"/>
      <c r="G138" s="33" t="s">
        <v>5</v>
      </c>
      <c r="H138" s="33" t="s">
        <v>6</v>
      </c>
    </row>
    <row r="139" spans="1:8" ht="33">
      <c r="A139" s="33">
        <f>COUNTA($D$4:D139)</f>
        <v>117</v>
      </c>
      <c r="B139" s="35" t="str">
        <f t="shared" si="15"/>
        <v>Thu thập dữ liệu Thông tin sản phẩm nghiên cứu, truyền thông</v>
      </c>
      <c r="C139" s="47" t="s">
        <v>517</v>
      </c>
      <c r="D139" s="31" t="s">
        <v>519</v>
      </c>
      <c r="E139" s="32"/>
      <c r="F139" s="35"/>
      <c r="G139" s="33" t="s">
        <v>5</v>
      </c>
      <c r="H139" s="33" t="s">
        <v>6</v>
      </c>
    </row>
    <row r="140" spans="1:8" ht="33">
      <c r="A140" s="33">
        <f>COUNTA($D$4:D140)</f>
        <v>118</v>
      </c>
      <c r="B140" s="35" t="str">
        <f t="shared" si="15"/>
        <v>Thu thập dữ liệu Thông tin Đoàn</v>
      </c>
      <c r="C140" s="47" t="s">
        <v>518</v>
      </c>
      <c r="D140" s="31" t="s">
        <v>519</v>
      </c>
      <c r="E140" s="32"/>
      <c r="F140" s="35"/>
      <c r="G140" s="33" t="s">
        <v>5</v>
      </c>
      <c r="H140" s="33" t="s">
        <v>6</v>
      </c>
    </row>
    <row r="141" spans="1:8" ht="16.5">
      <c r="A141" s="37" t="s">
        <v>329</v>
      </c>
      <c r="B141" s="43" t="s">
        <v>333</v>
      </c>
      <c r="C141" s="47"/>
      <c r="D141" s="31"/>
      <c r="E141" s="32"/>
      <c r="F141" s="35"/>
      <c r="G141" s="33"/>
      <c r="H141" s="33"/>
    </row>
    <row r="142" spans="1:8" ht="66">
      <c r="A142" s="37" t="s">
        <v>335</v>
      </c>
      <c r="B142" s="43" t="s">
        <v>448</v>
      </c>
      <c r="C142" s="43"/>
      <c r="D142" s="31"/>
      <c r="E142" s="32"/>
      <c r="F142" s="32"/>
      <c r="G142" s="33"/>
      <c r="H142" s="33"/>
    </row>
    <row r="143" spans="1:8" ht="49.5">
      <c r="A143" s="33">
        <f>COUNTA($D$4:D143)</f>
        <v>119</v>
      </c>
      <c r="B143" s="25" t="str">
        <f t="shared" ref="B143:B163" si="16">"Thu thập số liệu thống kê trong lĩnh vực "&amp;C143&amp;" theo Thông tư của Bộ trưởng Bộ Tư pháp quy định một số nội dung về hoạt động thống kê của ngành Tư pháp"</f>
        <v>Thu thập số liệu thống kê trong lĩnh vực Xây dựng văn bản quy phạm pháp luật theo Thông tư của Bộ trưởng Bộ Tư pháp quy định một số nội dung về hoạt động thống kê của ngành Tư pháp</v>
      </c>
      <c r="C143" s="25" t="s">
        <v>346</v>
      </c>
      <c r="D143" s="31" t="s">
        <v>334</v>
      </c>
      <c r="E143" s="32"/>
      <c r="F143" s="35"/>
      <c r="G143" s="33" t="s">
        <v>5</v>
      </c>
      <c r="H143" s="33" t="s">
        <v>6</v>
      </c>
    </row>
    <row r="144" spans="1:8" ht="49.5">
      <c r="A144" s="33">
        <f>COUNTA($D$4:D144)</f>
        <v>120</v>
      </c>
      <c r="B144" s="25" t="str">
        <f t="shared" si="16"/>
        <v>Thu thập số liệu thống kê trong lĩnh vực Kiểm tra văn bản quy phạm pháp luật theo Thông tư của Bộ trưởng Bộ Tư pháp quy định một số nội dung về hoạt động thống kê của ngành Tư pháp</v>
      </c>
      <c r="C144" s="25" t="s">
        <v>347</v>
      </c>
      <c r="D144" s="31" t="s">
        <v>334</v>
      </c>
      <c r="E144" s="32"/>
      <c r="F144" s="35"/>
      <c r="G144" s="33" t="s">
        <v>5</v>
      </c>
      <c r="H144" s="33" t="s">
        <v>6</v>
      </c>
    </row>
    <row r="145" spans="1:8" ht="49.5">
      <c r="A145" s="33">
        <f>COUNTA($D$4:D145)</f>
        <v>121</v>
      </c>
      <c r="B145" s="25" t="str">
        <f t="shared" si="16"/>
        <v>Thu thập số liệu thống kê trong lĩnh vực Rà soát văn bản quy phạm pháp luật theo Thông tư của Bộ trưởng Bộ Tư pháp quy định một số nội dung về hoạt động thống kê của ngành Tư pháp</v>
      </c>
      <c r="C145" s="25" t="s">
        <v>348</v>
      </c>
      <c r="D145" s="31" t="s">
        <v>334</v>
      </c>
      <c r="E145" s="32"/>
      <c r="F145" s="35"/>
      <c r="G145" s="33" t="s">
        <v>5</v>
      </c>
      <c r="H145" s="33" t="s">
        <v>6</v>
      </c>
    </row>
    <row r="146" spans="1:8" ht="66">
      <c r="A146" s="33">
        <f>COUNTA($D$4:D146)</f>
        <v>122</v>
      </c>
      <c r="B146" s="25" t="str">
        <f t="shared" si="16"/>
        <v>Thu thập số liệu thống kê trong lĩnh vực Tổ chức và người làm công tác pháp chế theo Thông tư của Bộ trưởng Bộ Tư pháp quy định một số nội dung về hoạt động thống kê của ngành Tư pháp</v>
      </c>
      <c r="C146" s="25" t="s">
        <v>349</v>
      </c>
      <c r="D146" s="31" t="s">
        <v>334</v>
      </c>
      <c r="E146" s="32"/>
      <c r="F146" s="35"/>
      <c r="G146" s="33" t="s">
        <v>5</v>
      </c>
      <c r="H146" s="33" t="s">
        <v>6</v>
      </c>
    </row>
    <row r="147" spans="1:8" ht="49.5">
      <c r="A147" s="33">
        <f>COUNTA($D$4:D147)</f>
        <v>123</v>
      </c>
      <c r="B147" s="25" t="str">
        <f t="shared" si="16"/>
        <v>Thu thập số liệu thống kê trong lĩnh vực Phổ biến, giáo dục pháp luật theo Thông tư của Bộ trưởng Bộ Tư pháp quy định một số nội dung về hoạt động thống kê của ngành Tư pháp</v>
      </c>
      <c r="C147" s="25" t="s">
        <v>350</v>
      </c>
      <c r="D147" s="31" t="s">
        <v>334</v>
      </c>
      <c r="E147" s="32"/>
      <c r="F147" s="35"/>
      <c r="G147" s="33" t="s">
        <v>5</v>
      </c>
      <c r="H147" s="33" t="s">
        <v>6</v>
      </c>
    </row>
    <row r="148" spans="1:8" ht="49.5">
      <c r="A148" s="33">
        <f>COUNTA($D$4:D148)</f>
        <v>124</v>
      </c>
      <c r="B148" s="25" t="str">
        <f t="shared" si="16"/>
        <v>Thu thập số liệu thống kê trong lĩnh vực Hòa giải ở cơ sở theo Thông tư của Bộ trưởng Bộ Tư pháp quy định một số nội dung về hoạt động thống kê của ngành Tư pháp</v>
      </c>
      <c r="C148" s="25" t="s">
        <v>351</v>
      </c>
      <c r="D148" s="31" t="s">
        <v>334</v>
      </c>
      <c r="E148" s="32"/>
      <c r="F148" s="35"/>
      <c r="G148" s="33" t="s">
        <v>5</v>
      </c>
      <c r="H148" s="33" t="s">
        <v>6</v>
      </c>
    </row>
    <row r="149" spans="1:8" ht="49.5">
      <c r="A149" s="33">
        <f>COUNTA($D$4:D149)</f>
        <v>125</v>
      </c>
      <c r="B149" s="25" t="str">
        <f t="shared" si="16"/>
        <v>Thu thập số liệu thống kê trong lĩnh vực Chuẩn tiếp cận pháp luật theo Thông tư của Bộ trưởng Bộ Tư pháp quy định một số nội dung về hoạt động thống kê của ngành Tư pháp</v>
      </c>
      <c r="C149" s="25" t="s">
        <v>352</v>
      </c>
      <c r="D149" s="31" t="s">
        <v>334</v>
      </c>
      <c r="E149" s="32"/>
      <c r="F149" s="35"/>
      <c r="G149" s="33" t="s">
        <v>5</v>
      </c>
      <c r="H149" s="33" t="s">
        <v>6</v>
      </c>
    </row>
    <row r="150" spans="1:8" ht="49.5">
      <c r="A150" s="33">
        <f>COUNTA($D$4:D150)</f>
        <v>126</v>
      </c>
      <c r="B150" s="25" t="str">
        <f t="shared" si="16"/>
        <v>Thu thập số liệu thống kê trong lĩnh vực Hộ tịch theo Thông tư của Bộ trưởng Bộ Tư pháp quy định một số nội dung về hoạt động thống kê của ngành Tư pháp</v>
      </c>
      <c r="C150" s="25" t="s">
        <v>353</v>
      </c>
      <c r="D150" s="31" t="s">
        <v>334</v>
      </c>
      <c r="E150" s="32"/>
      <c r="F150" s="35"/>
      <c r="G150" s="33" t="s">
        <v>5</v>
      </c>
      <c r="H150" s="33" t="s">
        <v>6</v>
      </c>
    </row>
    <row r="151" spans="1:8" ht="49.5">
      <c r="A151" s="33">
        <f>COUNTA($D$4:D151)</f>
        <v>127</v>
      </c>
      <c r="B151" s="25" t="str">
        <f t="shared" si="16"/>
        <v>Thu thập số liệu thống kê trong lĩnh vực Chứng thực theo Thông tư của Bộ trưởng Bộ Tư pháp quy định một số nội dung về hoạt động thống kê của ngành Tư pháp</v>
      </c>
      <c r="C151" s="25" t="s">
        <v>354</v>
      </c>
      <c r="D151" s="31" t="s">
        <v>334</v>
      </c>
      <c r="E151" s="32"/>
      <c r="F151" s="35"/>
      <c r="G151" s="33" t="s">
        <v>5</v>
      </c>
      <c r="H151" s="33" t="s">
        <v>6</v>
      </c>
    </row>
    <row r="152" spans="1:8" ht="49.5">
      <c r="A152" s="33">
        <f>COUNTA($D$4:D152)</f>
        <v>128</v>
      </c>
      <c r="B152" s="25" t="str">
        <f t="shared" si="16"/>
        <v>Thu thập số liệu thống kê trong lĩnh vực Lý lịch tư pháp theo Thông tư của Bộ trưởng Bộ Tư pháp quy định một số nội dung về hoạt động thống kê của ngành Tư pháp</v>
      </c>
      <c r="C152" s="25" t="s">
        <v>355</v>
      </c>
      <c r="D152" s="31" t="s">
        <v>334</v>
      </c>
      <c r="E152" s="32"/>
      <c r="F152" s="35"/>
      <c r="G152" s="33" t="s">
        <v>5</v>
      </c>
      <c r="H152" s="33" t="s">
        <v>6</v>
      </c>
    </row>
    <row r="153" spans="1:8" ht="49.5">
      <c r="A153" s="33">
        <f>COUNTA($D$4:D153)</f>
        <v>129</v>
      </c>
      <c r="B153" s="25" t="str">
        <f t="shared" si="16"/>
        <v>Thu thập số liệu thống kê trong lĩnh vực Nuôi con nuôi theo Thông tư của Bộ trưởng Bộ Tư pháp quy định một số nội dung về hoạt động thống kê của ngành Tư pháp</v>
      </c>
      <c r="C153" s="25" t="s">
        <v>356</v>
      </c>
      <c r="D153" s="31" t="s">
        <v>334</v>
      </c>
      <c r="E153" s="32"/>
      <c r="F153" s="35"/>
      <c r="G153" s="33" t="s">
        <v>5</v>
      </c>
      <c r="H153" s="33" t="s">
        <v>6</v>
      </c>
    </row>
    <row r="154" spans="1:8" ht="49.5">
      <c r="A154" s="33">
        <f>COUNTA($D$4:D154)</f>
        <v>130</v>
      </c>
      <c r="B154" s="25" t="str">
        <f t="shared" si="16"/>
        <v>Thu thập số liệu thống kê trong lĩnh vực Trợ giúp pháp lý theo Thông tư của Bộ trưởng Bộ Tư pháp quy định một số nội dung về hoạt động thống kê của ngành Tư pháp</v>
      </c>
      <c r="C154" s="25" t="s">
        <v>357</v>
      </c>
      <c r="D154" s="31" t="s">
        <v>334</v>
      </c>
      <c r="E154" s="32"/>
      <c r="F154" s="35"/>
      <c r="G154" s="33" t="s">
        <v>5</v>
      </c>
      <c r="H154" s="33" t="s">
        <v>6</v>
      </c>
    </row>
    <row r="155" spans="1:8" ht="49.5">
      <c r="A155" s="33">
        <f>COUNTA($D$4:D155)</f>
        <v>131</v>
      </c>
      <c r="B155" s="25" t="str">
        <f t="shared" si="16"/>
        <v>Thu thập số liệu thống kê trong lĩnh vực Đăng ký giao dịch bảo đảm theo Thông tư của Bộ trưởng Bộ Tư pháp quy định một số nội dung về hoạt động thống kê của ngành Tư pháp</v>
      </c>
      <c r="C155" s="25" t="s">
        <v>358</v>
      </c>
      <c r="D155" s="31" t="s">
        <v>334</v>
      </c>
      <c r="E155" s="32"/>
      <c r="F155" s="35"/>
      <c r="G155" s="33" t="s">
        <v>5</v>
      </c>
      <c r="H155" s="33" t="s">
        <v>6</v>
      </c>
    </row>
    <row r="156" spans="1:8" ht="49.5">
      <c r="A156" s="33">
        <f>COUNTA($D$4:D156)</f>
        <v>132</v>
      </c>
      <c r="B156" s="25" t="str">
        <f t="shared" si="16"/>
        <v>Thu thập số liệu thống kê trong lĩnh vực Luật sư theo Thông tư của Bộ trưởng Bộ Tư pháp quy định một số nội dung về hoạt động thống kê của ngành Tư pháp</v>
      </c>
      <c r="C156" s="25" t="s">
        <v>359</v>
      </c>
      <c r="D156" s="31" t="s">
        <v>334</v>
      </c>
      <c r="E156" s="32"/>
      <c r="F156" s="35"/>
      <c r="G156" s="33" t="s">
        <v>5</v>
      </c>
      <c r="H156" s="33" t="s">
        <v>6</v>
      </c>
    </row>
    <row r="157" spans="1:8" ht="49.5">
      <c r="A157" s="33">
        <f>COUNTA($D$4:D157)</f>
        <v>133</v>
      </c>
      <c r="B157" s="25" t="str">
        <f t="shared" si="16"/>
        <v>Thu thập số liệu thống kê trong lĩnh vực Công chứng theo Thông tư của Bộ trưởng Bộ Tư pháp quy định một số nội dung về hoạt động thống kê của ngành Tư pháp</v>
      </c>
      <c r="C157" s="25" t="s">
        <v>360</v>
      </c>
      <c r="D157" s="31" t="s">
        <v>334</v>
      </c>
      <c r="E157" s="32"/>
      <c r="F157" s="35"/>
      <c r="G157" s="33" t="s">
        <v>5</v>
      </c>
      <c r="H157" s="33" t="s">
        <v>6</v>
      </c>
    </row>
    <row r="158" spans="1:8" ht="49.5">
      <c r="A158" s="33">
        <f>COUNTA($D$4:D158)</f>
        <v>134</v>
      </c>
      <c r="B158" s="25" t="str">
        <f t="shared" si="16"/>
        <v>Thu thập số liệu thống kê trong lĩnh vực Giám định tư pháp theo Thông tư của Bộ trưởng Bộ Tư pháp quy định một số nội dung về hoạt động thống kê của ngành Tư pháp</v>
      </c>
      <c r="C158" s="25" t="s">
        <v>361</v>
      </c>
      <c r="D158" s="31" t="s">
        <v>334</v>
      </c>
      <c r="E158" s="32"/>
      <c r="F158" s="35"/>
      <c r="G158" s="33" t="s">
        <v>5</v>
      </c>
      <c r="H158" s="33" t="s">
        <v>6</v>
      </c>
    </row>
    <row r="159" spans="1:8" ht="49.5">
      <c r="A159" s="33">
        <f>COUNTA($D$4:D159)</f>
        <v>135</v>
      </c>
      <c r="B159" s="25" t="str">
        <f t="shared" si="16"/>
        <v>Thu thập số liệu thống kê trong lĩnh vực Đấu giá tài sản theo Thông tư của Bộ trưởng Bộ Tư pháp quy định một số nội dung về hoạt động thống kê của ngành Tư pháp</v>
      </c>
      <c r="C159" s="25" t="s">
        <v>362</v>
      </c>
      <c r="D159" s="31" t="s">
        <v>334</v>
      </c>
      <c r="E159" s="32"/>
      <c r="F159" s="35"/>
      <c r="G159" s="33" t="s">
        <v>5</v>
      </c>
      <c r="H159" s="33" t="s">
        <v>6</v>
      </c>
    </row>
    <row r="160" spans="1:8" ht="49.5">
      <c r="A160" s="33">
        <f>COUNTA($D$4:D160)</f>
        <v>136</v>
      </c>
      <c r="B160" s="25" t="str">
        <f t="shared" si="16"/>
        <v>Thu thập số liệu thống kê trong lĩnh vực Trọng tài thương mại theo Thông tư của Bộ trưởng Bộ Tư pháp quy định một số nội dung về hoạt động thống kê của ngành Tư pháp</v>
      </c>
      <c r="C160" s="25" t="s">
        <v>363</v>
      </c>
      <c r="D160" s="31" t="s">
        <v>334</v>
      </c>
      <c r="E160" s="32"/>
      <c r="F160" s="35"/>
      <c r="G160" s="33" t="s">
        <v>5</v>
      </c>
      <c r="H160" s="33" t="s">
        <v>6</v>
      </c>
    </row>
    <row r="161" spans="1:8" ht="49.5">
      <c r="A161" s="33">
        <f>COUNTA($D$4:D161)</f>
        <v>137</v>
      </c>
      <c r="B161" s="25" t="str">
        <f t="shared" si="16"/>
        <v>Thu thập số liệu thống kê trong lĩnh vực Hòa giải thương mại theo Thông tư của Bộ trưởng Bộ Tư pháp quy định một số nội dung về hoạt động thống kê của ngành Tư pháp</v>
      </c>
      <c r="C161" s="25" t="s">
        <v>364</v>
      </c>
      <c r="D161" s="31" t="s">
        <v>334</v>
      </c>
      <c r="E161" s="32"/>
      <c r="F161" s="35"/>
      <c r="G161" s="33" t="s">
        <v>5</v>
      </c>
      <c r="H161" s="33" t="s">
        <v>6</v>
      </c>
    </row>
    <row r="162" spans="1:8" ht="49.5">
      <c r="A162" s="33">
        <f>COUNTA($D$4:D162)</f>
        <v>138</v>
      </c>
      <c r="B162" s="25" t="str">
        <f t="shared" si="16"/>
        <v>Thu thập số liệu thống kê trong lĩnh vực Quản lý thanh lý tài sản theo Thông tư của Bộ trưởng Bộ Tư pháp quy định một số nội dung về hoạt động thống kê của ngành Tư pháp</v>
      </c>
      <c r="C162" s="25" t="s">
        <v>365</v>
      </c>
      <c r="D162" s="31" t="s">
        <v>334</v>
      </c>
      <c r="E162" s="32"/>
      <c r="F162" s="35"/>
      <c r="G162" s="33" t="s">
        <v>5</v>
      </c>
      <c r="H162" s="33" t="s">
        <v>6</v>
      </c>
    </row>
    <row r="163" spans="1:8" ht="49.5">
      <c r="A163" s="33">
        <f>COUNTA($D$4:D163)</f>
        <v>139</v>
      </c>
      <c r="B163" s="25" t="str">
        <f t="shared" si="16"/>
        <v>Thu thập số liệu thống kê trong lĩnh vực Tương trợ tư pháp theo Thông tư của Bộ trưởng Bộ Tư pháp quy định một số nội dung về hoạt động thống kê của ngành Tư pháp</v>
      </c>
      <c r="C163" s="25" t="s">
        <v>366</v>
      </c>
      <c r="D163" s="31" t="s">
        <v>334</v>
      </c>
      <c r="E163" s="32"/>
      <c r="F163" s="35"/>
      <c r="G163" s="33" t="s">
        <v>5</v>
      </c>
      <c r="H163" s="33" t="s">
        <v>6</v>
      </c>
    </row>
    <row r="164" spans="1:8" ht="16.5">
      <c r="A164" s="29" t="s">
        <v>9</v>
      </c>
      <c r="B164" s="30" t="s">
        <v>461</v>
      </c>
      <c r="C164" s="30"/>
      <c r="D164" s="31"/>
      <c r="E164" s="32"/>
      <c r="F164" s="32"/>
      <c r="G164" s="33"/>
      <c r="H164" s="33"/>
    </row>
    <row r="165" spans="1:8" ht="16.5">
      <c r="A165" s="37" t="s">
        <v>151</v>
      </c>
      <c r="B165" s="36" t="s">
        <v>565</v>
      </c>
      <c r="C165" s="36"/>
      <c r="D165" s="31"/>
      <c r="E165" s="32"/>
      <c r="F165" s="32"/>
      <c r="G165" s="33"/>
      <c r="H165" s="33"/>
    </row>
    <row r="166" spans="1:8" ht="49.5">
      <c r="A166" s="33">
        <f>COUNTA($D$4:D166)</f>
        <v>140</v>
      </c>
      <c r="B166" s="35" t="s">
        <v>447</v>
      </c>
      <c r="C166" s="35" t="s">
        <v>152</v>
      </c>
      <c r="D166" s="31" t="s">
        <v>38</v>
      </c>
      <c r="E166" s="32"/>
      <c r="F166" s="35"/>
      <c r="G166" s="33" t="s">
        <v>5</v>
      </c>
      <c r="H166" s="33" t="s">
        <v>6</v>
      </c>
    </row>
    <row r="167" spans="1:8" ht="33">
      <c r="A167" s="33">
        <f>COUNTA($D$4:D167)</f>
        <v>141</v>
      </c>
      <c r="B167" s="35" t="s">
        <v>568</v>
      </c>
      <c r="C167" s="35" t="s">
        <v>567</v>
      </c>
      <c r="D167" s="31" t="s">
        <v>566</v>
      </c>
      <c r="E167" s="32"/>
      <c r="F167" s="35"/>
      <c r="G167" s="33" t="s">
        <v>5</v>
      </c>
      <c r="H167" s="33" t="s">
        <v>6</v>
      </c>
    </row>
    <row r="168" spans="1:8" ht="16.5">
      <c r="A168" s="37" t="s">
        <v>153</v>
      </c>
      <c r="B168" s="36" t="s">
        <v>154</v>
      </c>
      <c r="C168" s="36"/>
      <c r="D168" s="31"/>
      <c r="E168" s="32"/>
      <c r="F168" s="32"/>
      <c r="G168" s="33"/>
      <c r="H168" s="33"/>
    </row>
    <row r="169" spans="1:8" ht="16.5">
      <c r="A169" s="38" t="s">
        <v>432</v>
      </c>
      <c r="B169" s="39" t="s">
        <v>49</v>
      </c>
      <c r="C169" s="39"/>
      <c r="D169" s="31"/>
      <c r="E169" s="32"/>
      <c r="F169" s="32"/>
      <c r="G169" s="33"/>
      <c r="H169" s="33"/>
    </row>
    <row r="170" spans="1:8" ht="16.5">
      <c r="A170" s="38" t="s">
        <v>433</v>
      </c>
      <c r="B170" s="39" t="s">
        <v>51</v>
      </c>
      <c r="C170" s="39"/>
      <c r="D170" s="31"/>
      <c r="E170" s="32"/>
      <c r="F170" s="32"/>
      <c r="G170" s="33"/>
      <c r="H170" s="33"/>
    </row>
    <row r="171" spans="1:8" ht="33">
      <c r="A171" s="33">
        <f>COUNTA($D$4:D171)</f>
        <v>142</v>
      </c>
      <c r="B171" s="35" t="s">
        <v>450</v>
      </c>
      <c r="C171" s="35" t="s">
        <v>155</v>
      </c>
      <c r="D171" s="31" t="s">
        <v>53</v>
      </c>
      <c r="E171" s="32"/>
      <c r="F171" s="35"/>
      <c r="G171" s="33" t="s">
        <v>5</v>
      </c>
      <c r="H171" s="33" t="s">
        <v>6</v>
      </c>
    </row>
    <row r="172" spans="1:8" ht="16.5">
      <c r="A172" s="38" t="s">
        <v>434</v>
      </c>
      <c r="B172" s="41" t="s">
        <v>66</v>
      </c>
      <c r="C172" s="41"/>
      <c r="D172" s="31"/>
      <c r="E172" s="32"/>
      <c r="F172" s="32"/>
      <c r="G172" s="33"/>
      <c r="H172" s="33"/>
    </row>
    <row r="173" spans="1:8" ht="33">
      <c r="A173" s="33">
        <f>COUNTA($D$4:D173)</f>
        <v>143</v>
      </c>
      <c r="B173" s="51" t="s">
        <v>451</v>
      </c>
      <c r="C173" s="51" t="s">
        <v>156</v>
      </c>
      <c r="D173" s="52" t="s">
        <v>68</v>
      </c>
      <c r="E173" s="53"/>
      <c r="F173" s="54"/>
      <c r="G173" s="33" t="s">
        <v>5</v>
      </c>
      <c r="H173" s="55" t="s">
        <v>6</v>
      </c>
    </row>
    <row r="174" spans="1:8" ht="16.5">
      <c r="A174" s="38" t="s">
        <v>435</v>
      </c>
      <c r="B174" s="43" t="s">
        <v>72</v>
      </c>
      <c r="C174" s="43"/>
      <c r="D174" s="31"/>
      <c r="E174" s="32"/>
      <c r="F174" s="35"/>
      <c r="G174" s="33"/>
      <c r="H174" s="33"/>
    </row>
    <row r="175" spans="1:8" ht="16.5">
      <c r="A175" s="38" t="s">
        <v>436</v>
      </c>
      <c r="B175" s="39" t="s">
        <v>74</v>
      </c>
      <c r="C175" s="39"/>
      <c r="D175" s="31"/>
      <c r="E175" s="32"/>
      <c r="F175" s="35"/>
      <c r="G175" s="33"/>
      <c r="H175" s="33"/>
    </row>
    <row r="176" spans="1:8" ht="33">
      <c r="A176" s="33">
        <f>COUNTA($D$4:D176)</f>
        <v>144</v>
      </c>
      <c r="B176" s="54" t="s">
        <v>452</v>
      </c>
      <c r="C176" s="54" t="s">
        <v>157</v>
      </c>
      <c r="D176" s="52" t="s">
        <v>76</v>
      </c>
      <c r="E176" s="53"/>
      <c r="F176" s="54"/>
      <c r="G176" s="33" t="s">
        <v>5</v>
      </c>
      <c r="H176" s="55" t="s">
        <v>6</v>
      </c>
    </row>
    <row r="177" spans="1:8" ht="16.5">
      <c r="A177" s="38" t="s">
        <v>437</v>
      </c>
      <c r="B177" s="43" t="s">
        <v>426</v>
      </c>
      <c r="C177" s="43"/>
      <c r="D177" s="31"/>
      <c r="E177" s="32"/>
      <c r="F177" s="32"/>
      <c r="G177" s="33"/>
      <c r="H177" s="33"/>
    </row>
    <row r="178" spans="1:8" ht="16.5">
      <c r="A178" s="38" t="s">
        <v>438</v>
      </c>
      <c r="B178" s="39" t="s">
        <v>96</v>
      </c>
      <c r="C178" s="39"/>
      <c r="D178" s="31"/>
      <c r="E178" s="32"/>
      <c r="F178" s="32"/>
      <c r="G178" s="33"/>
      <c r="H178" s="33"/>
    </row>
    <row r="179" spans="1:8" ht="33">
      <c r="A179" s="33">
        <f>COUNTA($D$4:D179)</f>
        <v>145</v>
      </c>
      <c r="B179" s="54" t="s">
        <v>453</v>
      </c>
      <c r="C179" s="54" t="s">
        <v>158</v>
      </c>
      <c r="D179" s="52" t="s">
        <v>98</v>
      </c>
      <c r="E179" s="53"/>
      <c r="F179" s="54"/>
      <c r="G179" s="33" t="s">
        <v>5</v>
      </c>
      <c r="H179" s="55" t="s">
        <v>6</v>
      </c>
    </row>
    <row r="180" spans="1:8" ht="16.5">
      <c r="A180" s="38" t="s">
        <v>439</v>
      </c>
      <c r="B180" s="43" t="s">
        <v>103</v>
      </c>
      <c r="C180" s="43"/>
      <c r="D180" s="31"/>
      <c r="E180" s="32"/>
      <c r="F180" s="32"/>
      <c r="G180" s="33"/>
      <c r="H180" s="33"/>
    </row>
    <row r="181" spans="1:8" ht="16.5">
      <c r="A181" s="38" t="s">
        <v>440</v>
      </c>
      <c r="B181" s="39" t="s">
        <v>105</v>
      </c>
      <c r="C181" s="39"/>
      <c r="D181" s="31"/>
      <c r="E181" s="32"/>
      <c r="F181" s="32"/>
      <c r="G181" s="33"/>
      <c r="H181" s="33"/>
    </row>
    <row r="182" spans="1:8" ht="33">
      <c r="A182" s="33">
        <f>COUNTA($D$4:D182)</f>
        <v>146</v>
      </c>
      <c r="B182" s="54" t="s">
        <v>454</v>
      </c>
      <c r="C182" s="54" t="s">
        <v>159</v>
      </c>
      <c r="D182" s="52" t="s">
        <v>107</v>
      </c>
      <c r="E182" s="53"/>
      <c r="F182" s="54"/>
      <c r="G182" s="33" t="s">
        <v>5</v>
      </c>
      <c r="H182" s="55" t="s">
        <v>6</v>
      </c>
    </row>
    <row r="183" spans="1:8" ht="16.5">
      <c r="A183" s="38" t="s">
        <v>441</v>
      </c>
      <c r="B183" s="39" t="s">
        <v>113</v>
      </c>
      <c r="C183" s="39"/>
      <c r="D183" s="31"/>
      <c r="E183" s="32"/>
      <c r="F183" s="32"/>
      <c r="G183" s="33"/>
      <c r="H183" s="33"/>
    </row>
    <row r="184" spans="1:8" ht="33">
      <c r="A184" s="33">
        <f>COUNTA($D$4:D184)</f>
        <v>147</v>
      </c>
      <c r="B184" s="54" t="s">
        <v>455</v>
      </c>
      <c r="C184" s="54" t="s">
        <v>160</v>
      </c>
      <c r="D184" s="52" t="s">
        <v>115</v>
      </c>
      <c r="E184" s="53"/>
      <c r="F184" s="54"/>
      <c r="G184" s="33" t="s">
        <v>5</v>
      </c>
      <c r="H184" s="55" t="s">
        <v>6</v>
      </c>
    </row>
    <row r="185" spans="1:8" ht="16.5">
      <c r="A185" s="38" t="s">
        <v>442</v>
      </c>
      <c r="B185" s="39" t="s">
        <v>118</v>
      </c>
      <c r="C185" s="39"/>
      <c r="D185" s="31"/>
      <c r="E185" s="32"/>
      <c r="F185" s="32"/>
      <c r="G185" s="33"/>
      <c r="H185" s="33"/>
    </row>
    <row r="186" spans="1:8" ht="33">
      <c r="A186" s="33">
        <f>COUNTA($D$4:D186)</f>
        <v>148</v>
      </c>
      <c r="B186" s="54" t="s">
        <v>456</v>
      </c>
      <c r="C186" s="54" t="s">
        <v>161</v>
      </c>
      <c r="D186" s="52" t="s">
        <v>120</v>
      </c>
      <c r="E186" s="53"/>
      <c r="F186" s="54"/>
      <c r="G186" s="33" t="s">
        <v>5</v>
      </c>
      <c r="H186" s="55" t="s">
        <v>6</v>
      </c>
    </row>
    <row r="187" spans="1:8" ht="16.5">
      <c r="A187" s="38" t="s">
        <v>459</v>
      </c>
      <c r="B187" s="39" t="s">
        <v>460</v>
      </c>
      <c r="C187" s="39"/>
      <c r="D187" s="31"/>
      <c r="E187" s="32"/>
      <c r="F187" s="32"/>
      <c r="G187" s="33"/>
      <c r="H187" s="33"/>
    </row>
    <row r="188" spans="1:8" ht="33">
      <c r="A188" s="33">
        <f>COUNTA($D$4:D188)</f>
        <v>149</v>
      </c>
      <c r="B188" s="54" t="s">
        <v>456</v>
      </c>
      <c r="C188" s="54" t="s">
        <v>161</v>
      </c>
      <c r="D188" s="52" t="s">
        <v>428</v>
      </c>
      <c r="E188" s="53"/>
      <c r="F188" s="54"/>
      <c r="G188" s="33" t="s">
        <v>5</v>
      </c>
      <c r="H188" s="55" t="s">
        <v>6</v>
      </c>
    </row>
    <row r="189" spans="1:8" ht="16.5">
      <c r="A189" s="38" t="s">
        <v>443</v>
      </c>
      <c r="B189" s="43" t="s">
        <v>125</v>
      </c>
      <c r="C189" s="43"/>
      <c r="D189" s="31"/>
      <c r="E189" s="32"/>
      <c r="F189" s="32"/>
      <c r="G189" s="33"/>
      <c r="H189" s="33"/>
    </row>
    <row r="190" spans="1:8" ht="16.5">
      <c r="A190" s="38" t="s">
        <v>444</v>
      </c>
      <c r="B190" s="39" t="s">
        <v>127</v>
      </c>
      <c r="C190" s="39"/>
      <c r="D190" s="31"/>
      <c r="E190" s="32"/>
      <c r="F190" s="32"/>
      <c r="G190" s="33"/>
      <c r="H190" s="33"/>
    </row>
    <row r="191" spans="1:8" ht="33">
      <c r="A191" s="33">
        <f>COUNTA($D$4:D191)</f>
        <v>150</v>
      </c>
      <c r="B191" s="54" t="s">
        <v>457</v>
      </c>
      <c r="C191" s="54" t="s">
        <v>162</v>
      </c>
      <c r="D191" s="52" t="s">
        <v>129</v>
      </c>
      <c r="E191" s="53"/>
      <c r="F191" s="54"/>
      <c r="G191" s="33" t="s">
        <v>5</v>
      </c>
      <c r="H191" s="55" t="s">
        <v>6</v>
      </c>
    </row>
    <row r="192" spans="1:8" ht="16.5">
      <c r="A192" s="37" t="s">
        <v>445</v>
      </c>
      <c r="B192" s="43" t="s">
        <v>333</v>
      </c>
      <c r="C192" s="47"/>
      <c r="D192" s="31"/>
      <c r="E192" s="32"/>
      <c r="F192" s="35"/>
      <c r="G192" s="33"/>
      <c r="H192" s="33"/>
    </row>
    <row r="193" spans="1:8" ht="66">
      <c r="A193" s="37" t="s">
        <v>446</v>
      </c>
      <c r="B193" s="43" t="s">
        <v>449</v>
      </c>
      <c r="C193" s="43"/>
      <c r="D193" s="31"/>
      <c r="E193" s="32"/>
      <c r="F193" s="32"/>
      <c r="G193" s="33"/>
      <c r="H193" s="33"/>
    </row>
    <row r="194" spans="1:8" ht="33">
      <c r="A194" s="55">
        <f>COUNTA($D$4:D194)</f>
        <v>151</v>
      </c>
      <c r="B194" s="54" t="s">
        <v>458</v>
      </c>
      <c r="C194" s="54" t="s">
        <v>330</v>
      </c>
      <c r="D194" s="52" t="s">
        <v>367</v>
      </c>
      <c r="E194" s="53"/>
      <c r="F194" s="54"/>
      <c r="G194" s="33" t="s">
        <v>5</v>
      </c>
      <c r="H194" s="55" t="s">
        <v>6</v>
      </c>
    </row>
    <row r="195" spans="1:8" ht="16.5">
      <c r="A195" s="29" t="s">
        <v>11</v>
      </c>
      <c r="B195" s="30" t="s">
        <v>163</v>
      </c>
      <c r="C195" s="30"/>
      <c r="D195" s="31"/>
      <c r="E195" s="32"/>
      <c r="F195" s="32"/>
      <c r="G195" s="33"/>
      <c r="H195" s="33"/>
    </row>
    <row r="196" spans="1:8" ht="33">
      <c r="A196" s="37" t="s">
        <v>164</v>
      </c>
      <c r="B196" s="36" t="s">
        <v>494</v>
      </c>
      <c r="C196" s="36"/>
      <c r="D196" s="31"/>
      <c r="E196" s="32"/>
      <c r="F196" s="32"/>
      <c r="G196" s="33"/>
      <c r="H196" s="33"/>
    </row>
    <row r="197" spans="1:8" ht="33">
      <c r="A197" s="33">
        <f>COUNTA($D$4:D197)</f>
        <v>152</v>
      </c>
      <c r="B197" s="35" t="str">
        <f>"Thiết lập quy tắc biến đổi dữ liệu " &amp;C197</f>
        <v>Thiết lập quy tắc biến đổi dữ liệu Dữ liệu danh mục dùng chung thu thập qua TTDLQG</v>
      </c>
      <c r="C197" s="35" t="s">
        <v>165</v>
      </c>
      <c r="D197" s="31" t="s">
        <v>28</v>
      </c>
      <c r="E197" s="32"/>
      <c r="F197" s="35"/>
      <c r="G197" s="33" t="s">
        <v>5</v>
      </c>
      <c r="H197" s="33" t="s">
        <v>6</v>
      </c>
    </row>
    <row r="198" spans="1:8" ht="33">
      <c r="A198" s="46">
        <f>COUNTA($D$4:D198)</f>
        <v>153</v>
      </c>
      <c r="B198" s="35" t="str">
        <f t="shared" ref="B198:B209" si="17">"Thiết lập quy tắc biến đổi dữ liệu " &amp;C198</f>
        <v>Thiết lập quy tắc biến đổi dữ liệu Bảo trợ xã hội và giảm nghèo - Hưởng trợ giúp xã hội</v>
      </c>
      <c r="C198" s="47" t="s">
        <v>550</v>
      </c>
      <c r="D198" s="31" t="s">
        <v>28</v>
      </c>
      <c r="E198" s="32"/>
      <c r="F198" s="35"/>
      <c r="G198" s="33" t="s">
        <v>5</v>
      </c>
      <c r="H198" s="33" t="s">
        <v>6</v>
      </c>
    </row>
    <row r="199" spans="1:8" ht="33">
      <c r="A199" s="46">
        <f>COUNTA($D$4:D199)</f>
        <v>154</v>
      </c>
      <c r="B199" s="35" t="str">
        <f t="shared" si="17"/>
        <v>Thiết lập quy tắc biến đổi dữ liệu Bảo trợ xã hội và giảm nghèo - Hưởng trợ giúp xã hội</v>
      </c>
      <c r="C199" s="47" t="s">
        <v>550</v>
      </c>
      <c r="D199" s="31" t="s">
        <v>28</v>
      </c>
      <c r="E199" s="32"/>
      <c r="F199" s="35"/>
      <c r="G199" s="33" t="s">
        <v>5</v>
      </c>
      <c r="H199" s="33" t="s">
        <v>6</v>
      </c>
    </row>
    <row r="200" spans="1:8" ht="33">
      <c r="A200" s="46">
        <f>COUNTA($D$4:D200)</f>
        <v>155</v>
      </c>
      <c r="B200" s="35" t="str">
        <f t="shared" si="17"/>
        <v>Thiết lập quy tắc biến đổi dữ liệu Bảo trợ xã hội và giảm nghèo - Thông tin người nghèo, cận nghèo</v>
      </c>
      <c r="C200" s="60" t="s">
        <v>551</v>
      </c>
      <c r="D200" s="31" t="s">
        <v>28</v>
      </c>
      <c r="E200" s="32"/>
      <c r="F200" s="35"/>
      <c r="G200" s="33" t="s">
        <v>5</v>
      </c>
      <c r="H200" s="33" t="s">
        <v>6</v>
      </c>
    </row>
    <row r="201" spans="1:8" ht="33">
      <c r="A201" s="46">
        <f>COUNTA($D$4:D201)</f>
        <v>156</v>
      </c>
      <c r="B201" s="35" t="str">
        <f t="shared" si="17"/>
        <v>Thiết lập quy tắc biến đổi dữ liệu Bảo trợ xã hội và giảm nghèo - Người đơn thân</v>
      </c>
      <c r="C201" s="60" t="s">
        <v>552</v>
      </c>
      <c r="D201" s="31" t="s">
        <v>28</v>
      </c>
      <c r="E201" s="32"/>
      <c r="F201" s="35"/>
      <c r="G201" s="33" t="s">
        <v>5</v>
      </c>
      <c r="H201" s="33" t="s">
        <v>6</v>
      </c>
    </row>
    <row r="202" spans="1:8" ht="47.25">
      <c r="A202" s="46">
        <f>COUNTA($D$4:D202)</f>
        <v>157</v>
      </c>
      <c r="B202" s="35" t="str">
        <f t="shared" si="17"/>
        <v>Thiết lập quy tắc biến đổi dữ liệu Bảo trợ xã hội và giảm nghèo - Trẻ em là đối tượng bảo trợ xã hội</v>
      </c>
      <c r="C202" s="60" t="s">
        <v>553</v>
      </c>
      <c r="D202" s="31" t="s">
        <v>28</v>
      </c>
      <c r="E202" s="32"/>
      <c r="F202" s="35"/>
      <c r="G202" s="33" t="s">
        <v>5</v>
      </c>
      <c r="H202" s="33" t="s">
        <v>6</v>
      </c>
    </row>
    <row r="203" spans="1:8" ht="33">
      <c r="A203" s="46">
        <f>COUNTA($D$4:D203)</f>
        <v>158</v>
      </c>
      <c r="B203" s="35" t="str">
        <f t="shared" si="17"/>
        <v>Thiết lập quy tắc biến đổi dữ liệu Bảo trợ xã hội và giảm nghèo -Người có HIV</v>
      </c>
      <c r="C203" s="60" t="s">
        <v>554</v>
      </c>
      <c r="D203" s="31" t="s">
        <v>28</v>
      </c>
      <c r="E203" s="32"/>
      <c r="F203" s="35"/>
      <c r="G203" s="33" t="s">
        <v>5</v>
      </c>
      <c r="H203" s="33" t="s">
        <v>6</v>
      </c>
    </row>
    <row r="204" spans="1:8" ht="33">
      <c r="A204" s="46">
        <f>COUNTA($D$4:D204)</f>
        <v>159</v>
      </c>
      <c r="B204" s="35" t="str">
        <f t="shared" si="17"/>
        <v>Thiết lập quy tắc biến đổi dữ liệu Bảo trợ xã hội và giảm nghèo -Người cao tuổi</v>
      </c>
      <c r="C204" s="60" t="s">
        <v>555</v>
      </c>
      <c r="D204" s="31" t="s">
        <v>28</v>
      </c>
      <c r="E204" s="32"/>
      <c r="F204" s="35"/>
      <c r="G204" s="33" t="s">
        <v>5</v>
      </c>
      <c r="H204" s="33" t="s">
        <v>6</v>
      </c>
    </row>
    <row r="205" spans="1:8" ht="33">
      <c r="A205" s="46">
        <f>COUNTA($D$4:D205)</f>
        <v>160</v>
      </c>
      <c r="B205" s="35" t="str">
        <f t="shared" si="17"/>
        <v>Thiết lập quy tắc biến đổi dữ liệu Bảo trợ xã hội và giảm nghèo - Thông tin về người khuyết tật</v>
      </c>
      <c r="C205" s="60" t="s">
        <v>556</v>
      </c>
      <c r="D205" s="31" t="s">
        <v>28</v>
      </c>
      <c r="E205" s="32"/>
      <c r="F205" s="35"/>
      <c r="G205" s="33" t="s">
        <v>5</v>
      </c>
      <c r="H205" s="33" t="s">
        <v>6</v>
      </c>
    </row>
    <row r="206" spans="1:8" ht="33">
      <c r="A206" s="46">
        <f>COUNTA($D$4:D206)</f>
        <v>161</v>
      </c>
      <c r="B206" s="35" t="str">
        <f t="shared" si="17"/>
        <v>Thiết lập quy tắc biến đổi dữ liệu Người có công - Hồ sơ công nhận người có công</v>
      </c>
      <c r="C206" s="60" t="s">
        <v>557</v>
      </c>
      <c r="D206" s="31" t="s">
        <v>28</v>
      </c>
      <c r="E206" s="32"/>
      <c r="F206" s="35"/>
      <c r="G206" s="33" t="s">
        <v>5</v>
      </c>
      <c r="H206" s="33" t="s">
        <v>6</v>
      </c>
    </row>
    <row r="207" spans="1:8" ht="33">
      <c r="A207" s="46">
        <f>COUNTA($D$4:D207)</f>
        <v>162</v>
      </c>
      <c r="B207" s="35" t="str">
        <f t="shared" si="17"/>
        <v>Thiết lập quy tắc biến đổi dữ liệu Người có công - Hồ sơ liệt sĩ:</v>
      </c>
      <c r="C207" s="60" t="s">
        <v>558</v>
      </c>
      <c r="D207" s="31" t="s">
        <v>28</v>
      </c>
      <c r="E207" s="32"/>
      <c r="F207" s="35"/>
      <c r="G207" s="33" t="s">
        <v>5</v>
      </c>
      <c r="H207" s="33" t="s">
        <v>6</v>
      </c>
    </row>
    <row r="208" spans="1:8" ht="33">
      <c r="A208" s="46">
        <f>COUNTA($D$4:D208)</f>
        <v>163</v>
      </c>
      <c r="B208" s="35" t="str">
        <f t="shared" si="17"/>
        <v>Thiết lập quy tắc biến đổi dữ liệu Người có công - Hồ sơ công nhận thân nhân người có công</v>
      </c>
      <c r="C208" s="60" t="s">
        <v>559</v>
      </c>
      <c r="D208" s="31" t="s">
        <v>28</v>
      </c>
      <c r="E208" s="32"/>
      <c r="F208" s="35"/>
      <c r="G208" s="33" t="s">
        <v>5</v>
      </c>
      <c r="H208" s="33" t="s">
        <v>6</v>
      </c>
    </row>
    <row r="209" spans="1:8" ht="16.5">
      <c r="A209" s="46">
        <f>COUNTA($D$4:D209)</f>
        <v>164</v>
      </c>
      <c r="B209" s="35" t="str">
        <f t="shared" si="17"/>
        <v xml:space="preserve">Thiết lập quy tắc biến đổi dữ liệu Trẻ em -Trẻ em </v>
      </c>
      <c r="C209" s="60" t="s">
        <v>560</v>
      </c>
      <c r="D209" s="31" t="s">
        <v>28</v>
      </c>
      <c r="E209" s="32"/>
      <c r="F209" s="35"/>
      <c r="G209" s="33" t="s">
        <v>5</v>
      </c>
      <c r="H209" s="33" t="s">
        <v>6</v>
      </c>
    </row>
    <row r="210" spans="1:8" ht="16.5">
      <c r="A210" s="46">
        <f>COUNTA($D$4:D210)</f>
        <v>165</v>
      </c>
      <c r="B210" s="35" t="str">
        <f>"Thiết lập quy tắc làm sạch " &amp;C210</f>
        <v>Thiết lập quy tắc làm sạch Thông tin Bản án, quyết định</v>
      </c>
      <c r="C210" s="47" t="s">
        <v>548</v>
      </c>
      <c r="D210" s="31" t="s">
        <v>28</v>
      </c>
      <c r="E210" s="32"/>
      <c r="F210" s="35"/>
      <c r="G210" s="33" t="s">
        <v>5</v>
      </c>
      <c r="H210" s="33" t="s">
        <v>6</v>
      </c>
    </row>
    <row r="211" spans="1:8" ht="16.5">
      <c r="A211" s="46">
        <f>COUNTA($D$4:D211)</f>
        <v>166</v>
      </c>
      <c r="B211" s="35" t="str">
        <f>"Thiết lập quy tắc chuẩn hóa " &amp;C211</f>
        <v>Thiết lập quy tắc chuẩn hóa Thông tin Bản án, quyết định</v>
      </c>
      <c r="C211" s="47" t="s">
        <v>548</v>
      </c>
      <c r="D211" s="31" t="s">
        <v>28</v>
      </c>
      <c r="E211" s="32"/>
      <c r="F211" s="35"/>
      <c r="G211" s="33" t="s">
        <v>5</v>
      </c>
      <c r="H211" s="33" t="s">
        <v>6</v>
      </c>
    </row>
    <row r="212" spans="1:8" ht="16.5">
      <c r="A212" s="46">
        <f>COUNTA($D$4:D212)</f>
        <v>167</v>
      </c>
      <c r="B212" s="35" t="str">
        <f>"Thiết lập quy tắc biến đổi " &amp;C212</f>
        <v>Thiết lập quy tắc biến đổi Thông tin Bản án, quyết định</v>
      </c>
      <c r="C212" s="47" t="s">
        <v>548</v>
      </c>
      <c r="D212" s="31" t="s">
        <v>28</v>
      </c>
      <c r="E212" s="32"/>
      <c r="F212" s="35"/>
      <c r="G212" s="33" t="s">
        <v>5</v>
      </c>
      <c r="H212" s="33" t="s">
        <v>6</v>
      </c>
    </row>
    <row r="213" spans="1:8" ht="33">
      <c r="A213" s="37" t="s">
        <v>166</v>
      </c>
      <c r="B213" s="36" t="s">
        <v>167</v>
      </c>
      <c r="C213" s="36"/>
      <c r="D213" s="31"/>
      <c r="E213" s="32"/>
      <c r="F213" s="35"/>
      <c r="G213" s="33"/>
      <c r="H213" s="33"/>
    </row>
    <row r="214" spans="1:8" ht="16.5">
      <c r="A214" s="38" t="s">
        <v>168</v>
      </c>
      <c r="B214" s="39" t="s">
        <v>49</v>
      </c>
      <c r="C214" s="39"/>
      <c r="D214" s="31"/>
      <c r="E214" s="32"/>
      <c r="F214" s="35"/>
      <c r="G214" s="33"/>
      <c r="H214" s="33"/>
    </row>
    <row r="215" spans="1:8" ht="16.5">
      <c r="A215" s="38" t="s">
        <v>169</v>
      </c>
      <c r="B215" s="39" t="s">
        <v>51</v>
      </c>
      <c r="C215" s="39"/>
      <c r="D215" s="31"/>
      <c r="E215" s="32"/>
      <c r="F215" s="35"/>
      <c r="G215" s="33"/>
      <c r="H215" s="33"/>
    </row>
    <row r="216" spans="1:8" ht="33">
      <c r="A216" s="33">
        <f>COUNTA($D$4:D216)</f>
        <v>168</v>
      </c>
      <c r="B216" s="35" t="str">
        <f>"Thiết lập quy tắc làm sạch " &amp;C216</f>
        <v>Thiết lập quy tắc làm sạch Bộ dữ liệu hồ sơ đăng ký khai sinh</v>
      </c>
      <c r="C216" s="40" t="s">
        <v>52</v>
      </c>
      <c r="D216" s="31" t="s">
        <v>28</v>
      </c>
      <c r="E216" s="32"/>
      <c r="F216" s="35"/>
      <c r="G216" s="33" t="s">
        <v>5</v>
      </c>
      <c r="H216" s="33" t="s">
        <v>7</v>
      </c>
    </row>
    <row r="217" spans="1:8" ht="33">
      <c r="A217" s="33">
        <f>COUNTA($D$4:D217)</f>
        <v>169</v>
      </c>
      <c r="B217" s="35" t="str">
        <f>"Thiết lập quy tắc chuẩn hóa " &amp;C217</f>
        <v>Thiết lập quy tắc chuẩn hóa Bộ dữ liệu hồ sơ đăng ký khai sinh</v>
      </c>
      <c r="C217" s="40" t="s">
        <v>52</v>
      </c>
      <c r="D217" s="31" t="s">
        <v>28</v>
      </c>
      <c r="E217" s="32"/>
      <c r="F217" s="35"/>
      <c r="G217" s="33" t="s">
        <v>5</v>
      </c>
      <c r="H217" s="33" t="s">
        <v>6</v>
      </c>
    </row>
    <row r="218" spans="1:8" ht="33">
      <c r="A218" s="33">
        <f>COUNTA($D$4:D218)</f>
        <v>170</v>
      </c>
      <c r="B218" s="35" t="str">
        <f>"Thiết lập quy tắc biến đổi " &amp;C218</f>
        <v>Thiết lập quy tắc biến đổi Bộ dữ liệu hồ sơ đăng ký khai sinh</v>
      </c>
      <c r="C218" s="40" t="s">
        <v>52</v>
      </c>
      <c r="D218" s="31" t="s">
        <v>28</v>
      </c>
      <c r="E218" s="32"/>
      <c r="F218" s="35"/>
      <c r="G218" s="33" t="s">
        <v>5</v>
      </c>
      <c r="H218" s="33" t="s">
        <v>6</v>
      </c>
    </row>
    <row r="219" spans="1:8" ht="33">
      <c r="A219" s="33">
        <f>COUNTA($D$4:D219)</f>
        <v>171</v>
      </c>
      <c r="B219" s="35" t="str">
        <f>"Thiết lập quy tắc làm sạch " &amp;C219</f>
        <v>Thiết lập quy tắc làm sạch Bộ dữ liệu hồ sơ đăng ký kết hôn</v>
      </c>
      <c r="C219" s="40" t="s">
        <v>54</v>
      </c>
      <c r="D219" s="31" t="s">
        <v>28</v>
      </c>
      <c r="E219" s="32"/>
      <c r="F219" s="40"/>
      <c r="G219" s="33" t="s">
        <v>5</v>
      </c>
      <c r="H219" s="33" t="s">
        <v>7</v>
      </c>
    </row>
    <row r="220" spans="1:8" ht="33">
      <c r="A220" s="33">
        <f>COUNTA($D$4:D220)</f>
        <v>172</v>
      </c>
      <c r="B220" s="35" t="str">
        <f>"Thiết lập quy tắc chuẩn hóa " &amp;C220</f>
        <v>Thiết lập quy tắc chuẩn hóa Bộ dữ liệu hồ sơ đăng ký kết hôn</v>
      </c>
      <c r="C220" s="40" t="s">
        <v>54</v>
      </c>
      <c r="D220" s="31" t="s">
        <v>28</v>
      </c>
      <c r="E220" s="32"/>
      <c r="F220" s="40"/>
      <c r="G220" s="33" t="s">
        <v>5</v>
      </c>
      <c r="H220" s="33" t="s">
        <v>6</v>
      </c>
    </row>
    <row r="221" spans="1:8" ht="33">
      <c r="A221" s="33">
        <f>COUNTA($D$4:D221)</f>
        <v>173</v>
      </c>
      <c r="B221" s="35" t="str">
        <f>"Thiết lập quy tắc biến đổi " &amp;C221</f>
        <v>Thiết lập quy tắc biến đổi Bộ dữ liệu hồ sơ đăng ký kết hôn</v>
      </c>
      <c r="C221" s="40" t="s">
        <v>54</v>
      </c>
      <c r="D221" s="31" t="s">
        <v>28</v>
      </c>
      <c r="E221" s="32"/>
      <c r="F221" s="35"/>
      <c r="G221" s="33" t="s">
        <v>5</v>
      </c>
      <c r="H221" s="33" t="s">
        <v>6</v>
      </c>
    </row>
    <row r="222" spans="1:8" ht="33">
      <c r="A222" s="33">
        <f>COUNTA($D$4:D222)</f>
        <v>174</v>
      </c>
      <c r="B222" s="35" t="str">
        <f>"Thiết lập quy tắc làm sạch " &amp;C222</f>
        <v>Thiết lập quy tắc làm sạch Bộ dữ liệu hồ sơ cấp Giấy xác nhận tình trạng hôn nhân</v>
      </c>
      <c r="C222" s="40" t="s">
        <v>55</v>
      </c>
      <c r="D222" s="31" t="s">
        <v>28</v>
      </c>
      <c r="E222" s="32"/>
      <c r="F222" s="35"/>
      <c r="G222" s="33" t="s">
        <v>5</v>
      </c>
      <c r="H222" s="33" t="s">
        <v>7</v>
      </c>
    </row>
    <row r="223" spans="1:8" ht="33">
      <c r="A223" s="33">
        <f>COUNTA($D$4:D223)</f>
        <v>175</v>
      </c>
      <c r="B223" s="35" t="str">
        <f>"Thiết lập quy tắc chuẩn hóa " &amp;C223</f>
        <v>Thiết lập quy tắc chuẩn hóa Bộ dữ liệu hồ sơ cấp Giấy xác nhận tình trạng hôn nhân</v>
      </c>
      <c r="C223" s="40" t="s">
        <v>55</v>
      </c>
      <c r="D223" s="31" t="s">
        <v>28</v>
      </c>
      <c r="E223" s="32"/>
      <c r="F223" s="35"/>
      <c r="G223" s="33" t="s">
        <v>5</v>
      </c>
      <c r="H223" s="33" t="s">
        <v>6</v>
      </c>
    </row>
    <row r="224" spans="1:8" ht="33">
      <c r="A224" s="33">
        <f>COUNTA($D$4:D224)</f>
        <v>176</v>
      </c>
      <c r="B224" s="35" t="str">
        <f>"Thiết lập quy tắc biến đổi " &amp;C224</f>
        <v>Thiết lập quy tắc biến đổi Bộ dữ liệu hồ sơ cấp Giấy xác nhận tình trạng hôn nhân</v>
      </c>
      <c r="C224" s="40" t="s">
        <v>55</v>
      </c>
      <c r="D224" s="31" t="s">
        <v>28</v>
      </c>
      <c r="E224" s="32"/>
      <c r="F224" s="35"/>
      <c r="G224" s="33" t="s">
        <v>5</v>
      </c>
      <c r="H224" s="33" t="s">
        <v>6</v>
      </c>
    </row>
    <row r="225" spans="1:8" ht="33">
      <c r="A225" s="33">
        <f>COUNTA($D$4:D225)</f>
        <v>177</v>
      </c>
      <c r="B225" s="35" t="str">
        <f>"Thiết lập quy tắc làm sạch " &amp;C225</f>
        <v>Thiết lập quy tắc làm sạch Bộ dữ liệu hồ sơ đăng ký khai tử</v>
      </c>
      <c r="C225" s="40" t="s">
        <v>56</v>
      </c>
      <c r="D225" s="31" t="s">
        <v>28</v>
      </c>
      <c r="E225" s="32"/>
      <c r="F225" s="35"/>
      <c r="G225" s="33" t="s">
        <v>5</v>
      </c>
      <c r="H225" s="33" t="s">
        <v>7</v>
      </c>
    </row>
    <row r="226" spans="1:8" ht="33">
      <c r="A226" s="33">
        <f>COUNTA($D$4:D226)</f>
        <v>178</v>
      </c>
      <c r="B226" s="35" t="str">
        <f>"Thiết lập quy tắc chuẩn hóa " &amp;C226</f>
        <v>Thiết lập quy tắc chuẩn hóa Bộ dữ liệu hồ sơ đăng ký khai tử</v>
      </c>
      <c r="C226" s="40" t="s">
        <v>56</v>
      </c>
      <c r="D226" s="31" t="s">
        <v>28</v>
      </c>
      <c r="E226" s="32"/>
      <c r="F226" s="35"/>
      <c r="G226" s="33" t="s">
        <v>5</v>
      </c>
      <c r="H226" s="33" t="s">
        <v>6</v>
      </c>
    </row>
    <row r="227" spans="1:8" ht="33">
      <c r="A227" s="33">
        <f>COUNTA($D$4:D227)</f>
        <v>179</v>
      </c>
      <c r="B227" s="35" t="str">
        <f>"Thiết lập quy tắc biến đổi " &amp;C227</f>
        <v>Thiết lập quy tắc biến đổi Bộ dữ liệu hồ sơ đăng ký khai tử</v>
      </c>
      <c r="C227" s="40" t="s">
        <v>56</v>
      </c>
      <c r="D227" s="31" t="s">
        <v>28</v>
      </c>
      <c r="E227" s="32"/>
      <c r="F227" s="35"/>
      <c r="G227" s="33" t="s">
        <v>5</v>
      </c>
      <c r="H227" s="33" t="s">
        <v>6</v>
      </c>
    </row>
    <row r="228" spans="1:8" ht="33">
      <c r="A228" s="33">
        <f>COUNTA($D$4:D228)</f>
        <v>180</v>
      </c>
      <c r="B228" s="35" t="str">
        <f>"Thiết lập quy tắc làm sạch " &amp;C228</f>
        <v>Thiết lập quy tắc làm sạch Bộ dữ liệu hồ sơ đăng ký nhận cha, mẹ, con</v>
      </c>
      <c r="C228" s="40" t="s">
        <v>57</v>
      </c>
      <c r="D228" s="31" t="s">
        <v>28</v>
      </c>
      <c r="E228" s="32"/>
      <c r="F228" s="35"/>
      <c r="G228" s="33" t="s">
        <v>5</v>
      </c>
      <c r="H228" s="33" t="s">
        <v>7</v>
      </c>
    </row>
    <row r="229" spans="1:8" ht="33">
      <c r="A229" s="33">
        <f>COUNTA($D$4:D229)</f>
        <v>181</v>
      </c>
      <c r="B229" s="35" t="str">
        <f>"Thiết lập quy tắc chuẩn hóa " &amp;C229</f>
        <v>Thiết lập quy tắc chuẩn hóa Bộ dữ liệu hồ sơ đăng ký nhận cha, mẹ, con</v>
      </c>
      <c r="C229" s="40" t="s">
        <v>57</v>
      </c>
      <c r="D229" s="31" t="s">
        <v>28</v>
      </c>
      <c r="E229" s="32"/>
      <c r="F229" s="35"/>
      <c r="G229" s="33" t="s">
        <v>5</v>
      </c>
      <c r="H229" s="33" t="s">
        <v>6</v>
      </c>
    </row>
    <row r="230" spans="1:8" ht="33">
      <c r="A230" s="33">
        <f>COUNTA($D$4:D230)</f>
        <v>182</v>
      </c>
      <c r="B230" s="35" t="str">
        <f>"Thiết lập quy tắc biến đổi " &amp;C230</f>
        <v>Thiết lập quy tắc biến đổi Bộ dữ liệu hồ sơ đăng ký nhận cha, mẹ, con</v>
      </c>
      <c r="C230" s="40" t="s">
        <v>57</v>
      </c>
      <c r="D230" s="31" t="s">
        <v>28</v>
      </c>
      <c r="E230" s="32"/>
      <c r="F230" s="35"/>
      <c r="G230" s="33" t="s">
        <v>5</v>
      </c>
      <c r="H230" s="33" t="s">
        <v>6</v>
      </c>
    </row>
    <row r="231" spans="1:8" ht="33">
      <c r="A231" s="33">
        <f>COUNTA($D$4:D231)</f>
        <v>183</v>
      </c>
      <c r="B231" s="35" t="str">
        <f t="shared" ref="B231:B249" si="18">"Thiết lập quy tắc làm sạch " &amp;C231</f>
        <v>Thiết lập quy tắc làm sạch Bộ dữ liệu hồ sơ đăng ký nuôi con nuôi</v>
      </c>
      <c r="C231" s="40" t="s">
        <v>58</v>
      </c>
      <c r="D231" s="31" t="s">
        <v>28</v>
      </c>
      <c r="E231" s="32"/>
      <c r="F231" s="35"/>
      <c r="G231" s="33" t="s">
        <v>5</v>
      </c>
      <c r="H231" s="33" t="s">
        <v>7</v>
      </c>
    </row>
    <row r="232" spans="1:8" ht="33">
      <c r="A232" s="33">
        <f>COUNTA($D$4:D232)</f>
        <v>184</v>
      </c>
      <c r="B232" s="35" t="str">
        <f>"Thiết lập quy tắc chuẩn hóa " &amp;C232</f>
        <v>Thiết lập quy tắc chuẩn hóa Bộ dữ liệu hồ sơ đăng ký nuôi con nuôi</v>
      </c>
      <c r="C232" s="40" t="s">
        <v>58</v>
      </c>
      <c r="D232" s="31" t="s">
        <v>28</v>
      </c>
      <c r="E232" s="32"/>
      <c r="F232" s="35"/>
      <c r="G232" s="33" t="s">
        <v>5</v>
      </c>
      <c r="H232" s="33" t="s">
        <v>6</v>
      </c>
    </row>
    <row r="233" spans="1:8" ht="33">
      <c r="A233" s="33">
        <f>COUNTA($D$4:D233)</f>
        <v>185</v>
      </c>
      <c r="B233" s="35" t="str">
        <f>"Thiết lập quy tắc biến đổi " &amp;C233</f>
        <v>Thiết lập quy tắc biến đổi Bộ dữ liệu hồ sơ đăng ký nuôi con nuôi</v>
      </c>
      <c r="C233" s="40" t="s">
        <v>58</v>
      </c>
      <c r="D233" s="31" t="s">
        <v>28</v>
      </c>
      <c r="E233" s="32"/>
      <c r="F233" s="35"/>
      <c r="G233" s="33" t="s">
        <v>5</v>
      </c>
      <c r="H233" s="33" t="s">
        <v>6</v>
      </c>
    </row>
    <row r="234" spans="1:8" ht="33">
      <c r="A234" s="33">
        <f>COUNTA($D$4:D234)</f>
        <v>186</v>
      </c>
      <c r="B234" s="35" t="str">
        <f t="shared" si="18"/>
        <v>Thiết lập quy tắc làm sạch Bộ dữ liệu hồ sơ đăng ký giám hộ</v>
      </c>
      <c r="C234" s="40" t="s">
        <v>59</v>
      </c>
      <c r="D234" s="31" t="s">
        <v>28</v>
      </c>
      <c r="E234" s="32"/>
      <c r="F234" s="35"/>
      <c r="G234" s="33" t="s">
        <v>5</v>
      </c>
      <c r="H234" s="33" t="s">
        <v>7</v>
      </c>
    </row>
    <row r="235" spans="1:8" ht="33">
      <c r="A235" s="33">
        <f>COUNTA($D$4:D235)</f>
        <v>187</v>
      </c>
      <c r="B235" s="35" t="str">
        <f>"Thiết lập quy tắc chuẩn hóa " &amp;C235</f>
        <v>Thiết lập quy tắc chuẩn hóa Bộ dữ liệu hồ sơ đăng ký giám hộ</v>
      </c>
      <c r="C235" s="40" t="s">
        <v>59</v>
      </c>
      <c r="D235" s="31" t="s">
        <v>28</v>
      </c>
      <c r="E235" s="32"/>
      <c r="F235" s="35"/>
      <c r="G235" s="33" t="s">
        <v>5</v>
      </c>
      <c r="H235" s="33" t="s">
        <v>6</v>
      </c>
    </row>
    <row r="236" spans="1:8" ht="33">
      <c r="A236" s="33">
        <f>COUNTA($D$4:D236)</f>
        <v>188</v>
      </c>
      <c r="B236" s="35" t="str">
        <f>"Thiết lập quy tắc biến đổi " &amp;C236</f>
        <v>Thiết lập quy tắc biến đổi Bộ dữ liệu hồ sơ đăng ký giám hộ</v>
      </c>
      <c r="C236" s="40" t="s">
        <v>59</v>
      </c>
      <c r="D236" s="31" t="s">
        <v>28</v>
      </c>
      <c r="E236" s="32"/>
      <c r="F236" s="35"/>
      <c r="G236" s="33" t="s">
        <v>5</v>
      </c>
      <c r="H236" s="33" t="s">
        <v>6</v>
      </c>
    </row>
    <row r="237" spans="1:8" ht="33">
      <c r="A237" s="33">
        <f>COUNTA($D$4:D237)</f>
        <v>189</v>
      </c>
      <c r="B237" s="35" t="str">
        <f t="shared" si="18"/>
        <v>Thiết lập quy tắc làm sạch Bộ dữ liệu hồ sơ đăng ký chấm dứt giám hộ</v>
      </c>
      <c r="C237" s="40" t="s">
        <v>60</v>
      </c>
      <c r="D237" s="31" t="s">
        <v>28</v>
      </c>
      <c r="E237" s="32"/>
      <c r="F237" s="35"/>
      <c r="G237" s="33" t="s">
        <v>5</v>
      </c>
      <c r="H237" s="33" t="s">
        <v>7</v>
      </c>
    </row>
    <row r="238" spans="1:8" ht="33">
      <c r="A238" s="33">
        <f>COUNTA($D$4:D238)</f>
        <v>190</v>
      </c>
      <c r="B238" s="35" t="str">
        <f>"Thiết lập quy tắc chuẩn hóa " &amp;C238</f>
        <v>Thiết lập quy tắc chuẩn hóa Bộ dữ liệu hồ sơ đăng ký chấm dứt giám hộ</v>
      </c>
      <c r="C238" s="40" t="s">
        <v>60</v>
      </c>
      <c r="D238" s="31" t="s">
        <v>28</v>
      </c>
      <c r="E238" s="32"/>
      <c r="F238" s="35"/>
      <c r="G238" s="33" t="s">
        <v>5</v>
      </c>
      <c r="H238" s="33" t="s">
        <v>6</v>
      </c>
    </row>
    <row r="239" spans="1:8" ht="33">
      <c r="A239" s="33">
        <f>COUNTA($D$4:D239)</f>
        <v>191</v>
      </c>
      <c r="B239" s="35" t="str">
        <f>"Thiết lập quy tắc biến đổi " &amp;C239</f>
        <v>Thiết lập quy tắc biến đổi Bộ dữ liệu hồ sơ đăng ký chấm dứt giám hộ</v>
      </c>
      <c r="C239" s="40" t="s">
        <v>60</v>
      </c>
      <c r="D239" s="31" t="s">
        <v>28</v>
      </c>
      <c r="E239" s="32"/>
      <c r="F239" s="35"/>
      <c r="G239" s="33" t="s">
        <v>5</v>
      </c>
      <c r="H239" s="33" t="s">
        <v>6</v>
      </c>
    </row>
    <row r="240" spans="1:8" ht="66">
      <c r="A240" s="33">
        <f>COUNTA($D$4:D240)</f>
        <v>192</v>
      </c>
      <c r="B240" s="35" t="str">
        <f t="shared" si="18"/>
        <v>Thiết lập quy tắc làm sạch Bộ dữ liệu hồ sơ đăng ký thay đổi, cải chính, bổ sung thông tin hộ tịch, xác định lại dân tộc</v>
      </c>
      <c r="C240" s="40" t="s">
        <v>61</v>
      </c>
      <c r="D240" s="31" t="s">
        <v>28</v>
      </c>
      <c r="E240" s="32"/>
      <c r="F240" s="35"/>
      <c r="G240" s="33" t="s">
        <v>5</v>
      </c>
      <c r="H240" s="33" t="s">
        <v>7</v>
      </c>
    </row>
    <row r="241" spans="1:8" ht="66">
      <c r="A241" s="33">
        <f>COUNTA($D$4:D241)</f>
        <v>193</v>
      </c>
      <c r="B241" s="35" t="str">
        <f>"Thiết lập quy tắc chuẩn hóa " &amp;C241</f>
        <v>Thiết lập quy tắc chuẩn hóa Bộ dữ liệu hồ sơ đăng ký thay đổi, cải chính, bổ sung thông tin hộ tịch, xác định lại dân tộc</v>
      </c>
      <c r="C241" s="40" t="s">
        <v>61</v>
      </c>
      <c r="D241" s="31" t="s">
        <v>28</v>
      </c>
      <c r="E241" s="32"/>
      <c r="F241" s="35"/>
      <c r="G241" s="33" t="s">
        <v>5</v>
      </c>
      <c r="H241" s="33" t="s">
        <v>6</v>
      </c>
    </row>
    <row r="242" spans="1:8" ht="66">
      <c r="A242" s="33">
        <f>COUNTA($D$4:D242)</f>
        <v>194</v>
      </c>
      <c r="B242" s="35" t="str">
        <f>"Thiết lập quy tắc biến đổi " &amp;C242</f>
        <v>Thiết lập quy tắc biến đổi Bộ dữ liệu hồ sơ đăng ký thay đổi, cải chính, bổ sung thông tin hộ tịch, xác định lại dân tộc</v>
      </c>
      <c r="C242" s="40" t="s">
        <v>61</v>
      </c>
      <c r="D242" s="31" t="s">
        <v>28</v>
      </c>
      <c r="E242" s="32"/>
      <c r="F242" s="35"/>
      <c r="G242" s="33" t="s">
        <v>5</v>
      </c>
      <c r="H242" s="33" t="s">
        <v>6</v>
      </c>
    </row>
    <row r="243" spans="1:8" ht="33">
      <c r="A243" s="33">
        <f>COUNTA($D$4:D243)</f>
        <v>195</v>
      </c>
      <c r="B243" s="35" t="str">
        <f t="shared" si="18"/>
        <v>Thiết lập quy tắc làm sạch Bộ dữ liệu hồ sơ đăng ký giám sát việc giám hộ</v>
      </c>
      <c r="C243" s="40" t="s">
        <v>62</v>
      </c>
      <c r="D243" s="31" t="s">
        <v>28</v>
      </c>
      <c r="E243" s="32"/>
      <c r="F243" s="35"/>
      <c r="G243" s="33" t="s">
        <v>5</v>
      </c>
      <c r="H243" s="33" t="s">
        <v>7</v>
      </c>
    </row>
    <row r="244" spans="1:8" ht="33">
      <c r="A244" s="33">
        <f>COUNTA($D$4:D244)</f>
        <v>196</v>
      </c>
      <c r="B244" s="35" t="str">
        <f>"Thiết lập quy tắc chuẩn hóa " &amp;C244</f>
        <v>Thiết lập quy tắc chuẩn hóa Bộ dữ liệu hồ sơ đăng ký giám sát việc giám hộ</v>
      </c>
      <c r="C244" s="40" t="s">
        <v>62</v>
      </c>
      <c r="D244" s="31" t="s">
        <v>28</v>
      </c>
      <c r="E244" s="32"/>
      <c r="F244" s="35"/>
      <c r="G244" s="33" t="s">
        <v>5</v>
      </c>
      <c r="H244" s="33" t="s">
        <v>6</v>
      </c>
    </row>
    <row r="245" spans="1:8" ht="33">
      <c r="A245" s="33">
        <f>COUNTA($D$4:D245)</f>
        <v>197</v>
      </c>
      <c r="B245" s="35" t="str">
        <f>"Thiết lập quy tắc biến đổi " &amp;C245</f>
        <v>Thiết lập quy tắc biến đổi Bộ dữ liệu hồ sơ đăng ký giám sát việc giám hộ</v>
      </c>
      <c r="C245" s="40" t="s">
        <v>62</v>
      </c>
      <c r="D245" s="31" t="s">
        <v>28</v>
      </c>
      <c r="E245" s="32"/>
      <c r="F245" s="35"/>
      <c r="G245" s="33" t="s">
        <v>5</v>
      </c>
      <c r="H245" s="33" t="s">
        <v>6</v>
      </c>
    </row>
    <row r="246" spans="1:8" ht="49.5">
      <c r="A246" s="33">
        <f>COUNTA($D$4:D246)</f>
        <v>198</v>
      </c>
      <c r="B246" s="35" t="str">
        <f t="shared" si="18"/>
        <v>Thiết lập quy tắc làm sạch Bộ dữ liệu hồ sơ đăng ký chấm dứt giám sát việc giám hộ</v>
      </c>
      <c r="C246" s="40" t="s">
        <v>63</v>
      </c>
      <c r="D246" s="31" t="s">
        <v>28</v>
      </c>
      <c r="E246" s="32"/>
      <c r="F246" s="35"/>
      <c r="G246" s="33" t="s">
        <v>5</v>
      </c>
      <c r="H246" s="33" t="s">
        <v>7</v>
      </c>
    </row>
    <row r="247" spans="1:8" ht="49.5">
      <c r="A247" s="33">
        <f>COUNTA($D$4:D247)</f>
        <v>199</v>
      </c>
      <c r="B247" s="35" t="str">
        <f>"Thiết lập quy tắc chuẩn hóa " &amp;C247</f>
        <v>Thiết lập quy tắc chuẩn hóa Bộ dữ liệu hồ sơ đăng ký chấm dứt giám sát việc giám hộ</v>
      </c>
      <c r="C247" s="40" t="s">
        <v>63</v>
      </c>
      <c r="D247" s="31" t="s">
        <v>28</v>
      </c>
      <c r="E247" s="32"/>
      <c r="F247" s="35"/>
      <c r="G247" s="33" t="s">
        <v>5</v>
      </c>
      <c r="H247" s="33" t="s">
        <v>6</v>
      </c>
    </row>
    <row r="248" spans="1:8" ht="49.5">
      <c r="A248" s="33">
        <f>COUNTA($D$4:D248)</f>
        <v>200</v>
      </c>
      <c r="B248" s="35" t="str">
        <f>"Thiết lập quy tắc biến đổi " &amp;C248</f>
        <v>Thiết lập quy tắc biến đổi Bộ dữ liệu hồ sơ đăng ký chấm dứt giám sát việc giám hộ</v>
      </c>
      <c r="C248" s="40" t="s">
        <v>63</v>
      </c>
      <c r="D248" s="31" t="s">
        <v>28</v>
      </c>
      <c r="E248" s="32"/>
      <c r="F248" s="35"/>
      <c r="G248" s="33" t="s">
        <v>5</v>
      </c>
      <c r="H248" s="33" t="s">
        <v>6</v>
      </c>
    </row>
    <row r="249" spans="1:8" ht="82.5">
      <c r="A249" s="33">
        <f>COUNTA($D$4:D249)</f>
        <v>201</v>
      </c>
      <c r="B249" s="35" t="str">
        <f t="shared" si="18"/>
        <v>Thiết lập quy tắc làm sạch Bộ dữ liệu hồ sơ ghi vào sổ việc ly hôn/hủy việc kết hôn đã thực hiện tại cơ quan có thẩm quyền của nước ngoài (ghi chú ly hôn)</v>
      </c>
      <c r="C249" s="40" t="s">
        <v>64</v>
      </c>
      <c r="D249" s="31" t="s">
        <v>28</v>
      </c>
      <c r="E249" s="32"/>
      <c r="F249" s="35"/>
      <c r="G249" s="33" t="s">
        <v>5</v>
      </c>
      <c r="H249" s="33" t="s">
        <v>7</v>
      </c>
    </row>
    <row r="250" spans="1:8" ht="82.5">
      <c r="A250" s="33">
        <f>COUNTA($D$4:D250)</f>
        <v>202</v>
      </c>
      <c r="B250" s="35" t="str">
        <f>"Thiết lập quy tắc chuẩn hóa " &amp;C250</f>
        <v>Thiết lập quy tắc chuẩn hóa Bộ dữ liệu hồ sơ ghi vào sổ việc ly hôn/hủy việc kết hôn đã thực hiện tại cơ quan có thẩm quyền của nước ngoài (ghi chú ly hôn)</v>
      </c>
      <c r="C250" s="40" t="s">
        <v>64</v>
      </c>
      <c r="D250" s="31" t="s">
        <v>28</v>
      </c>
      <c r="E250" s="32"/>
      <c r="F250" s="35"/>
      <c r="G250" s="33" t="s">
        <v>5</v>
      </c>
      <c r="H250" s="33" t="s">
        <v>6</v>
      </c>
    </row>
    <row r="251" spans="1:8" ht="82.5">
      <c r="A251" s="33">
        <f>COUNTA($D$4:D251)</f>
        <v>203</v>
      </c>
      <c r="B251" s="35" t="str">
        <f>"Thiết lập quy tắc biến đổi " &amp;C251</f>
        <v>Thiết lập quy tắc biến đổi Bộ dữ liệu hồ sơ ghi vào sổ việc ly hôn/hủy việc kết hôn đã thực hiện tại cơ quan có thẩm quyền của nước ngoài (ghi chú ly hôn)</v>
      </c>
      <c r="C251" s="40" t="s">
        <v>64</v>
      </c>
      <c r="D251" s="31" t="s">
        <v>28</v>
      </c>
      <c r="E251" s="32"/>
      <c r="F251" s="35"/>
      <c r="G251" s="33" t="s">
        <v>5</v>
      </c>
      <c r="H251" s="33" t="s">
        <v>6</v>
      </c>
    </row>
    <row r="252" spans="1:8" ht="16.5">
      <c r="A252" s="38" t="s">
        <v>170</v>
      </c>
      <c r="B252" s="41" t="s">
        <v>66</v>
      </c>
      <c r="C252" s="41"/>
      <c r="D252" s="31"/>
      <c r="E252" s="32"/>
      <c r="F252" s="32"/>
      <c r="G252" s="33"/>
      <c r="H252" s="33"/>
    </row>
    <row r="253" spans="1:8" ht="16.5">
      <c r="A253" s="33">
        <f>COUNTA($D$4:D253)</f>
        <v>204</v>
      </c>
      <c r="B253" s="35" t="str">
        <f t="shared" ref="B253" si="19">"Thiết lập quy tắc làm sạch " &amp;C253</f>
        <v>Thiết lập quy tắc làm sạch Nhập Quốc tịch</v>
      </c>
      <c r="C253" s="42" t="s">
        <v>67</v>
      </c>
      <c r="D253" s="31" t="s">
        <v>28</v>
      </c>
      <c r="E253" s="32"/>
      <c r="F253" s="35"/>
      <c r="G253" s="33" t="s">
        <v>5</v>
      </c>
      <c r="H253" s="33" t="s">
        <v>7</v>
      </c>
    </row>
    <row r="254" spans="1:8" ht="16.5">
      <c r="A254" s="33">
        <f>COUNTA($D$4:D254)</f>
        <v>205</v>
      </c>
      <c r="B254" s="35" t="str">
        <f>"Thiết lập quy tắc chuẩn hóa " &amp;C254</f>
        <v>Thiết lập quy tắc chuẩn hóa Nhập Quốc tịch</v>
      </c>
      <c r="C254" s="42" t="s">
        <v>67</v>
      </c>
      <c r="D254" s="31" t="s">
        <v>28</v>
      </c>
      <c r="E254" s="32"/>
      <c r="F254" s="35"/>
      <c r="G254" s="33" t="s">
        <v>5</v>
      </c>
      <c r="H254" s="33" t="s">
        <v>6</v>
      </c>
    </row>
    <row r="255" spans="1:8" ht="16.5">
      <c r="A255" s="33">
        <f>COUNTA($D$4:D255)</f>
        <v>206</v>
      </c>
      <c r="B255" s="35" t="str">
        <f>"Thiết lập quy tắc biến đổi " &amp;C255</f>
        <v>Thiết lập quy tắc biến đổi Nhập Quốc tịch</v>
      </c>
      <c r="C255" s="42" t="s">
        <v>67</v>
      </c>
      <c r="D255" s="31" t="s">
        <v>28</v>
      </c>
      <c r="E255" s="32"/>
      <c r="F255" s="35"/>
      <c r="G255" s="33" t="s">
        <v>5</v>
      </c>
      <c r="H255" s="33" t="s">
        <v>6</v>
      </c>
    </row>
    <row r="256" spans="1:8" ht="16.5">
      <c r="A256" s="33">
        <f>COUNTA($D$4:D256)</f>
        <v>207</v>
      </c>
      <c r="B256" s="35" t="str">
        <f t="shared" ref="B256" si="20">"Thiết lập quy tắc làm sạch " &amp;C256</f>
        <v>Thiết lập quy tắc làm sạch Thôi Quốc tịch</v>
      </c>
      <c r="C256" s="42" t="s">
        <v>69</v>
      </c>
      <c r="D256" s="31" t="s">
        <v>28</v>
      </c>
      <c r="E256" s="32"/>
      <c r="F256" s="35"/>
      <c r="G256" s="33" t="s">
        <v>5</v>
      </c>
      <c r="H256" s="33" t="s">
        <v>7</v>
      </c>
    </row>
    <row r="257" spans="1:8" ht="16.5">
      <c r="A257" s="33">
        <f>COUNTA($D$4:D257)</f>
        <v>208</v>
      </c>
      <c r="B257" s="35" t="str">
        <f>"Thiết lập quy tắc chuẩn hóa " &amp;C257</f>
        <v>Thiết lập quy tắc chuẩn hóa Thôi Quốc tịch</v>
      </c>
      <c r="C257" s="42" t="s">
        <v>69</v>
      </c>
      <c r="D257" s="31" t="s">
        <v>28</v>
      </c>
      <c r="E257" s="32"/>
      <c r="F257" s="35"/>
      <c r="G257" s="33" t="s">
        <v>5</v>
      </c>
      <c r="H257" s="33" t="s">
        <v>6</v>
      </c>
    </row>
    <row r="258" spans="1:8" ht="16.5">
      <c r="A258" s="33">
        <f>COUNTA($D$4:D258)</f>
        <v>209</v>
      </c>
      <c r="B258" s="35" t="str">
        <f>"Thiết lập quy tắc biến đổi " &amp;C258</f>
        <v>Thiết lập quy tắc biến đổi Thôi Quốc tịch</v>
      </c>
      <c r="C258" s="42" t="s">
        <v>69</v>
      </c>
      <c r="D258" s="31" t="s">
        <v>28</v>
      </c>
      <c r="E258" s="32"/>
      <c r="F258" s="35"/>
      <c r="G258" s="33" t="s">
        <v>5</v>
      </c>
      <c r="H258" s="33" t="s">
        <v>6</v>
      </c>
    </row>
    <row r="259" spans="1:8" ht="16.5">
      <c r="A259" s="33">
        <f>COUNTA($D$4:D259)</f>
        <v>210</v>
      </c>
      <c r="B259" s="35" t="str">
        <f t="shared" ref="B259" si="21">"Thiết lập quy tắc làm sạch " &amp;C259</f>
        <v>Thiết lập quy tắc làm sạch Trở lại Quốc tịch</v>
      </c>
      <c r="C259" s="42" t="s">
        <v>70</v>
      </c>
      <c r="D259" s="31" t="s">
        <v>28</v>
      </c>
      <c r="E259" s="32"/>
      <c r="F259" s="35"/>
      <c r="G259" s="33" t="s">
        <v>5</v>
      </c>
      <c r="H259" s="33" t="s">
        <v>7</v>
      </c>
    </row>
    <row r="260" spans="1:8" ht="16.5">
      <c r="A260" s="33">
        <f>COUNTA($D$4:D260)</f>
        <v>211</v>
      </c>
      <c r="B260" s="35" t="str">
        <f>"Thiết lập quy tắc chuẩn hóa " &amp;C260</f>
        <v>Thiết lập quy tắc chuẩn hóa Trở lại Quốc tịch</v>
      </c>
      <c r="C260" s="42" t="s">
        <v>70</v>
      </c>
      <c r="D260" s="31" t="s">
        <v>28</v>
      </c>
      <c r="E260" s="32"/>
      <c r="F260" s="35"/>
      <c r="G260" s="33" t="s">
        <v>5</v>
      </c>
      <c r="H260" s="33" t="s">
        <v>6</v>
      </c>
    </row>
    <row r="261" spans="1:8" ht="16.5">
      <c r="A261" s="33">
        <f>COUNTA($D$4:D261)</f>
        <v>212</v>
      </c>
      <c r="B261" s="35" t="str">
        <f>"Thiết lập quy tắc biến đổi " &amp;C261</f>
        <v>Thiết lập quy tắc biến đổi Trở lại Quốc tịch</v>
      </c>
      <c r="C261" s="42" t="s">
        <v>70</v>
      </c>
      <c r="D261" s="31" t="s">
        <v>28</v>
      </c>
      <c r="E261" s="32"/>
      <c r="F261" s="35"/>
      <c r="G261" s="33" t="s">
        <v>5</v>
      </c>
      <c r="H261" s="33" t="s">
        <v>6</v>
      </c>
    </row>
    <row r="262" spans="1:8" ht="16.5">
      <c r="A262" s="38" t="s">
        <v>171</v>
      </c>
      <c r="B262" s="43" t="s">
        <v>72</v>
      </c>
      <c r="C262" s="43"/>
      <c r="D262" s="31"/>
      <c r="E262" s="32"/>
      <c r="F262" s="32"/>
      <c r="G262" s="33"/>
      <c r="H262" s="33"/>
    </row>
    <row r="263" spans="1:8" ht="16.5">
      <c r="A263" s="38" t="s">
        <v>172</v>
      </c>
      <c r="B263" s="39" t="s">
        <v>74</v>
      </c>
      <c r="C263" s="39"/>
      <c r="D263" s="31"/>
      <c r="E263" s="32"/>
      <c r="F263" s="32"/>
      <c r="G263" s="33"/>
      <c r="H263" s="33"/>
    </row>
    <row r="264" spans="1:8" ht="33">
      <c r="A264" s="33">
        <f>COUNTA($D$4:D264)</f>
        <v>213</v>
      </c>
      <c r="B264" s="35" t="str">
        <f t="shared" ref="B264" si="22">"Thiết lập quy tắc làm sạch " &amp;C264</f>
        <v>Thiết lập quy tắc làm sạch Yêu cầu thi hành án của cá nhân, cơ quan, tổ chức</v>
      </c>
      <c r="C264" s="35" t="s">
        <v>77</v>
      </c>
      <c r="D264" s="31" t="s">
        <v>28</v>
      </c>
      <c r="E264" s="32"/>
      <c r="F264" s="35"/>
      <c r="G264" s="33" t="s">
        <v>5</v>
      </c>
      <c r="H264" s="33" t="s">
        <v>7</v>
      </c>
    </row>
    <row r="265" spans="1:8" ht="33">
      <c r="A265" s="33">
        <f>COUNTA($D$4:D265)</f>
        <v>214</v>
      </c>
      <c r="B265" s="35" t="str">
        <f>"Thiết lập quy tắc chuẩn hóa " &amp;C265</f>
        <v>Thiết lập quy tắc chuẩn hóa Yêu cầu thi hành án của cá nhân, cơ quan, tổ chức</v>
      </c>
      <c r="C265" s="35" t="s">
        <v>77</v>
      </c>
      <c r="D265" s="31" t="s">
        <v>28</v>
      </c>
      <c r="E265" s="32"/>
      <c r="F265" s="35"/>
      <c r="G265" s="33" t="s">
        <v>5</v>
      </c>
      <c r="H265" s="33" t="s">
        <v>6</v>
      </c>
    </row>
    <row r="266" spans="1:8" ht="33">
      <c r="A266" s="33">
        <f>COUNTA($D$4:D266)</f>
        <v>215</v>
      </c>
      <c r="B266" s="35" t="str">
        <f>"Thiết lập quy tắc biến đổi " &amp;C266</f>
        <v>Thiết lập quy tắc biến đổi Yêu cầu thi hành án của cá nhân, cơ quan, tổ chức</v>
      </c>
      <c r="C266" s="35" t="s">
        <v>77</v>
      </c>
      <c r="D266" s="31" t="s">
        <v>28</v>
      </c>
      <c r="E266" s="32"/>
      <c r="F266" s="35"/>
      <c r="G266" s="33" t="s">
        <v>5</v>
      </c>
      <c r="H266" s="33" t="s">
        <v>6</v>
      </c>
    </row>
    <row r="267" spans="1:8" ht="16.5">
      <c r="A267" s="33">
        <f>COUNTA($D$4:D267)</f>
        <v>216</v>
      </c>
      <c r="B267" s="35" t="str">
        <f t="shared" ref="B267" si="23">"Thiết lập quy tắc làm sạch " &amp;C267</f>
        <v>Thiết lập quy tắc làm sạch Quyết định thi hành án dân sự</v>
      </c>
      <c r="C267" s="35" t="s">
        <v>78</v>
      </c>
      <c r="D267" s="31" t="s">
        <v>28</v>
      </c>
      <c r="E267" s="32"/>
      <c r="F267" s="35"/>
      <c r="G267" s="33" t="s">
        <v>5</v>
      </c>
      <c r="H267" s="33" t="s">
        <v>7</v>
      </c>
    </row>
    <row r="268" spans="1:8" ht="16.5">
      <c r="A268" s="33">
        <f>COUNTA($D$4:D268)</f>
        <v>217</v>
      </c>
      <c r="B268" s="35" t="str">
        <f>"Thiết lập quy tắc chuẩn hóa " &amp;C268</f>
        <v>Thiết lập quy tắc chuẩn hóa Quyết định thi hành án dân sự</v>
      </c>
      <c r="C268" s="35" t="s">
        <v>78</v>
      </c>
      <c r="D268" s="31" t="s">
        <v>28</v>
      </c>
      <c r="E268" s="32"/>
      <c r="F268" s="35"/>
      <c r="G268" s="33" t="s">
        <v>5</v>
      </c>
      <c r="H268" s="33" t="s">
        <v>6</v>
      </c>
    </row>
    <row r="269" spans="1:8" ht="16.5">
      <c r="A269" s="33">
        <f>COUNTA($D$4:D269)</f>
        <v>218</v>
      </c>
      <c r="B269" s="35" t="str">
        <f>"Thiết lập quy tắc biến đổi " &amp;C269</f>
        <v>Thiết lập quy tắc biến đổi Quyết định thi hành án dân sự</v>
      </c>
      <c r="C269" s="35" t="s">
        <v>78</v>
      </c>
      <c r="D269" s="31" t="s">
        <v>28</v>
      </c>
      <c r="E269" s="32"/>
      <c r="F269" s="35"/>
      <c r="G269" s="33" t="s">
        <v>5</v>
      </c>
      <c r="H269" s="33" t="s">
        <v>6</v>
      </c>
    </row>
    <row r="270" spans="1:8" ht="49.5">
      <c r="A270" s="33">
        <f>COUNTA($D$4:D270)</f>
        <v>219</v>
      </c>
      <c r="B270" s="35" t="str">
        <f t="shared" ref="B270" si="24">"Thiết lập quy tắc làm sạch " &amp;C270</f>
        <v>Thiết lập quy tắc làm sạch Người phải thi hành án, người được thi hành án, người có quyền lợi nghĩa vụ liên quan</v>
      </c>
      <c r="C270" s="35" t="s">
        <v>79</v>
      </c>
      <c r="D270" s="31" t="s">
        <v>28</v>
      </c>
      <c r="E270" s="32"/>
      <c r="F270" s="35"/>
      <c r="G270" s="33" t="s">
        <v>5</v>
      </c>
      <c r="H270" s="33" t="s">
        <v>7</v>
      </c>
    </row>
    <row r="271" spans="1:8" ht="49.5">
      <c r="A271" s="33">
        <f>COUNTA($D$4:D271)</f>
        <v>220</v>
      </c>
      <c r="B271" s="35" t="str">
        <f>"Thiết lập quy tắc chuẩn hóa " &amp;C271</f>
        <v>Thiết lập quy tắc chuẩn hóa Người phải thi hành án, người được thi hành án, người có quyền lợi nghĩa vụ liên quan</v>
      </c>
      <c r="C271" s="35" t="s">
        <v>79</v>
      </c>
      <c r="D271" s="31" t="s">
        <v>28</v>
      </c>
      <c r="E271" s="32"/>
      <c r="F271" s="35"/>
      <c r="G271" s="33" t="s">
        <v>5</v>
      </c>
      <c r="H271" s="33" t="s">
        <v>6</v>
      </c>
    </row>
    <row r="272" spans="1:8" ht="49.5">
      <c r="A272" s="33">
        <f>COUNTA($D$4:D272)</f>
        <v>221</v>
      </c>
      <c r="B272" s="35" t="str">
        <f>"Thiết lập quy tắc biến đổi " &amp;C272</f>
        <v>Thiết lập quy tắc biến đổi Người phải thi hành án, người được thi hành án, người có quyền lợi nghĩa vụ liên quan</v>
      </c>
      <c r="C272" s="35" t="s">
        <v>79</v>
      </c>
      <c r="D272" s="31" t="s">
        <v>28</v>
      </c>
      <c r="E272" s="32"/>
      <c r="F272" s="35"/>
      <c r="G272" s="33" t="s">
        <v>5</v>
      </c>
      <c r="H272" s="33" t="s">
        <v>6</v>
      </c>
    </row>
    <row r="273" spans="1:8" ht="16.5">
      <c r="A273" s="33">
        <f>COUNTA($D$4:D273)</f>
        <v>222</v>
      </c>
      <c r="B273" s="35" t="str">
        <f t="shared" ref="B273" si="25">"Thiết lập quy tắc làm sạch " &amp;C273</f>
        <v>Thiết lập quy tắc làm sạch Nghĩa vụ thi hành án</v>
      </c>
      <c r="C273" s="35" t="s">
        <v>80</v>
      </c>
      <c r="D273" s="31" t="s">
        <v>28</v>
      </c>
      <c r="E273" s="32"/>
      <c r="F273" s="35"/>
      <c r="G273" s="33" t="s">
        <v>5</v>
      </c>
      <c r="H273" s="33" t="s">
        <v>7</v>
      </c>
    </row>
    <row r="274" spans="1:8" ht="16.5">
      <c r="A274" s="33">
        <f>COUNTA($D$4:D274)</f>
        <v>223</v>
      </c>
      <c r="B274" s="35" t="str">
        <f>"Thiết lập quy tắc chuẩn hóa " &amp;C274</f>
        <v>Thiết lập quy tắc chuẩn hóa Nghĩa vụ thi hành án</v>
      </c>
      <c r="C274" s="35" t="s">
        <v>80</v>
      </c>
      <c r="D274" s="31" t="s">
        <v>28</v>
      </c>
      <c r="E274" s="32"/>
      <c r="F274" s="35"/>
      <c r="G274" s="33" t="s">
        <v>5</v>
      </c>
      <c r="H274" s="33" t="s">
        <v>6</v>
      </c>
    </row>
    <row r="275" spans="1:8" ht="16.5">
      <c r="A275" s="33">
        <f>COUNTA($D$4:D275)</f>
        <v>224</v>
      </c>
      <c r="B275" s="35" t="str">
        <f>"Thiết lập quy tắc biến đổi " &amp;C275</f>
        <v>Thiết lập quy tắc biến đổi Nghĩa vụ thi hành án</v>
      </c>
      <c r="C275" s="35" t="s">
        <v>80</v>
      </c>
      <c r="D275" s="31" t="s">
        <v>28</v>
      </c>
      <c r="E275" s="32"/>
      <c r="F275" s="35"/>
      <c r="G275" s="33" t="s">
        <v>5</v>
      </c>
      <c r="H275" s="33" t="s">
        <v>6</v>
      </c>
    </row>
    <row r="276" spans="1:8" ht="16.5">
      <c r="A276" s="33">
        <f>COUNTA($D$4:D276)</f>
        <v>225</v>
      </c>
      <c r="B276" s="35" t="str">
        <f t="shared" ref="B276" si="26">"Thiết lập quy tắc làm sạch " &amp;C276</f>
        <v>Thiết lập quy tắc làm sạch Trạng thái thi hành án</v>
      </c>
      <c r="C276" s="35" t="s">
        <v>81</v>
      </c>
      <c r="D276" s="31" t="s">
        <v>28</v>
      </c>
      <c r="E276" s="32"/>
      <c r="F276" s="35"/>
      <c r="G276" s="33" t="s">
        <v>5</v>
      </c>
      <c r="H276" s="33" t="s">
        <v>7</v>
      </c>
    </row>
    <row r="277" spans="1:8" ht="16.5">
      <c r="A277" s="33">
        <f>COUNTA($D$4:D277)</f>
        <v>226</v>
      </c>
      <c r="B277" s="35" t="str">
        <f>"Thiết lập quy tắc chuẩn hóa " &amp;C277</f>
        <v>Thiết lập quy tắc chuẩn hóa Trạng thái thi hành án</v>
      </c>
      <c r="C277" s="35" t="s">
        <v>81</v>
      </c>
      <c r="D277" s="31" t="s">
        <v>28</v>
      </c>
      <c r="E277" s="32"/>
      <c r="F277" s="35"/>
      <c r="G277" s="33" t="s">
        <v>5</v>
      </c>
      <c r="H277" s="33" t="s">
        <v>6</v>
      </c>
    </row>
    <row r="278" spans="1:8" ht="16.5">
      <c r="A278" s="33">
        <f>COUNTA($D$4:D278)</f>
        <v>227</v>
      </c>
      <c r="B278" s="35" t="str">
        <f>"Thiết lập quy tắc biến đổi " &amp;C278</f>
        <v>Thiết lập quy tắc biến đổi Trạng thái thi hành án</v>
      </c>
      <c r="C278" s="35" t="s">
        <v>81</v>
      </c>
      <c r="D278" s="31" t="s">
        <v>28</v>
      </c>
      <c r="E278" s="32"/>
      <c r="F278" s="35"/>
      <c r="G278" s="33" t="s">
        <v>5</v>
      </c>
      <c r="H278" s="33" t="s">
        <v>6</v>
      </c>
    </row>
    <row r="279" spans="1:8" ht="16.5">
      <c r="A279" s="33">
        <f>COUNTA($D$4:D279)</f>
        <v>228</v>
      </c>
      <c r="B279" s="35" t="str">
        <f t="shared" ref="B279" si="27">"Thiết lập quy tắc làm sạch " &amp;C279</f>
        <v>Thiết lập quy tắc làm sạch Tài sản thi hành án</v>
      </c>
      <c r="C279" s="35" t="s">
        <v>82</v>
      </c>
      <c r="D279" s="31" t="s">
        <v>28</v>
      </c>
      <c r="E279" s="32"/>
      <c r="F279" s="35"/>
      <c r="G279" s="33" t="s">
        <v>5</v>
      </c>
      <c r="H279" s="33" t="s">
        <v>7</v>
      </c>
    </row>
    <row r="280" spans="1:8" ht="16.5">
      <c r="A280" s="33">
        <f>COUNTA($D$4:D280)</f>
        <v>229</v>
      </c>
      <c r="B280" s="35" t="str">
        <f>"Thiết lập quy tắc chuẩn hóa " &amp;C280</f>
        <v>Thiết lập quy tắc chuẩn hóa Tài sản thi hành án</v>
      </c>
      <c r="C280" s="35" t="s">
        <v>82</v>
      </c>
      <c r="D280" s="31" t="s">
        <v>28</v>
      </c>
      <c r="E280" s="32"/>
      <c r="F280" s="35"/>
      <c r="G280" s="33" t="s">
        <v>5</v>
      </c>
      <c r="H280" s="33" t="s">
        <v>6</v>
      </c>
    </row>
    <row r="281" spans="1:8" ht="16.5">
      <c r="A281" s="33">
        <f>COUNTA($D$4:D281)</f>
        <v>230</v>
      </c>
      <c r="B281" s="35" t="str">
        <f>"Thiết lập quy tắc biến đổi " &amp;C281</f>
        <v>Thiết lập quy tắc biến đổi Tài sản thi hành án</v>
      </c>
      <c r="C281" s="35" t="s">
        <v>82</v>
      </c>
      <c r="D281" s="31" t="s">
        <v>28</v>
      </c>
      <c r="E281" s="32"/>
      <c r="F281" s="35"/>
      <c r="G281" s="33" t="s">
        <v>5</v>
      </c>
      <c r="H281" s="33" t="s">
        <v>6</v>
      </c>
    </row>
    <row r="282" spans="1:8" ht="33">
      <c r="A282" s="33">
        <f>COUNTA($D$4:D282)</f>
        <v>231</v>
      </c>
      <c r="B282" s="35" t="str">
        <f t="shared" ref="B282" si="28">"Thiết lập quy tắc làm sạch " &amp;C282</f>
        <v>Thiết lập quy tắc làm sạch Xác minh điều kiện trong thi hành án dân sự</v>
      </c>
      <c r="C282" s="35" t="s">
        <v>83</v>
      </c>
      <c r="D282" s="31" t="s">
        <v>28</v>
      </c>
      <c r="E282" s="32"/>
      <c r="F282" s="35"/>
      <c r="G282" s="33" t="s">
        <v>5</v>
      </c>
      <c r="H282" s="33" t="s">
        <v>7</v>
      </c>
    </row>
    <row r="283" spans="1:8" ht="33">
      <c r="A283" s="33">
        <f>COUNTA($D$4:D283)</f>
        <v>232</v>
      </c>
      <c r="B283" s="35" t="str">
        <f>"Thiết lập quy tắc chuẩn hóa " &amp;C283</f>
        <v>Thiết lập quy tắc chuẩn hóa Xác minh điều kiện trong thi hành án dân sự</v>
      </c>
      <c r="C283" s="35" t="s">
        <v>83</v>
      </c>
      <c r="D283" s="31" t="s">
        <v>28</v>
      </c>
      <c r="E283" s="32"/>
      <c r="F283" s="35"/>
      <c r="G283" s="33" t="s">
        <v>5</v>
      </c>
      <c r="H283" s="33" t="s">
        <v>6</v>
      </c>
    </row>
    <row r="284" spans="1:8" ht="33">
      <c r="A284" s="33">
        <f>COUNTA($D$4:D284)</f>
        <v>233</v>
      </c>
      <c r="B284" s="35" t="str">
        <f>"Thiết lập quy tắc biến đổi " &amp;C284</f>
        <v>Thiết lập quy tắc biến đổi Xác minh điều kiện trong thi hành án dân sự</v>
      </c>
      <c r="C284" s="35" t="s">
        <v>83</v>
      </c>
      <c r="D284" s="31" t="s">
        <v>28</v>
      </c>
      <c r="E284" s="32"/>
      <c r="F284" s="35"/>
      <c r="G284" s="33" t="s">
        <v>5</v>
      </c>
      <c r="H284" s="33" t="s">
        <v>6</v>
      </c>
    </row>
    <row r="285" spans="1:8" ht="33">
      <c r="A285" s="33">
        <f>COUNTA($D$4:D285)</f>
        <v>234</v>
      </c>
      <c r="B285" s="35" t="str">
        <f t="shared" ref="B285" si="29">"Thiết lập quy tắc làm sạch " &amp;C285</f>
        <v>Thiết lập quy tắc làm sạch Cưỡng chế thi hành án trong thi hành án dân sự</v>
      </c>
      <c r="C285" s="35" t="s">
        <v>84</v>
      </c>
      <c r="D285" s="31" t="s">
        <v>28</v>
      </c>
      <c r="E285" s="32"/>
      <c r="F285" s="35"/>
      <c r="G285" s="33" t="s">
        <v>5</v>
      </c>
      <c r="H285" s="33" t="s">
        <v>7</v>
      </c>
    </row>
    <row r="286" spans="1:8" ht="33">
      <c r="A286" s="33">
        <f>COUNTA($D$4:D286)</f>
        <v>235</v>
      </c>
      <c r="B286" s="35" t="str">
        <f>"Thiết lập quy tắc chuẩn hóa " &amp;C286</f>
        <v>Thiết lập quy tắc chuẩn hóa Cưỡng chế thi hành án trong thi hành án dân sự</v>
      </c>
      <c r="C286" s="35" t="s">
        <v>84</v>
      </c>
      <c r="D286" s="31" t="s">
        <v>28</v>
      </c>
      <c r="E286" s="32"/>
      <c r="F286" s="35"/>
      <c r="G286" s="33" t="s">
        <v>5</v>
      </c>
      <c r="H286" s="33" t="s">
        <v>6</v>
      </c>
    </row>
    <row r="287" spans="1:8" ht="33">
      <c r="A287" s="33">
        <f>COUNTA($D$4:D287)</f>
        <v>236</v>
      </c>
      <c r="B287" s="35" t="str">
        <f>"Thiết lập quy tắc biến đổi " &amp;C287</f>
        <v>Thiết lập quy tắc biến đổi Cưỡng chế thi hành án trong thi hành án dân sự</v>
      </c>
      <c r="C287" s="35" t="s">
        <v>84</v>
      </c>
      <c r="D287" s="31" t="s">
        <v>28</v>
      </c>
      <c r="E287" s="32"/>
      <c r="F287" s="35"/>
      <c r="G287" s="33" t="s">
        <v>5</v>
      </c>
      <c r="H287" s="33" t="s">
        <v>6</v>
      </c>
    </row>
    <row r="288" spans="1:8" ht="33">
      <c r="A288" s="33">
        <f>COUNTA($D$4:D288)</f>
        <v>237</v>
      </c>
      <c r="B288" s="35" t="str">
        <f t="shared" ref="B288" si="30">"Thiết lập quy tắc làm sạch " &amp;C288</f>
        <v>Thiết lập quy tắc làm sạch Áp dụng biện pháp bảo đảm trong thi hành án dân sự</v>
      </c>
      <c r="C288" s="35" t="s">
        <v>85</v>
      </c>
      <c r="D288" s="31" t="s">
        <v>28</v>
      </c>
      <c r="E288" s="32"/>
      <c r="F288" s="35"/>
      <c r="G288" s="33" t="s">
        <v>5</v>
      </c>
      <c r="H288" s="33" t="s">
        <v>7</v>
      </c>
    </row>
    <row r="289" spans="1:8" ht="33">
      <c r="A289" s="33">
        <f>COUNTA($D$4:D289)</f>
        <v>238</v>
      </c>
      <c r="B289" s="35" t="str">
        <f>"Thiết lập quy tắc chuẩn hóa " &amp;C289</f>
        <v>Thiết lập quy tắc chuẩn hóa Áp dụng biện pháp bảo đảm trong thi hành án dân sự</v>
      </c>
      <c r="C289" s="35" t="s">
        <v>85</v>
      </c>
      <c r="D289" s="31" t="s">
        <v>28</v>
      </c>
      <c r="E289" s="32"/>
      <c r="F289" s="35"/>
      <c r="G289" s="33" t="s">
        <v>5</v>
      </c>
      <c r="H289" s="33" t="s">
        <v>6</v>
      </c>
    </row>
    <row r="290" spans="1:8" ht="33">
      <c r="A290" s="33">
        <f>COUNTA($D$4:D290)</f>
        <v>239</v>
      </c>
      <c r="B290" s="35" t="str">
        <f>"Thiết lập quy tắc biến đổi " &amp;C290</f>
        <v>Thiết lập quy tắc biến đổi Áp dụng biện pháp bảo đảm trong thi hành án dân sự</v>
      </c>
      <c r="C290" s="35" t="s">
        <v>85</v>
      </c>
      <c r="D290" s="31" t="s">
        <v>28</v>
      </c>
      <c r="E290" s="32"/>
      <c r="F290" s="35"/>
      <c r="G290" s="33" t="s">
        <v>5</v>
      </c>
      <c r="H290" s="33" t="s">
        <v>6</v>
      </c>
    </row>
    <row r="291" spans="1:8" ht="33">
      <c r="A291" s="33">
        <f>COUNTA($D$4:D291)</f>
        <v>240</v>
      </c>
      <c r="B291" s="35" t="str">
        <f t="shared" ref="B291" si="31">"Thiết lập quy tắc làm sạch " &amp;C291</f>
        <v>Thiết lập quy tắc làm sạch Chứng từ nghiệp vụ trong thi hành án dân sự</v>
      </c>
      <c r="C291" s="35" t="s">
        <v>86</v>
      </c>
      <c r="D291" s="31" t="s">
        <v>28</v>
      </c>
      <c r="E291" s="32"/>
      <c r="F291" s="35"/>
      <c r="G291" s="33" t="s">
        <v>5</v>
      </c>
      <c r="H291" s="33" t="s">
        <v>7</v>
      </c>
    </row>
    <row r="292" spans="1:8" ht="33">
      <c r="A292" s="33">
        <f>COUNTA($D$4:D292)</f>
        <v>241</v>
      </c>
      <c r="B292" s="35" t="str">
        <f>"Thiết lập quy tắc chuẩn hóa " &amp;C292</f>
        <v>Thiết lập quy tắc chuẩn hóa Chứng từ nghiệp vụ trong thi hành án dân sự</v>
      </c>
      <c r="C292" s="35" t="s">
        <v>86</v>
      </c>
      <c r="D292" s="31" t="s">
        <v>28</v>
      </c>
      <c r="E292" s="32"/>
      <c r="F292" s="35"/>
      <c r="G292" s="33" t="s">
        <v>5</v>
      </c>
      <c r="H292" s="33" t="s">
        <v>6</v>
      </c>
    </row>
    <row r="293" spans="1:8" ht="33">
      <c r="A293" s="33">
        <f>COUNTA($D$4:D293)</f>
        <v>242</v>
      </c>
      <c r="B293" s="35" t="str">
        <f>"Thiết lập quy tắc biến đổi " &amp;C293</f>
        <v>Thiết lập quy tắc biến đổi Chứng từ nghiệp vụ trong thi hành án dân sự</v>
      </c>
      <c r="C293" s="35" t="s">
        <v>86</v>
      </c>
      <c r="D293" s="31" t="s">
        <v>28</v>
      </c>
      <c r="E293" s="32"/>
      <c r="F293" s="35"/>
      <c r="G293" s="33" t="s">
        <v>5</v>
      </c>
      <c r="H293" s="33" t="s">
        <v>6</v>
      </c>
    </row>
    <row r="294" spans="1:8" ht="33">
      <c r="A294" s="33">
        <f>COUNTA($D$4:D294)</f>
        <v>243</v>
      </c>
      <c r="B294" s="35" t="str">
        <f t="shared" ref="B294" si="32">"Thiết lập quy tắc làm sạch " &amp;C294</f>
        <v>Thiết lập quy tắc làm sạch Biên lai thu tiền thi hành án dân sự</v>
      </c>
      <c r="C294" s="35" t="s">
        <v>87</v>
      </c>
      <c r="D294" s="31" t="s">
        <v>28</v>
      </c>
      <c r="E294" s="32"/>
      <c r="F294" s="35"/>
      <c r="G294" s="33" t="s">
        <v>5</v>
      </c>
      <c r="H294" s="33" t="s">
        <v>7</v>
      </c>
    </row>
    <row r="295" spans="1:8" ht="33">
      <c r="A295" s="33">
        <f>COUNTA($D$4:D295)</f>
        <v>244</v>
      </c>
      <c r="B295" s="35" t="str">
        <f>"Thiết lập quy tắc chuẩn hóa " &amp;C295</f>
        <v>Thiết lập quy tắc chuẩn hóa Biên lai thu tiền thi hành án dân sự</v>
      </c>
      <c r="C295" s="35" t="s">
        <v>87</v>
      </c>
      <c r="D295" s="31" t="s">
        <v>28</v>
      </c>
      <c r="E295" s="32"/>
      <c r="F295" s="35"/>
      <c r="G295" s="33" t="s">
        <v>5</v>
      </c>
      <c r="H295" s="33" t="s">
        <v>6</v>
      </c>
    </row>
    <row r="296" spans="1:8" ht="33">
      <c r="A296" s="33">
        <f>COUNTA($D$4:D296)</f>
        <v>245</v>
      </c>
      <c r="B296" s="35" t="str">
        <f>"Thiết lập quy tắc biến đổi " &amp;C296</f>
        <v>Thiết lập quy tắc biến đổi Biên lai thu tiền thi hành án dân sự</v>
      </c>
      <c r="C296" s="35" t="s">
        <v>87</v>
      </c>
      <c r="D296" s="31" t="s">
        <v>28</v>
      </c>
      <c r="E296" s="32"/>
      <c r="F296" s="35"/>
      <c r="G296" s="33" t="s">
        <v>5</v>
      </c>
      <c r="H296" s="33" t="s">
        <v>6</v>
      </c>
    </row>
    <row r="297" spans="1:8" ht="33">
      <c r="A297" s="33">
        <f>COUNTA($D$4:D297)</f>
        <v>246</v>
      </c>
      <c r="B297" s="35" t="str">
        <f t="shared" ref="B297" si="33">"Thiết lập quy tắc làm sạch " &amp;C297</f>
        <v>Thiết lập quy tắc làm sạch Vật chứng trong thi hành án dân sự</v>
      </c>
      <c r="C297" s="35" t="s">
        <v>88</v>
      </c>
      <c r="D297" s="31" t="s">
        <v>28</v>
      </c>
      <c r="E297" s="32"/>
      <c r="F297" s="35"/>
      <c r="G297" s="33" t="s">
        <v>5</v>
      </c>
      <c r="H297" s="33" t="s">
        <v>7</v>
      </c>
    </row>
    <row r="298" spans="1:8" ht="33">
      <c r="A298" s="33">
        <f>COUNTA($D$4:D298)</f>
        <v>247</v>
      </c>
      <c r="B298" s="35" t="str">
        <f>"Thiết lập quy tắc chuẩn hóa " &amp;C298</f>
        <v>Thiết lập quy tắc chuẩn hóa Vật chứng trong thi hành án dân sự</v>
      </c>
      <c r="C298" s="35" t="s">
        <v>88</v>
      </c>
      <c r="D298" s="31" t="s">
        <v>28</v>
      </c>
      <c r="E298" s="32"/>
      <c r="F298" s="35"/>
      <c r="G298" s="33" t="s">
        <v>5</v>
      </c>
      <c r="H298" s="33" t="s">
        <v>6</v>
      </c>
    </row>
    <row r="299" spans="1:8" ht="33">
      <c r="A299" s="33">
        <f>COUNTA($D$4:D299)</f>
        <v>248</v>
      </c>
      <c r="B299" s="35" t="str">
        <f>"Thiết lập quy tắc biến đổi " &amp;C299</f>
        <v>Thiết lập quy tắc biến đổi Vật chứng trong thi hành án dân sự</v>
      </c>
      <c r="C299" s="35" t="s">
        <v>88</v>
      </c>
      <c r="D299" s="31" t="s">
        <v>28</v>
      </c>
      <c r="E299" s="32"/>
      <c r="F299" s="35"/>
      <c r="G299" s="33" t="s">
        <v>5</v>
      </c>
      <c r="H299" s="33" t="s">
        <v>6</v>
      </c>
    </row>
    <row r="300" spans="1:8" ht="33">
      <c r="A300" s="33">
        <f>COUNTA($D$4:D300)</f>
        <v>249</v>
      </c>
      <c r="B300" s="35" t="str">
        <f t="shared" ref="B300" si="34">"Thiết lập quy tắc làm sạch " &amp;C300</f>
        <v>Thiết lập quy tắc làm sạch Thẩm định giá tài sản trong thi hành án dân sự</v>
      </c>
      <c r="C300" s="35" t="s">
        <v>89</v>
      </c>
      <c r="D300" s="31" t="s">
        <v>28</v>
      </c>
      <c r="E300" s="32"/>
      <c r="F300" s="35"/>
      <c r="G300" s="33" t="s">
        <v>5</v>
      </c>
      <c r="H300" s="33" t="s">
        <v>7</v>
      </c>
    </row>
    <row r="301" spans="1:8" ht="33">
      <c r="A301" s="33">
        <f>COUNTA($D$4:D301)</f>
        <v>250</v>
      </c>
      <c r="B301" s="35" t="str">
        <f>"Thiết lập quy tắc chuẩn hóa " &amp;C301</f>
        <v>Thiết lập quy tắc chuẩn hóa Thẩm định giá tài sản trong thi hành án dân sự</v>
      </c>
      <c r="C301" s="35" t="s">
        <v>89</v>
      </c>
      <c r="D301" s="31" t="s">
        <v>28</v>
      </c>
      <c r="E301" s="32"/>
      <c r="F301" s="35"/>
      <c r="G301" s="33" t="s">
        <v>5</v>
      </c>
      <c r="H301" s="33" t="s">
        <v>6</v>
      </c>
    </row>
    <row r="302" spans="1:8" ht="33">
      <c r="A302" s="33">
        <f>COUNTA($D$4:D302)</f>
        <v>251</v>
      </c>
      <c r="B302" s="35" t="str">
        <f>"Thiết lập quy tắc biến đổi " &amp;C302</f>
        <v>Thiết lập quy tắc biến đổi Thẩm định giá tài sản trong thi hành án dân sự</v>
      </c>
      <c r="C302" s="35" t="s">
        <v>89</v>
      </c>
      <c r="D302" s="31" t="s">
        <v>28</v>
      </c>
      <c r="E302" s="32"/>
      <c r="F302" s="35"/>
      <c r="G302" s="33" t="s">
        <v>5</v>
      </c>
      <c r="H302" s="33" t="s">
        <v>6</v>
      </c>
    </row>
    <row r="303" spans="1:8" ht="33">
      <c r="A303" s="33">
        <f>COUNTA($D$4:D303)</f>
        <v>252</v>
      </c>
      <c r="B303" s="35" t="str">
        <f t="shared" ref="B303" si="35">"Thiết lập quy tắc làm sạch " &amp;C303</f>
        <v>Thiết lập quy tắc làm sạch Đấu giá tài sản trong thi hành án dân sự</v>
      </c>
      <c r="C303" s="35" t="s">
        <v>90</v>
      </c>
      <c r="D303" s="31" t="s">
        <v>28</v>
      </c>
      <c r="E303" s="32"/>
      <c r="F303" s="35"/>
      <c r="G303" s="33" t="s">
        <v>5</v>
      </c>
      <c r="H303" s="33" t="s">
        <v>7</v>
      </c>
    </row>
    <row r="304" spans="1:8" ht="33">
      <c r="A304" s="33">
        <f>COUNTA($D$4:D304)</f>
        <v>253</v>
      </c>
      <c r="B304" s="35" t="str">
        <f>"Thiết lập quy tắc chuẩn hóa " &amp;C304</f>
        <v>Thiết lập quy tắc chuẩn hóa Đấu giá tài sản trong thi hành án dân sự</v>
      </c>
      <c r="C304" s="35" t="s">
        <v>90</v>
      </c>
      <c r="D304" s="31" t="s">
        <v>28</v>
      </c>
      <c r="E304" s="32"/>
      <c r="F304" s="35"/>
      <c r="G304" s="33" t="s">
        <v>5</v>
      </c>
      <c r="H304" s="33" t="s">
        <v>6</v>
      </c>
    </row>
    <row r="305" spans="1:8" ht="33">
      <c r="A305" s="33">
        <f>COUNTA($D$4:D305)</f>
        <v>254</v>
      </c>
      <c r="B305" s="35" t="str">
        <f>"Thiết lập quy tắc biến đổi " &amp;C305</f>
        <v>Thiết lập quy tắc biến đổi Đấu giá tài sản trong thi hành án dân sự</v>
      </c>
      <c r="C305" s="35" t="s">
        <v>90</v>
      </c>
      <c r="D305" s="31" t="s">
        <v>28</v>
      </c>
      <c r="E305" s="32"/>
      <c r="F305" s="35"/>
      <c r="G305" s="33" t="s">
        <v>5</v>
      </c>
      <c r="H305" s="33" t="s">
        <v>6</v>
      </c>
    </row>
    <row r="306" spans="1:8" ht="33">
      <c r="A306" s="33">
        <f>COUNTA($D$4:D306)</f>
        <v>255</v>
      </c>
      <c r="B306" s="35" t="str">
        <f t="shared" ref="B306" si="36">"Thiết lập quy tắc làm sạch " &amp;C306</f>
        <v>Thiết lập quy tắc làm sạch Giải quyết khiếu nại, tố cáo trong thi hành án dân sự</v>
      </c>
      <c r="C306" s="35" t="s">
        <v>91</v>
      </c>
      <c r="D306" s="31" t="s">
        <v>28</v>
      </c>
      <c r="E306" s="32"/>
      <c r="F306" s="35"/>
      <c r="G306" s="33" t="s">
        <v>5</v>
      </c>
      <c r="H306" s="33" t="s">
        <v>7</v>
      </c>
    </row>
    <row r="307" spans="1:8" ht="33">
      <c r="A307" s="33">
        <f>COUNTA($D$4:D307)</f>
        <v>256</v>
      </c>
      <c r="B307" s="35" t="str">
        <f>"Thiết lập quy tắc chuẩn hóa " &amp;C307</f>
        <v>Thiết lập quy tắc chuẩn hóa Giải quyết khiếu nại, tố cáo trong thi hành án dân sự</v>
      </c>
      <c r="C307" s="35" t="s">
        <v>91</v>
      </c>
      <c r="D307" s="31" t="s">
        <v>28</v>
      </c>
      <c r="E307" s="32"/>
      <c r="F307" s="35"/>
      <c r="G307" s="33" t="s">
        <v>5</v>
      </c>
      <c r="H307" s="33" t="s">
        <v>6</v>
      </c>
    </row>
    <row r="308" spans="1:8" ht="33">
      <c r="A308" s="33">
        <f>COUNTA($D$4:D308)</f>
        <v>257</v>
      </c>
      <c r="B308" s="35" t="str">
        <f>"Thiết lập quy tắc biến đổi " &amp;C308</f>
        <v>Thiết lập quy tắc biến đổi Giải quyết khiếu nại, tố cáo trong thi hành án dân sự</v>
      </c>
      <c r="C308" s="35" t="s">
        <v>91</v>
      </c>
      <c r="D308" s="31" t="s">
        <v>28</v>
      </c>
      <c r="E308" s="32"/>
      <c r="F308" s="35"/>
      <c r="G308" s="33" t="s">
        <v>5</v>
      </c>
      <c r="H308" s="33" t="s">
        <v>6</v>
      </c>
    </row>
    <row r="309" spans="1:8" ht="33">
      <c r="A309" s="33">
        <f>COUNTA($D$4:D309)</f>
        <v>258</v>
      </c>
      <c r="B309" s="35" t="str">
        <f t="shared" ref="B309" si="37">"Thiết lập quy tắc làm sạch " &amp;C309</f>
        <v>Thiết lập quy tắc làm sạch Hướng dẫn nghiệp vụ trong thi hành án dân sự</v>
      </c>
      <c r="C309" s="35" t="s">
        <v>92</v>
      </c>
      <c r="D309" s="31" t="s">
        <v>28</v>
      </c>
      <c r="E309" s="32"/>
      <c r="F309" s="35"/>
      <c r="G309" s="33" t="s">
        <v>5</v>
      </c>
      <c r="H309" s="33" t="s">
        <v>7</v>
      </c>
    </row>
    <row r="310" spans="1:8" ht="33">
      <c r="A310" s="33">
        <f>COUNTA($D$4:D310)</f>
        <v>259</v>
      </c>
      <c r="B310" s="35" t="str">
        <f>"Thiết lập quy tắc chuẩn hóa " &amp;C310</f>
        <v>Thiết lập quy tắc chuẩn hóa Hướng dẫn nghiệp vụ trong thi hành án dân sự</v>
      </c>
      <c r="C310" s="35" t="s">
        <v>92</v>
      </c>
      <c r="D310" s="31" t="s">
        <v>28</v>
      </c>
      <c r="E310" s="32"/>
      <c r="F310" s="35"/>
      <c r="G310" s="33" t="s">
        <v>5</v>
      </c>
      <c r="H310" s="33" t="s">
        <v>6</v>
      </c>
    </row>
    <row r="311" spans="1:8" ht="33">
      <c r="A311" s="33">
        <f>COUNTA($D$4:D311)</f>
        <v>260</v>
      </c>
      <c r="B311" s="35" t="str">
        <f>"Thiết lập quy tắc biến đổi " &amp;C311</f>
        <v>Thiết lập quy tắc biến đổi Hướng dẫn nghiệp vụ trong thi hành án dân sự</v>
      </c>
      <c r="C311" s="35" t="s">
        <v>92</v>
      </c>
      <c r="D311" s="31" t="s">
        <v>28</v>
      </c>
      <c r="E311" s="32"/>
      <c r="F311" s="35"/>
      <c r="G311" s="33" t="s">
        <v>5</v>
      </c>
      <c r="H311" s="33" t="s">
        <v>6</v>
      </c>
    </row>
    <row r="312" spans="1:8" ht="33">
      <c r="A312" s="38" t="s">
        <v>173</v>
      </c>
      <c r="B312" s="43" t="s">
        <v>94</v>
      </c>
      <c r="C312" s="43"/>
      <c r="D312" s="31"/>
      <c r="E312" s="32"/>
      <c r="F312" s="32"/>
      <c r="G312" s="33"/>
      <c r="H312" s="33"/>
    </row>
    <row r="313" spans="1:8" ht="16.5">
      <c r="A313" s="38" t="s">
        <v>174</v>
      </c>
      <c r="B313" s="39" t="s">
        <v>96</v>
      </c>
      <c r="C313" s="39"/>
      <c r="D313" s="31"/>
      <c r="E313" s="32"/>
      <c r="F313" s="32"/>
      <c r="G313" s="33"/>
      <c r="H313" s="33"/>
    </row>
    <row r="314" spans="1:8" ht="49.5">
      <c r="A314" s="33">
        <f>COUNTA($D$4:D314)</f>
        <v>261</v>
      </c>
      <c r="B314" s="35" t="str">
        <f t="shared" ref="B314" si="38">"Thiết lập quy tắc làm sạch " &amp;C314</f>
        <v>Thiết lập quy tắc làm sạch Thông tin chung (Bao gồm người đăng ký và Hợp đồng bảo đảm)</v>
      </c>
      <c r="C314" s="35" t="s">
        <v>97</v>
      </c>
      <c r="D314" s="31" t="s">
        <v>28</v>
      </c>
      <c r="E314" s="32"/>
      <c r="F314" s="35"/>
      <c r="G314" s="33" t="s">
        <v>5</v>
      </c>
      <c r="H314" s="33" t="s">
        <v>7</v>
      </c>
    </row>
    <row r="315" spans="1:8" ht="49.5">
      <c r="A315" s="33">
        <f>COUNTA($D$4:D315)</f>
        <v>262</v>
      </c>
      <c r="B315" s="35" t="str">
        <f>"Thiết lập quy tắc chuẩn hóa " &amp;C315</f>
        <v>Thiết lập quy tắc chuẩn hóa Thông tin chung (Bao gồm người đăng ký và Hợp đồng bảo đảm)</v>
      </c>
      <c r="C315" s="35" t="s">
        <v>97</v>
      </c>
      <c r="D315" s="31" t="s">
        <v>28</v>
      </c>
      <c r="E315" s="32"/>
      <c r="F315" s="35"/>
      <c r="G315" s="33" t="s">
        <v>5</v>
      </c>
      <c r="H315" s="33" t="s">
        <v>6</v>
      </c>
    </row>
    <row r="316" spans="1:8" ht="49.5">
      <c r="A316" s="33">
        <f>COUNTA($D$4:D316)</f>
        <v>263</v>
      </c>
      <c r="B316" s="35" t="str">
        <f>"Thiết lập quy tắc biến đổi " &amp;C316</f>
        <v>Thiết lập quy tắc biến đổi Thông tin chung (Bao gồm người đăng ký và Hợp đồng bảo đảm)</v>
      </c>
      <c r="C316" s="35" t="s">
        <v>97</v>
      </c>
      <c r="D316" s="31" t="s">
        <v>28</v>
      </c>
      <c r="E316" s="32"/>
      <c r="F316" s="35"/>
      <c r="G316" s="33" t="s">
        <v>5</v>
      </c>
      <c r="H316" s="33" t="s">
        <v>6</v>
      </c>
    </row>
    <row r="317" spans="1:8" ht="16.5">
      <c r="A317" s="33">
        <f>COUNTA($D$4:D317)</f>
        <v>264</v>
      </c>
      <c r="B317" s="35" t="str">
        <f t="shared" ref="B317" si="39">"Thiết lập quy tắc làm sạch " &amp;C317</f>
        <v>Thiết lập quy tắc làm sạch Bên bảo đảm</v>
      </c>
      <c r="C317" s="35" t="s">
        <v>99</v>
      </c>
      <c r="D317" s="31" t="s">
        <v>28</v>
      </c>
      <c r="E317" s="32"/>
      <c r="F317" s="35"/>
      <c r="G317" s="33" t="s">
        <v>5</v>
      </c>
      <c r="H317" s="33" t="s">
        <v>7</v>
      </c>
    </row>
    <row r="318" spans="1:8" ht="16.5">
      <c r="A318" s="33">
        <f>COUNTA($D$4:D318)</f>
        <v>265</v>
      </c>
      <c r="B318" s="35" t="str">
        <f>"Thiết lập quy tắc chuẩn hóa " &amp;C318</f>
        <v>Thiết lập quy tắc chuẩn hóa Bên bảo đảm</v>
      </c>
      <c r="C318" s="35" t="s">
        <v>99</v>
      </c>
      <c r="D318" s="31" t="s">
        <v>28</v>
      </c>
      <c r="E318" s="32"/>
      <c r="F318" s="35"/>
      <c r="G318" s="33" t="s">
        <v>5</v>
      </c>
      <c r="H318" s="33" t="s">
        <v>6</v>
      </c>
    </row>
    <row r="319" spans="1:8" ht="16.5">
      <c r="A319" s="33">
        <f>COUNTA($D$4:D319)</f>
        <v>266</v>
      </c>
      <c r="B319" s="35" t="str">
        <f>"Thiết lập quy tắc biến đổi " &amp;C319</f>
        <v>Thiết lập quy tắc biến đổi Bên bảo đảm</v>
      </c>
      <c r="C319" s="35" t="s">
        <v>99</v>
      </c>
      <c r="D319" s="31" t="s">
        <v>28</v>
      </c>
      <c r="E319" s="32"/>
      <c r="F319" s="35"/>
      <c r="G319" s="33" t="s">
        <v>5</v>
      </c>
      <c r="H319" s="33" t="s">
        <v>6</v>
      </c>
    </row>
    <row r="320" spans="1:8" ht="16.5">
      <c r="A320" s="33">
        <f>COUNTA($D$4:D320)</f>
        <v>267</v>
      </c>
      <c r="B320" s="35" t="str">
        <f t="shared" ref="B320" si="40">"Thiết lập quy tắc làm sạch " &amp;C320</f>
        <v>Thiết lập quy tắc làm sạch Bên nhận bảo đảm</v>
      </c>
      <c r="C320" s="35" t="s">
        <v>100</v>
      </c>
      <c r="D320" s="31" t="s">
        <v>28</v>
      </c>
      <c r="E320" s="32"/>
      <c r="F320" s="35"/>
      <c r="G320" s="33" t="s">
        <v>5</v>
      </c>
      <c r="H320" s="33" t="s">
        <v>7</v>
      </c>
    </row>
    <row r="321" spans="1:8" ht="16.5">
      <c r="A321" s="33">
        <f>COUNTA($D$4:D321)</f>
        <v>268</v>
      </c>
      <c r="B321" s="35" t="str">
        <f>"Thiết lập quy tắc chuẩn hóa " &amp;C321</f>
        <v>Thiết lập quy tắc chuẩn hóa Bên nhận bảo đảm</v>
      </c>
      <c r="C321" s="35" t="s">
        <v>100</v>
      </c>
      <c r="D321" s="31" t="s">
        <v>28</v>
      </c>
      <c r="E321" s="32"/>
      <c r="F321" s="35"/>
      <c r="G321" s="33" t="s">
        <v>5</v>
      </c>
      <c r="H321" s="33" t="s">
        <v>6</v>
      </c>
    </row>
    <row r="322" spans="1:8" ht="16.5">
      <c r="A322" s="33">
        <f>COUNTA($D$4:D322)</f>
        <v>269</v>
      </c>
      <c r="B322" s="35" t="str">
        <f>"Thiết lập quy tắc biến đổi " &amp;C322</f>
        <v>Thiết lập quy tắc biến đổi Bên nhận bảo đảm</v>
      </c>
      <c r="C322" s="35" t="s">
        <v>100</v>
      </c>
      <c r="D322" s="31" t="s">
        <v>28</v>
      </c>
      <c r="E322" s="32"/>
      <c r="F322" s="35"/>
      <c r="G322" s="33" t="s">
        <v>5</v>
      </c>
      <c r="H322" s="33" t="s">
        <v>6</v>
      </c>
    </row>
    <row r="323" spans="1:8" ht="16.5">
      <c r="A323" s="33">
        <f>COUNTA($D$4:D323)</f>
        <v>270</v>
      </c>
      <c r="B323" s="35" t="str">
        <f t="shared" ref="B323" si="41">"Thiết lập quy tắc làm sạch " &amp;C323</f>
        <v>Thiết lập quy tắc làm sạch Tài sản bảo đảm</v>
      </c>
      <c r="C323" s="35" t="s">
        <v>101</v>
      </c>
      <c r="D323" s="31" t="s">
        <v>28</v>
      </c>
      <c r="E323" s="32"/>
      <c r="F323" s="35"/>
      <c r="G323" s="33" t="s">
        <v>5</v>
      </c>
      <c r="H323" s="33" t="s">
        <v>7</v>
      </c>
    </row>
    <row r="324" spans="1:8" ht="16.5">
      <c r="A324" s="33">
        <f>COUNTA($D$4:D324)</f>
        <v>271</v>
      </c>
      <c r="B324" s="35" t="str">
        <f>"Thiết lập quy tắc chuẩn hóa " &amp;C324</f>
        <v>Thiết lập quy tắc chuẩn hóa Tài sản bảo đảm</v>
      </c>
      <c r="C324" s="35" t="s">
        <v>101</v>
      </c>
      <c r="D324" s="31" t="s">
        <v>28</v>
      </c>
      <c r="E324" s="32"/>
      <c r="F324" s="35"/>
      <c r="G324" s="33" t="s">
        <v>5</v>
      </c>
      <c r="H324" s="33" t="s">
        <v>6</v>
      </c>
    </row>
    <row r="325" spans="1:8" ht="16.5">
      <c r="A325" s="33">
        <f>COUNTA($D$4:D325)</f>
        <v>272</v>
      </c>
      <c r="B325" s="35" t="str">
        <f>"Thiết lập quy tắc biến đổi " &amp;C325</f>
        <v>Thiết lập quy tắc biến đổi Tài sản bảo đảm</v>
      </c>
      <c r="C325" s="35" t="s">
        <v>101</v>
      </c>
      <c r="D325" s="31" t="s">
        <v>28</v>
      </c>
      <c r="E325" s="32"/>
      <c r="F325" s="35"/>
      <c r="G325" s="33" t="s">
        <v>5</v>
      </c>
      <c r="H325" s="33" t="s">
        <v>6</v>
      </c>
    </row>
    <row r="326" spans="1:8" ht="16.5">
      <c r="A326" s="38" t="s">
        <v>175</v>
      </c>
      <c r="B326" s="43" t="s">
        <v>103</v>
      </c>
      <c r="C326" s="43"/>
      <c r="D326" s="31"/>
      <c r="E326" s="32"/>
      <c r="F326" s="32"/>
      <c r="G326" s="33"/>
      <c r="H326" s="33"/>
    </row>
    <row r="327" spans="1:8" ht="16.5">
      <c r="A327" s="38" t="s">
        <v>176</v>
      </c>
      <c r="B327" s="39" t="s">
        <v>105</v>
      </c>
      <c r="C327" s="39"/>
      <c r="D327" s="31"/>
      <c r="E327" s="32"/>
      <c r="F327" s="32"/>
      <c r="G327" s="33"/>
      <c r="H327" s="33"/>
    </row>
    <row r="328" spans="1:8" ht="16.5">
      <c r="A328" s="33">
        <f>COUNTA($D$4:D328)</f>
        <v>273</v>
      </c>
      <c r="B328" s="35" t="str">
        <f t="shared" ref="B328" si="42">"Thiết lập quy tắc làm sạch " &amp;C328</f>
        <v>Thiết lập quy tắc làm sạch Văn bản quy phạm pháp luật</v>
      </c>
      <c r="C328" s="44" t="s">
        <v>106</v>
      </c>
      <c r="D328" s="31" t="s">
        <v>28</v>
      </c>
      <c r="E328" s="32"/>
      <c r="F328" s="35"/>
      <c r="G328" s="33" t="s">
        <v>5</v>
      </c>
      <c r="H328" s="33" t="s">
        <v>7</v>
      </c>
    </row>
    <row r="329" spans="1:8" ht="16.5">
      <c r="A329" s="33">
        <f>COUNTA($D$4:D329)</f>
        <v>274</v>
      </c>
      <c r="B329" s="35" t="str">
        <f>"Thiết lập quy tắc chuẩn hóa " &amp;C329</f>
        <v>Thiết lập quy tắc chuẩn hóa Văn bản quy phạm pháp luật</v>
      </c>
      <c r="C329" s="44" t="s">
        <v>106</v>
      </c>
      <c r="D329" s="31" t="s">
        <v>28</v>
      </c>
      <c r="E329" s="32"/>
      <c r="F329" s="35"/>
      <c r="G329" s="33" t="s">
        <v>5</v>
      </c>
      <c r="H329" s="33" t="s">
        <v>6</v>
      </c>
    </row>
    <row r="330" spans="1:8" ht="16.5">
      <c r="A330" s="33">
        <f>COUNTA($D$4:D330)</f>
        <v>275</v>
      </c>
      <c r="B330" s="35" t="str">
        <f>"Thiết lập quy tắc biến đổi " &amp;C330</f>
        <v>Thiết lập quy tắc biến đổi Văn bản quy phạm pháp luật</v>
      </c>
      <c r="C330" s="44" t="s">
        <v>106</v>
      </c>
      <c r="D330" s="31" t="s">
        <v>28</v>
      </c>
      <c r="E330" s="32"/>
      <c r="F330" s="35"/>
      <c r="G330" s="33" t="s">
        <v>5</v>
      </c>
      <c r="H330" s="33" t="s">
        <v>6</v>
      </c>
    </row>
    <row r="331" spans="1:8" ht="33">
      <c r="A331" s="33">
        <f>COUNTA($D$4:D331)</f>
        <v>276</v>
      </c>
      <c r="B331" s="35" t="str">
        <f t="shared" ref="B331" si="43">"Thiết lập quy tắc làm sạch " &amp;C331</f>
        <v>Thiết lập quy tắc làm sạch Nội dung của văn bản quy phạm pháp luật</v>
      </c>
      <c r="C331" s="44" t="s">
        <v>108</v>
      </c>
      <c r="D331" s="31" t="s">
        <v>28</v>
      </c>
      <c r="E331" s="32"/>
      <c r="F331" s="35"/>
      <c r="G331" s="33" t="s">
        <v>5</v>
      </c>
      <c r="H331" s="33" t="s">
        <v>7</v>
      </c>
    </row>
    <row r="332" spans="1:8" ht="33">
      <c r="A332" s="33">
        <f>COUNTA($D$4:D332)</f>
        <v>277</v>
      </c>
      <c r="B332" s="35" t="str">
        <f>"Thiết lập quy tắc chuẩn hóa " &amp;C332</f>
        <v>Thiết lập quy tắc chuẩn hóa Nội dung của văn bản quy phạm pháp luật</v>
      </c>
      <c r="C332" s="44" t="s">
        <v>108</v>
      </c>
      <c r="D332" s="31" t="s">
        <v>28</v>
      </c>
      <c r="E332" s="32"/>
      <c r="F332" s="35"/>
      <c r="G332" s="33" t="s">
        <v>5</v>
      </c>
      <c r="H332" s="33" t="s">
        <v>6</v>
      </c>
    </row>
    <row r="333" spans="1:8" ht="33">
      <c r="A333" s="33">
        <f>COUNTA($D$4:D333)</f>
        <v>278</v>
      </c>
      <c r="B333" s="35" t="str">
        <f>"Thiết lập quy tắc biến đổi " &amp;C333</f>
        <v>Thiết lập quy tắc biến đổi Nội dung của văn bản quy phạm pháp luật</v>
      </c>
      <c r="C333" s="44" t="s">
        <v>108</v>
      </c>
      <c r="D333" s="31" t="s">
        <v>28</v>
      </c>
      <c r="E333" s="32"/>
      <c r="F333" s="35"/>
      <c r="G333" s="33" t="s">
        <v>5</v>
      </c>
      <c r="H333" s="33" t="s">
        <v>6</v>
      </c>
    </row>
    <row r="334" spans="1:8" ht="49.5">
      <c r="A334" s="33">
        <f>COUNTA($D$4:D334)</f>
        <v>279</v>
      </c>
      <c r="B334" s="35" t="str">
        <f t="shared" ref="B334" si="44">"Thiết lập quy tắc làm sạch " &amp;C334</f>
        <v>Thiết lập quy tắc làm sạch Quan hệ giữa các điều khoản trong các văn bản quy phạm pháp luật</v>
      </c>
      <c r="C334" s="44" t="s">
        <v>109</v>
      </c>
      <c r="D334" s="31" t="s">
        <v>28</v>
      </c>
      <c r="E334" s="32"/>
      <c r="F334" s="35"/>
      <c r="G334" s="33" t="s">
        <v>5</v>
      </c>
      <c r="H334" s="33" t="s">
        <v>7</v>
      </c>
    </row>
    <row r="335" spans="1:8" ht="49.5">
      <c r="A335" s="33">
        <f>COUNTA($D$4:D335)</f>
        <v>280</v>
      </c>
      <c r="B335" s="35" t="str">
        <f>"Thiết lập quy tắc chuẩn hóa " &amp;C335</f>
        <v>Thiết lập quy tắc chuẩn hóa Quan hệ giữa các điều khoản trong các văn bản quy phạm pháp luật</v>
      </c>
      <c r="C335" s="44" t="s">
        <v>109</v>
      </c>
      <c r="D335" s="31" t="s">
        <v>28</v>
      </c>
      <c r="E335" s="32"/>
      <c r="F335" s="35"/>
      <c r="G335" s="33" t="s">
        <v>5</v>
      </c>
      <c r="H335" s="33" t="s">
        <v>6</v>
      </c>
    </row>
    <row r="336" spans="1:8" ht="49.5">
      <c r="A336" s="33">
        <f>COUNTA($D$4:D336)</f>
        <v>281</v>
      </c>
      <c r="B336" s="35" t="str">
        <f>"Thiết lập quy tắc biến đổi " &amp;C336</f>
        <v>Thiết lập quy tắc biến đổi Quan hệ giữa các điều khoản trong các văn bản quy phạm pháp luật</v>
      </c>
      <c r="C336" s="44" t="s">
        <v>109</v>
      </c>
      <c r="D336" s="31" t="s">
        <v>28</v>
      </c>
      <c r="E336" s="32"/>
      <c r="F336" s="35"/>
      <c r="G336" s="33" t="s">
        <v>5</v>
      </c>
      <c r="H336" s="33" t="s">
        <v>6</v>
      </c>
    </row>
    <row r="337" spans="1:8" ht="16.5">
      <c r="A337" s="33">
        <f>COUNTA($D$4:D337)</f>
        <v>282</v>
      </c>
      <c r="B337" s="35" t="str">
        <f t="shared" ref="B337" si="45">"Thiết lập quy tắc làm sạch " &amp;C337</f>
        <v>Thiết lập quy tắc làm sạch Văn bản hợp nhất</v>
      </c>
      <c r="C337" s="44" t="s">
        <v>110</v>
      </c>
      <c r="D337" s="31" t="s">
        <v>28</v>
      </c>
      <c r="E337" s="32"/>
      <c r="F337" s="35"/>
      <c r="G337" s="33" t="s">
        <v>5</v>
      </c>
      <c r="H337" s="33" t="s">
        <v>7</v>
      </c>
    </row>
    <row r="338" spans="1:8" ht="16.5">
      <c r="A338" s="33">
        <f>COUNTA($D$4:D338)</f>
        <v>283</v>
      </c>
      <c r="B338" s="35" t="str">
        <f>"Thiết lập quy tắc chuẩn hóa " &amp;C338</f>
        <v>Thiết lập quy tắc chuẩn hóa Văn bản hợp nhất</v>
      </c>
      <c r="C338" s="44" t="s">
        <v>110</v>
      </c>
      <c r="D338" s="31" t="s">
        <v>28</v>
      </c>
      <c r="E338" s="32"/>
      <c r="F338" s="35"/>
      <c r="G338" s="33" t="s">
        <v>5</v>
      </c>
      <c r="H338" s="33" t="s">
        <v>6</v>
      </c>
    </row>
    <row r="339" spans="1:8" ht="16.5">
      <c r="A339" s="33">
        <f>COUNTA($D$4:D339)</f>
        <v>284</v>
      </c>
      <c r="B339" s="35" t="str">
        <f>"Thiết lập quy tắc biến đổi " &amp;C339</f>
        <v>Thiết lập quy tắc biến đổi Văn bản hợp nhất</v>
      </c>
      <c r="C339" s="44" t="s">
        <v>110</v>
      </c>
      <c r="D339" s="31" t="s">
        <v>28</v>
      </c>
      <c r="E339" s="32"/>
      <c r="F339" s="35"/>
      <c r="G339" s="33" t="s">
        <v>5</v>
      </c>
      <c r="H339" s="33" t="s">
        <v>6</v>
      </c>
    </row>
    <row r="340" spans="1:8" ht="33">
      <c r="A340" s="33">
        <f>COUNTA($D$4:D340)</f>
        <v>285</v>
      </c>
      <c r="B340" s="35" t="str">
        <f t="shared" ref="B340" si="46">"Thiết lập quy tắc làm sạch " &amp;C340</f>
        <v>Thiết lập quy tắc làm sạch Hệ thống hóa văn bản quy phạm pháp luật</v>
      </c>
      <c r="C340" s="44" t="s">
        <v>111</v>
      </c>
      <c r="D340" s="31" t="s">
        <v>28</v>
      </c>
      <c r="E340" s="32"/>
      <c r="F340" s="35"/>
      <c r="G340" s="33" t="s">
        <v>5</v>
      </c>
      <c r="H340" s="33" t="s">
        <v>7</v>
      </c>
    </row>
    <row r="341" spans="1:8" ht="33">
      <c r="A341" s="33">
        <f>COUNTA($D$4:D341)</f>
        <v>286</v>
      </c>
      <c r="B341" s="35" t="str">
        <f>"Thiết lập quy tắc chuẩn hóa " &amp;C341</f>
        <v>Thiết lập quy tắc chuẩn hóa Hệ thống hóa văn bản quy phạm pháp luật</v>
      </c>
      <c r="C341" s="44" t="s">
        <v>111</v>
      </c>
      <c r="D341" s="31" t="s">
        <v>28</v>
      </c>
      <c r="E341" s="32"/>
      <c r="F341" s="35"/>
      <c r="G341" s="33" t="s">
        <v>5</v>
      </c>
      <c r="H341" s="33" t="s">
        <v>6</v>
      </c>
    </row>
    <row r="342" spans="1:8" ht="33">
      <c r="A342" s="33">
        <f>COUNTA($D$4:D342)</f>
        <v>287</v>
      </c>
      <c r="B342" s="35" t="str">
        <f>"Thiết lập quy tắc biến đổi " &amp;C342</f>
        <v>Thiết lập quy tắc biến đổi Hệ thống hóa văn bản quy phạm pháp luật</v>
      </c>
      <c r="C342" s="44" t="s">
        <v>111</v>
      </c>
      <c r="D342" s="31" t="s">
        <v>28</v>
      </c>
      <c r="E342" s="32"/>
      <c r="F342" s="35"/>
      <c r="G342" s="33" t="s">
        <v>5</v>
      </c>
      <c r="H342" s="33" t="s">
        <v>6</v>
      </c>
    </row>
    <row r="343" spans="1:8" ht="16.5">
      <c r="A343" s="38" t="s">
        <v>177</v>
      </c>
      <c r="B343" s="39" t="s">
        <v>113</v>
      </c>
      <c r="C343" s="39"/>
      <c r="D343" s="31"/>
      <c r="E343" s="32"/>
      <c r="F343" s="32"/>
      <c r="G343" s="33"/>
      <c r="H343" s="33"/>
    </row>
    <row r="344" spans="1:8" ht="16.5">
      <c r="A344" s="33">
        <f>COUNTA($D$4:D344)</f>
        <v>288</v>
      </c>
      <c r="B344" s="35" t="str">
        <f t="shared" ref="B344" si="47">"Thiết lập quy tắc làm sạch " &amp;C344</f>
        <v>Thiết lập quy tắc làm sạch Hồ sơ ủy thác tư pháp đến</v>
      </c>
      <c r="C344" s="35" t="s">
        <v>114</v>
      </c>
      <c r="D344" s="31" t="s">
        <v>28</v>
      </c>
      <c r="E344" s="32"/>
      <c r="F344" s="35"/>
      <c r="G344" s="33" t="s">
        <v>5</v>
      </c>
      <c r="H344" s="33" t="s">
        <v>7</v>
      </c>
    </row>
    <row r="345" spans="1:8" ht="16.5">
      <c r="A345" s="33">
        <f>COUNTA($D$4:D345)</f>
        <v>289</v>
      </c>
      <c r="B345" s="35" t="str">
        <f>"Thiết lập quy tắc chuẩn hóa " &amp;C345</f>
        <v>Thiết lập quy tắc chuẩn hóa Hồ sơ ủy thác tư pháp đến</v>
      </c>
      <c r="C345" s="35" t="s">
        <v>114</v>
      </c>
      <c r="D345" s="31" t="s">
        <v>28</v>
      </c>
      <c r="E345" s="32"/>
      <c r="F345" s="35"/>
      <c r="G345" s="33" t="s">
        <v>5</v>
      </c>
      <c r="H345" s="33" t="s">
        <v>6</v>
      </c>
    </row>
    <row r="346" spans="1:8" ht="16.5">
      <c r="A346" s="33">
        <f>COUNTA($D$4:D346)</f>
        <v>290</v>
      </c>
      <c r="B346" s="35" t="str">
        <f>"Thiết lập quy tắc biến đổi " &amp;C346</f>
        <v>Thiết lập quy tắc biến đổi Hồ sơ ủy thác tư pháp đến</v>
      </c>
      <c r="C346" s="35" t="s">
        <v>114</v>
      </c>
      <c r="D346" s="31" t="s">
        <v>28</v>
      </c>
      <c r="E346" s="32"/>
      <c r="F346" s="35"/>
      <c r="G346" s="33" t="s">
        <v>5</v>
      </c>
      <c r="H346" s="33" t="s">
        <v>6</v>
      </c>
    </row>
    <row r="347" spans="1:8" ht="16.5">
      <c r="A347" s="33">
        <f>COUNTA($D$4:D347)</f>
        <v>291</v>
      </c>
      <c r="B347" s="35" t="str">
        <f t="shared" ref="B347" si="48">"Thiết lập quy tắc làm sạch " &amp;C347</f>
        <v>Thiết lập quy tắc làm sạch Hồ sơ ủy thác tư pháp đi</v>
      </c>
      <c r="C347" s="35" t="s">
        <v>116</v>
      </c>
      <c r="D347" s="31" t="s">
        <v>28</v>
      </c>
      <c r="E347" s="32"/>
      <c r="F347" s="35"/>
      <c r="G347" s="33" t="s">
        <v>5</v>
      </c>
      <c r="H347" s="33" t="s">
        <v>7</v>
      </c>
    </row>
    <row r="348" spans="1:8" ht="16.5">
      <c r="A348" s="33">
        <f>COUNTA($D$4:D348)</f>
        <v>292</v>
      </c>
      <c r="B348" s="35" t="str">
        <f>"Thiết lập quy tắc chuẩn hóa " &amp;C348</f>
        <v>Thiết lập quy tắc chuẩn hóa Hồ sơ ủy thác tư pháp đi</v>
      </c>
      <c r="C348" s="35" t="s">
        <v>116</v>
      </c>
      <c r="D348" s="31" t="s">
        <v>28</v>
      </c>
      <c r="E348" s="32"/>
      <c r="F348" s="35"/>
      <c r="G348" s="33" t="s">
        <v>5</v>
      </c>
      <c r="H348" s="33" t="s">
        <v>6</v>
      </c>
    </row>
    <row r="349" spans="1:8" ht="16.5">
      <c r="A349" s="33">
        <f>COUNTA($D$4:D349)</f>
        <v>293</v>
      </c>
      <c r="B349" s="35" t="str">
        <f>"Thiết lập quy tắc biến đổi " &amp;C349</f>
        <v>Thiết lập quy tắc biến đổi Hồ sơ ủy thác tư pháp đi</v>
      </c>
      <c r="C349" s="35" t="s">
        <v>116</v>
      </c>
      <c r="D349" s="31" t="s">
        <v>28</v>
      </c>
      <c r="E349" s="32"/>
      <c r="F349" s="35"/>
      <c r="G349" s="33" t="s">
        <v>5</v>
      </c>
      <c r="H349" s="33" t="s">
        <v>6</v>
      </c>
    </row>
    <row r="350" spans="1:8" ht="16.5">
      <c r="A350" s="38" t="s">
        <v>178</v>
      </c>
      <c r="B350" s="39" t="s">
        <v>118</v>
      </c>
      <c r="C350" s="39"/>
      <c r="D350" s="31"/>
      <c r="E350" s="32"/>
      <c r="F350" s="32"/>
      <c r="G350" s="33"/>
      <c r="H350" s="33"/>
    </row>
    <row r="351" spans="1:8" ht="33">
      <c r="A351" s="33">
        <f>COUNTA($D$4:D351)</f>
        <v>294</v>
      </c>
      <c r="B351" s="35" t="str">
        <f t="shared" ref="B351" si="49">"Thiết lập quy tắc làm sạch " &amp;C351</f>
        <v>Thiết lập quy tắc làm sạch Tổ chức thực hiện trợ giúp pháp lý</v>
      </c>
      <c r="C351" s="35" t="s">
        <v>119</v>
      </c>
      <c r="D351" s="31" t="s">
        <v>28</v>
      </c>
      <c r="E351" s="32"/>
      <c r="F351" s="35"/>
      <c r="G351" s="33" t="s">
        <v>5</v>
      </c>
      <c r="H351" s="33" t="s">
        <v>7</v>
      </c>
    </row>
    <row r="352" spans="1:8" ht="33">
      <c r="A352" s="33">
        <f>COUNTA($D$4:D352)</f>
        <v>295</v>
      </c>
      <c r="B352" s="35" t="str">
        <f>"Thiết lập quy tắc chuẩn hóa " &amp;C352</f>
        <v>Thiết lập quy tắc chuẩn hóa Tổ chức thực hiện trợ giúp pháp lý</v>
      </c>
      <c r="C352" s="35" t="s">
        <v>119</v>
      </c>
      <c r="D352" s="31" t="s">
        <v>28</v>
      </c>
      <c r="E352" s="32"/>
      <c r="F352" s="35"/>
      <c r="G352" s="33" t="s">
        <v>5</v>
      </c>
      <c r="H352" s="33" t="s">
        <v>6</v>
      </c>
    </row>
    <row r="353" spans="1:8" ht="33">
      <c r="A353" s="33">
        <f>COUNTA($D$4:D353)</f>
        <v>296</v>
      </c>
      <c r="B353" s="35" t="str">
        <f>"Thiết lập quy tắc biến đổi " &amp;C353</f>
        <v>Thiết lập quy tắc biến đổi Tổ chức thực hiện trợ giúp pháp lý</v>
      </c>
      <c r="C353" s="35" t="s">
        <v>119</v>
      </c>
      <c r="D353" s="31" t="s">
        <v>28</v>
      </c>
      <c r="E353" s="32"/>
      <c r="F353" s="35"/>
      <c r="G353" s="33" t="s">
        <v>5</v>
      </c>
      <c r="H353" s="33" t="s">
        <v>6</v>
      </c>
    </row>
    <row r="354" spans="1:8" ht="33">
      <c r="A354" s="33">
        <f>COUNTA($D$4:D354)</f>
        <v>297</v>
      </c>
      <c r="B354" s="35" t="str">
        <f t="shared" ref="B354" si="50">"Thiết lập quy tắc làm sạch " &amp;C354</f>
        <v>Thiết lập quy tắc làm sạch Tổ chức đăng ký tham gia trợ giúp pháp lý</v>
      </c>
      <c r="C354" s="45" t="s">
        <v>121</v>
      </c>
      <c r="D354" s="31" t="s">
        <v>28</v>
      </c>
      <c r="E354" s="32"/>
      <c r="F354" s="35"/>
      <c r="G354" s="33" t="s">
        <v>5</v>
      </c>
      <c r="H354" s="33" t="s">
        <v>7</v>
      </c>
    </row>
    <row r="355" spans="1:8" ht="33">
      <c r="A355" s="33">
        <f>COUNTA($D$4:D355)</f>
        <v>298</v>
      </c>
      <c r="B355" s="35" t="str">
        <f>"Thiết lập quy tắc chuẩn hóa " &amp;C355</f>
        <v>Thiết lập quy tắc chuẩn hóa Tổ chức đăng ký tham gia trợ giúp pháp lý</v>
      </c>
      <c r="C355" s="45" t="s">
        <v>121</v>
      </c>
      <c r="D355" s="31" t="s">
        <v>28</v>
      </c>
      <c r="E355" s="32"/>
      <c r="F355" s="35"/>
      <c r="G355" s="33" t="s">
        <v>5</v>
      </c>
      <c r="H355" s="33" t="s">
        <v>6</v>
      </c>
    </row>
    <row r="356" spans="1:8" ht="33">
      <c r="A356" s="33">
        <f>COUNTA($D$4:D356)</f>
        <v>299</v>
      </c>
      <c r="B356" s="35" t="str">
        <f>"Thiết lập quy tắc biến đổi " &amp;C356</f>
        <v>Thiết lập quy tắc biến đổi Tổ chức đăng ký tham gia trợ giúp pháp lý</v>
      </c>
      <c r="C356" s="45" t="s">
        <v>121</v>
      </c>
      <c r="D356" s="31" t="s">
        <v>28</v>
      </c>
      <c r="E356" s="32"/>
      <c r="F356" s="35"/>
      <c r="G356" s="33" t="s">
        <v>5</v>
      </c>
      <c r="H356" s="33" t="s">
        <v>6</v>
      </c>
    </row>
    <row r="357" spans="1:8" ht="33">
      <c r="A357" s="33">
        <f>COUNTA($D$4:D357)</f>
        <v>300</v>
      </c>
      <c r="B357" s="35" t="str">
        <f t="shared" ref="B357" si="51">"Thiết lập quy tắc làm sạch " &amp;C357</f>
        <v>Thiết lập quy tắc làm sạch Thông tin văn bản cử người thực hiện trợ giúp pháp lý</v>
      </c>
      <c r="C357" s="45" t="s">
        <v>122</v>
      </c>
      <c r="D357" s="31" t="s">
        <v>28</v>
      </c>
      <c r="E357" s="32"/>
      <c r="F357" s="35"/>
      <c r="G357" s="33" t="s">
        <v>5</v>
      </c>
      <c r="H357" s="33" t="s">
        <v>7</v>
      </c>
    </row>
    <row r="358" spans="1:8" ht="33">
      <c r="A358" s="33">
        <f>COUNTA($D$4:D358)</f>
        <v>301</v>
      </c>
      <c r="B358" s="35" t="str">
        <f>"Thiết lập quy tắc chuẩn hóa " &amp;C358</f>
        <v>Thiết lập quy tắc chuẩn hóa Thông tin văn bản cử người thực hiện trợ giúp pháp lý</v>
      </c>
      <c r="C358" s="45" t="s">
        <v>122</v>
      </c>
      <c r="D358" s="31" t="s">
        <v>28</v>
      </c>
      <c r="E358" s="32"/>
      <c r="F358" s="35"/>
      <c r="G358" s="33" t="s">
        <v>5</v>
      </c>
      <c r="H358" s="33" t="s">
        <v>6</v>
      </c>
    </row>
    <row r="359" spans="1:8" ht="33">
      <c r="A359" s="33">
        <f>COUNTA($D$4:D359)</f>
        <v>302</v>
      </c>
      <c r="B359" s="35" t="str">
        <f>"Thiết lập quy tắc biến đổi " &amp;C359</f>
        <v>Thiết lập quy tắc biến đổi Thông tin văn bản cử người thực hiện trợ giúp pháp lý</v>
      </c>
      <c r="C359" s="45" t="s">
        <v>122</v>
      </c>
      <c r="D359" s="31" t="s">
        <v>28</v>
      </c>
      <c r="E359" s="32"/>
      <c r="F359" s="35"/>
      <c r="G359" s="33" t="s">
        <v>5</v>
      </c>
      <c r="H359" s="33" t="s">
        <v>6</v>
      </c>
    </row>
    <row r="360" spans="1:8" ht="16.5">
      <c r="A360" s="33">
        <f>COUNTA($D$4:D360)</f>
        <v>303</v>
      </c>
      <c r="B360" s="35" t="str">
        <f t="shared" ref="B360" si="52">"Thiết lập quy tắc làm sạch " &amp;C360</f>
        <v>Thiết lập quy tắc làm sạch Trung tâm TGPL nhà nước</v>
      </c>
      <c r="C360" s="35" t="s">
        <v>123</v>
      </c>
      <c r="D360" s="31" t="s">
        <v>28</v>
      </c>
      <c r="E360" s="32"/>
      <c r="F360" s="35"/>
      <c r="G360" s="33" t="s">
        <v>5</v>
      </c>
      <c r="H360" s="33" t="s">
        <v>7</v>
      </c>
    </row>
    <row r="361" spans="1:8" ht="16.5">
      <c r="A361" s="33">
        <f>COUNTA($D$4:D361)</f>
        <v>304</v>
      </c>
      <c r="B361" s="35" t="str">
        <f>"Thiết lập quy tắc chuẩn hóa " &amp;C361</f>
        <v>Thiết lập quy tắc chuẩn hóa Trung tâm TGPL nhà nước</v>
      </c>
      <c r="C361" s="35" t="s">
        <v>123</v>
      </c>
      <c r="D361" s="31" t="s">
        <v>28</v>
      </c>
      <c r="E361" s="32"/>
      <c r="F361" s="35"/>
      <c r="G361" s="33" t="s">
        <v>5</v>
      </c>
      <c r="H361" s="33" t="s">
        <v>6</v>
      </c>
    </row>
    <row r="362" spans="1:8" ht="16.5">
      <c r="A362" s="33">
        <f>COUNTA($D$4:D362)</f>
        <v>305</v>
      </c>
      <c r="B362" s="35" t="str">
        <f>"Thiết lập quy tắc biến đổi " &amp;C362</f>
        <v>Thiết lập quy tắc biến đổi Trung tâm TGPL nhà nước</v>
      </c>
      <c r="C362" s="35" t="s">
        <v>123</v>
      </c>
      <c r="D362" s="31" t="s">
        <v>28</v>
      </c>
      <c r="E362" s="32"/>
      <c r="F362" s="35"/>
      <c r="G362" s="33" t="s">
        <v>5</v>
      </c>
      <c r="H362" s="33" t="s">
        <v>6</v>
      </c>
    </row>
    <row r="363" spans="1:8" ht="16.5">
      <c r="A363" s="33">
        <f>COUNTA($D$4:D363)</f>
        <v>306</v>
      </c>
      <c r="B363" s="35" t="str">
        <f t="shared" ref="B363" si="53">"Thiết lập quy tắc làm sạch " &amp;C363</f>
        <v>Thiết lập quy tắc làm sạch Chi nhánh TGPL</v>
      </c>
      <c r="C363" s="47" t="s">
        <v>561</v>
      </c>
      <c r="D363" s="31" t="s">
        <v>28</v>
      </c>
      <c r="E363" s="32"/>
      <c r="F363" s="35"/>
      <c r="G363" s="33" t="s">
        <v>5</v>
      </c>
      <c r="H363" s="33" t="s">
        <v>7</v>
      </c>
    </row>
    <row r="364" spans="1:8" ht="16.5">
      <c r="A364" s="33">
        <f>COUNTA($D$4:D364)</f>
        <v>307</v>
      </c>
      <c r="B364" s="35" t="str">
        <f>"Thiết lập quy tắc chuẩn hóa " &amp;C364</f>
        <v>Thiết lập quy tắc chuẩn hóa Chi nhánh TGPL</v>
      </c>
      <c r="C364" s="47" t="s">
        <v>561</v>
      </c>
      <c r="D364" s="31" t="s">
        <v>28</v>
      </c>
      <c r="E364" s="32"/>
      <c r="F364" s="35"/>
      <c r="G364" s="33" t="s">
        <v>5</v>
      </c>
      <c r="H364" s="33" t="s">
        <v>6</v>
      </c>
    </row>
    <row r="365" spans="1:8" ht="16.5">
      <c r="A365" s="33">
        <f>COUNTA($D$4:D365)</f>
        <v>308</v>
      </c>
      <c r="B365" s="35" t="str">
        <f>"Thiết lập quy tắc biến đổi " &amp;C365</f>
        <v>Thiết lập quy tắc biến đổi Chi nhánh TGPL</v>
      </c>
      <c r="C365" s="47" t="s">
        <v>561</v>
      </c>
      <c r="D365" s="31" t="s">
        <v>28</v>
      </c>
      <c r="E365" s="32"/>
      <c r="F365" s="35"/>
      <c r="G365" s="33" t="s">
        <v>5</v>
      </c>
      <c r="H365" s="33" t="s">
        <v>6</v>
      </c>
    </row>
    <row r="366" spans="1:8" ht="16.5">
      <c r="A366" s="33">
        <f>COUNTA($D$4:D366)</f>
        <v>309</v>
      </c>
      <c r="B366" s="35" t="str">
        <f t="shared" ref="B366" si="54">"Thiết lập quy tắc làm sạch " &amp;C366</f>
        <v>Thiết lập quy tắc làm sạch Người thực hiện TGPL</v>
      </c>
      <c r="C366" s="35" t="s">
        <v>29</v>
      </c>
      <c r="D366" s="31" t="s">
        <v>28</v>
      </c>
      <c r="E366" s="32"/>
      <c r="F366" s="35"/>
      <c r="G366" s="33" t="s">
        <v>5</v>
      </c>
      <c r="H366" s="33" t="s">
        <v>7</v>
      </c>
    </row>
    <row r="367" spans="1:8" ht="16.5">
      <c r="A367" s="33">
        <f>COUNTA($D$4:D367)</f>
        <v>310</v>
      </c>
      <c r="B367" s="35" t="str">
        <f>"Thiết lập quy tắc chuẩn hóa " &amp;C367</f>
        <v>Thiết lập quy tắc chuẩn hóa Người thực hiện TGPL</v>
      </c>
      <c r="C367" s="35" t="s">
        <v>29</v>
      </c>
      <c r="D367" s="31" t="s">
        <v>28</v>
      </c>
      <c r="E367" s="32"/>
      <c r="F367" s="35"/>
      <c r="G367" s="33" t="s">
        <v>5</v>
      </c>
      <c r="H367" s="33" t="s">
        <v>6</v>
      </c>
    </row>
    <row r="368" spans="1:8" ht="16.5">
      <c r="A368" s="33">
        <f>COUNTA($D$4:D368)</f>
        <v>311</v>
      </c>
      <c r="B368" s="35" t="str">
        <f>"Thiết lập quy tắc biến đổi " &amp;C368</f>
        <v>Thiết lập quy tắc biến đổi Người thực hiện TGPL</v>
      </c>
      <c r="C368" s="35" t="s">
        <v>29</v>
      </c>
      <c r="D368" s="31" t="s">
        <v>28</v>
      </c>
      <c r="E368" s="32"/>
      <c r="F368" s="35"/>
      <c r="G368" s="33" t="s">
        <v>5</v>
      </c>
      <c r="H368" s="33" t="s">
        <v>6</v>
      </c>
    </row>
    <row r="369" spans="1:8" ht="16.5">
      <c r="A369" s="38" t="s">
        <v>520</v>
      </c>
      <c r="B369" s="39" t="s">
        <v>521</v>
      </c>
      <c r="C369" s="39"/>
      <c r="D369" s="31"/>
      <c r="E369" s="32"/>
      <c r="F369" s="32"/>
      <c r="G369" s="33"/>
      <c r="H369" s="33"/>
    </row>
    <row r="370" spans="1:8" ht="16.5">
      <c r="A370" s="33">
        <f>COUNTA($D$4:D370)</f>
        <v>312</v>
      </c>
      <c r="B370" s="35" t="str">
        <f t="shared" ref="B370" si="55">"Thiết lập quy tắc làm sạch " &amp;C370</f>
        <v>Thiết lập quy tắc làm sạch Báo cáo viên pháp luật</v>
      </c>
      <c r="C370" s="47" t="s">
        <v>427</v>
      </c>
      <c r="D370" s="48" t="s">
        <v>28</v>
      </c>
      <c r="E370" s="49"/>
      <c r="F370" s="47"/>
      <c r="G370" s="33" t="s">
        <v>5</v>
      </c>
      <c r="H370" s="33" t="s">
        <v>7</v>
      </c>
    </row>
    <row r="371" spans="1:8" ht="16.5">
      <c r="A371" s="33">
        <f>COUNTA($D$4:D371)</f>
        <v>313</v>
      </c>
      <c r="B371" s="35" t="str">
        <f>"Thiết lập quy tắc chuẩn hóa " &amp;C371</f>
        <v>Thiết lập quy tắc chuẩn hóa Báo cáo viên pháp luật</v>
      </c>
      <c r="C371" s="47" t="s">
        <v>427</v>
      </c>
      <c r="D371" s="48" t="s">
        <v>28</v>
      </c>
      <c r="E371" s="49"/>
      <c r="F371" s="47"/>
      <c r="G371" s="33" t="s">
        <v>5</v>
      </c>
      <c r="H371" s="33" t="s">
        <v>6</v>
      </c>
    </row>
    <row r="372" spans="1:8" ht="16.5">
      <c r="A372" s="33">
        <f>COUNTA($D$4:D372)</f>
        <v>314</v>
      </c>
      <c r="B372" s="35" t="str">
        <f>"Thiết lập quy tắc biến đổi " &amp;C372</f>
        <v>Thiết lập quy tắc biến đổi Báo cáo viên pháp luật</v>
      </c>
      <c r="C372" s="47" t="s">
        <v>427</v>
      </c>
      <c r="D372" s="48" t="s">
        <v>28</v>
      </c>
      <c r="E372" s="49"/>
      <c r="F372" s="47"/>
      <c r="G372" s="33" t="s">
        <v>5</v>
      </c>
      <c r="H372" s="33" t="s">
        <v>6</v>
      </c>
    </row>
    <row r="373" spans="1:8" ht="16.5">
      <c r="A373" s="33">
        <f>COUNTA($D$4:D373)</f>
        <v>315</v>
      </c>
      <c r="B373" s="35" t="str">
        <f t="shared" ref="B373" si="56">"Thiết lập quy tắc làm sạch " &amp;C373</f>
        <v>Thiết lập quy tắc làm sạch Tuyên truyền viên pháp luật</v>
      </c>
      <c r="C373" s="47" t="s">
        <v>496</v>
      </c>
      <c r="D373" s="48" t="s">
        <v>28</v>
      </c>
      <c r="E373" s="49"/>
      <c r="F373" s="47"/>
      <c r="G373" s="33" t="s">
        <v>5</v>
      </c>
      <c r="H373" s="33" t="s">
        <v>7</v>
      </c>
    </row>
    <row r="374" spans="1:8" ht="16.5">
      <c r="A374" s="33">
        <f>COUNTA($D$4:D374)</f>
        <v>316</v>
      </c>
      <c r="B374" s="35" t="str">
        <f>"Thiết lập quy tắc chuẩn hóa " &amp;C374</f>
        <v>Thiết lập quy tắc chuẩn hóa Tuyên truyền viên pháp luật</v>
      </c>
      <c r="C374" s="47" t="s">
        <v>496</v>
      </c>
      <c r="D374" s="48" t="s">
        <v>28</v>
      </c>
      <c r="E374" s="49"/>
      <c r="F374" s="47"/>
      <c r="G374" s="33" t="s">
        <v>5</v>
      </c>
      <c r="H374" s="33" t="s">
        <v>6</v>
      </c>
    </row>
    <row r="375" spans="1:8" ht="16.5">
      <c r="A375" s="33">
        <f>COUNTA($D$4:D375)</f>
        <v>317</v>
      </c>
      <c r="B375" s="35" t="str">
        <f>"Thiết lập quy tắc biến đổi " &amp;C375</f>
        <v>Thiết lập quy tắc biến đổi Tuyên truyền viên pháp luật</v>
      </c>
      <c r="C375" s="47" t="s">
        <v>496</v>
      </c>
      <c r="D375" s="48" t="s">
        <v>28</v>
      </c>
      <c r="E375" s="49"/>
      <c r="F375" s="47"/>
      <c r="G375" s="33" t="s">
        <v>5</v>
      </c>
      <c r="H375" s="33" t="s">
        <v>6</v>
      </c>
    </row>
    <row r="376" spans="1:8" ht="33">
      <c r="A376" s="33">
        <f>COUNTA($D$4:D376)</f>
        <v>318</v>
      </c>
      <c r="B376" s="35" t="str">
        <f t="shared" ref="B376" si="57">"Thiết lập quy tắc làm sạch " &amp;C376</f>
        <v>Thiết lập quy tắc làm sạch Chương trình, kế hoạch về phổ biến, giáo dục pháp luật</v>
      </c>
      <c r="C376" s="35" t="s">
        <v>497</v>
      </c>
      <c r="D376" s="48" t="s">
        <v>28</v>
      </c>
      <c r="E376" s="49"/>
      <c r="F376" s="47"/>
      <c r="G376" s="33" t="s">
        <v>5</v>
      </c>
      <c r="H376" s="33" t="s">
        <v>7</v>
      </c>
    </row>
    <row r="377" spans="1:8" ht="33">
      <c r="A377" s="33">
        <f>COUNTA($D$4:D377)</f>
        <v>319</v>
      </c>
      <c r="B377" s="35" t="str">
        <f>"Thiết lập quy tắc chuẩn hóa " &amp;C377</f>
        <v>Thiết lập quy tắc chuẩn hóa Chương trình, kế hoạch về phổ biến, giáo dục pháp luật</v>
      </c>
      <c r="C377" s="35" t="s">
        <v>497</v>
      </c>
      <c r="D377" s="48" t="s">
        <v>28</v>
      </c>
      <c r="E377" s="49"/>
      <c r="F377" s="47"/>
      <c r="G377" s="33" t="s">
        <v>5</v>
      </c>
      <c r="H377" s="33" t="s">
        <v>6</v>
      </c>
    </row>
    <row r="378" spans="1:8" ht="33">
      <c r="A378" s="33">
        <f>COUNTA($D$4:D378)</f>
        <v>320</v>
      </c>
      <c r="B378" s="35" t="str">
        <f>"Thiết lập quy tắc biến đổi " &amp;C378</f>
        <v>Thiết lập quy tắc biến đổi Chương trình, kế hoạch về phổ biến, giáo dục pháp luật</v>
      </c>
      <c r="C378" s="35" t="s">
        <v>497</v>
      </c>
      <c r="D378" s="48" t="s">
        <v>28</v>
      </c>
      <c r="E378" s="49"/>
      <c r="F378" s="47"/>
      <c r="G378" s="33" t="s">
        <v>5</v>
      </c>
      <c r="H378" s="33" t="s">
        <v>6</v>
      </c>
    </row>
    <row r="379" spans="1:8" ht="33">
      <c r="A379" s="33">
        <f>COUNTA($D$4:D379)</f>
        <v>321</v>
      </c>
      <c r="B379" s="35" t="str">
        <f t="shared" ref="B379" si="58">"Thiết lập quy tắc làm sạch " &amp;C379</f>
        <v>Thiết lập quy tắc làm sạch Hội đồng phối hợp phổ biến, giáo dục pháp luật</v>
      </c>
      <c r="C379" s="35" t="s">
        <v>498</v>
      </c>
      <c r="D379" s="48" t="s">
        <v>28</v>
      </c>
      <c r="E379" s="49"/>
      <c r="F379" s="47"/>
      <c r="G379" s="33" t="s">
        <v>5</v>
      </c>
      <c r="H379" s="33" t="s">
        <v>7</v>
      </c>
    </row>
    <row r="380" spans="1:8" ht="33">
      <c r="A380" s="33">
        <f>COUNTA($D$4:D380)</f>
        <v>322</v>
      </c>
      <c r="B380" s="35" t="str">
        <f>"Thiết lập quy tắc chuẩn hóa " &amp;C380</f>
        <v>Thiết lập quy tắc chuẩn hóa Hội đồng phối hợp phổ biến, giáo dục pháp luật</v>
      </c>
      <c r="C380" s="35" t="s">
        <v>498</v>
      </c>
      <c r="D380" s="48" t="s">
        <v>28</v>
      </c>
      <c r="E380" s="49"/>
      <c r="F380" s="47"/>
      <c r="G380" s="33" t="s">
        <v>5</v>
      </c>
      <c r="H380" s="33" t="s">
        <v>6</v>
      </c>
    </row>
    <row r="381" spans="1:8" ht="33">
      <c r="A381" s="33">
        <f>COUNTA($D$4:D381)</f>
        <v>323</v>
      </c>
      <c r="B381" s="35" t="str">
        <f>"Thiết lập quy tắc biến đổi " &amp;C381</f>
        <v>Thiết lập quy tắc biến đổi Hội đồng phối hợp phổ biến, giáo dục pháp luật</v>
      </c>
      <c r="C381" s="35" t="s">
        <v>498</v>
      </c>
      <c r="D381" s="48" t="s">
        <v>28</v>
      </c>
      <c r="E381" s="49"/>
      <c r="F381" s="47"/>
      <c r="G381" s="33" t="s">
        <v>5</v>
      </c>
      <c r="H381" s="33" t="s">
        <v>6</v>
      </c>
    </row>
    <row r="382" spans="1:8" ht="16.5">
      <c r="A382" s="33">
        <f>COUNTA($D$4:D382)</f>
        <v>324</v>
      </c>
      <c r="B382" s="35" t="str">
        <f t="shared" ref="B382" si="59">"Thiết lập quy tắc làm sạch " &amp;C382</f>
        <v>Thiết lập quy tắc làm sạch Đề án</v>
      </c>
      <c r="C382" s="35" t="s">
        <v>499</v>
      </c>
      <c r="D382" s="48" t="s">
        <v>28</v>
      </c>
      <c r="E382" s="49"/>
      <c r="F382" s="47"/>
      <c r="G382" s="33" t="s">
        <v>5</v>
      </c>
      <c r="H382" s="33" t="s">
        <v>7</v>
      </c>
    </row>
    <row r="383" spans="1:8" ht="16.5">
      <c r="A383" s="33">
        <f>COUNTA($D$4:D383)</f>
        <v>325</v>
      </c>
      <c r="B383" s="35" t="str">
        <f>"Thiết lập quy tắc chuẩn hóa " &amp;C383</f>
        <v>Thiết lập quy tắc chuẩn hóa Đề án</v>
      </c>
      <c r="C383" s="35" t="s">
        <v>499</v>
      </c>
      <c r="D383" s="48" t="s">
        <v>28</v>
      </c>
      <c r="E383" s="49"/>
      <c r="F383" s="47"/>
      <c r="G383" s="33" t="s">
        <v>5</v>
      </c>
      <c r="H383" s="33" t="s">
        <v>6</v>
      </c>
    </row>
    <row r="384" spans="1:8" ht="16.5">
      <c r="A384" s="33">
        <f>COUNTA($D$4:D384)</f>
        <v>326</v>
      </c>
      <c r="B384" s="35" t="str">
        <f>"Thiết lập quy tắc biến đổi " &amp;C384</f>
        <v>Thiết lập quy tắc biến đổi Đề án</v>
      </c>
      <c r="C384" s="35" t="s">
        <v>499</v>
      </c>
      <c r="D384" s="48" t="s">
        <v>28</v>
      </c>
      <c r="E384" s="49"/>
      <c r="F384" s="47"/>
      <c r="G384" s="33" t="s">
        <v>5</v>
      </c>
      <c r="H384" s="33" t="s">
        <v>6</v>
      </c>
    </row>
    <row r="385" spans="1:8" ht="33">
      <c r="A385" s="33">
        <f>COUNTA($D$4:D385)</f>
        <v>327</v>
      </c>
      <c r="B385" s="35" t="str">
        <f t="shared" ref="B385" si="60">"Thiết lập quy tắc làm sạch " &amp;C385</f>
        <v>Thiết lập quy tắc làm sạch Hội nghị tập huấn (trực tuyến, trực tiếp)</v>
      </c>
      <c r="C385" s="35" t="s">
        <v>500</v>
      </c>
      <c r="D385" s="48" t="s">
        <v>28</v>
      </c>
      <c r="E385" s="49"/>
      <c r="F385" s="47"/>
      <c r="G385" s="33" t="s">
        <v>5</v>
      </c>
      <c r="H385" s="33" t="s">
        <v>7</v>
      </c>
    </row>
    <row r="386" spans="1:8" ht="33">
      <c r="A386" s="33">
        <f>COUNTA($D$4:D386)</f>
        <v>328</v>
      </c>
      <c r="B386" s="35" t="str">
        <f>"Thiết lập quy tắc chuẩn hóa " &amp;C386</f>
        <v>Thiết lập quy tắc chuẩn hóa Hội nghị tập huấn (trực tuyến, trực tiếp)</v>
      </c>
      <c r="C386" s="35" t="s">
        <v>500</v>
      </c>
      <c r="D386" s="48" t="s">
        <v>28</v>
      </c>
      <c r="E386" s="49"/>
      <c r="F386" s="47"/>
      <c r="G386" s="33" t="s">
        <v>5</v>
      </c>
      <c r="H386" s="33" t="s">
        <v>6</v>
      </c>
    </row>
    <row r="387" spans="1:8" ht="33">
      <c r="A387" s="33">
        <f>COUNTA($D$4:D387)</f>
        <v>329</v>
      </c>
      <c r="B387" s="35" t="str">
        <f>"Thiết lập quy tắc biến đổi " &amp;C387</f>
        <v>Thiết lập quy tắc biến đổi Hội nghị tập huấn (trực tuyến, trực tiếp)</v>
      </c>
      <c r="C387" s="35" t="s">
        <v>500</v>
      </c>
      <c r="D387" s="48" t="s">
        <v>28</v>
      </c>
      <c r="E387" s="49"/>
      <c r="F387" s="47"/>
      <c r="G387" s="33" t="s">
        <v>5</v>
      </c>
      <c r="H387" s="33" t="s">
        <v>6</v>
      </c>
    </row>
    <row r="388" spans="1:8" ht="16.5">
      <c r="A388" s="33">
        <f>COUNTA($D$4:D388)</f>
        <v>330</v>
      </c>
      <c r="B388" s="35" t="str">
        <f t="shared" ref="B388" si="61">"Thiết lập quy tắc làm sạch " &amp;C388</f>
        <v>Thiết lập quy tắc làm sạch Hội thảo</v>
      </c>
      <c r="C388" s="35" t="s">
        <v>501</v>
      </c>
      <c r="D388" s="48" t="s">
        <v>28</v>
      </c>
      <c r="E388" s="49"/>
      <c r="F388" s="47"/>
      <c r="G388" s="33" t="s">
        <v>5</v>
      </c>
      <c r="H388" s="33" t="s">
        <v>7</v>
      </c>
    </row>
    <row r="389" spans="1:8" ht="16.5">
      <c r="A389" s="33">
        <f>COUNTA($D$4:D389)</f>
        <v>331</v>
      </c>
      <c r="B389" s="35" t="str">
        <f>"Thiết lập quy tắc chuẩn hóa " &amp;C389</f>
        <v>Thiết lập quy tắc chuẩn hóa Hội thảo</v>
      </c>
      <c r="C389" s="35" t="s">
        <v>501</v>
      </c>
      <c r="D389" s="48" t="s">
        <v>28</v>
      </c>
      <c r="E389" s="49"/>
      <c r="F389" s="47"/>
      <c r="G389" s="33" t="s">
        <v>5</v>
      </c>
      <c r="H389" s="33" t="s">
        <v>6</v>
      </c>
    </row>
    <row r="390" spans="1:8" ht="16.5">
      <c r="A390" s="33">
        <f>COUNTA($D$4:D390)</f>
        <v>332</v>
      </c>
      <c r="B390" s="35" t="str">
        <f>"Thiết lập quy tắc biến đổi " &amp;C390</f>
        <v>Thiết lập quy tắc biến đổi Hội thảo</v>
      </c>
      <c r="C390" s="35" t="s">
        <v>501</v>
      </c>
      <c r="D390" s="48" t="s">
        <v>28</v>
      </c>
      <c r="E390" s="49"/>
      <c r="F390" s="47"/>
      <c r="G390" s="33" t="s">
        <v>5</v>
      </c>
      <c r="H390" s="33" t="s">
        <v>6</v>
      </c>
    </row>
    <row r="391" spans="1:8" ht="16.5">
      <c r="A391" s="33">
        <f>COUNTA($D$4:D391)</f>
        <v>333</v>
      </c>
      <c r="B391" s="35" t="str">
        <f t="shared" ref="B391" si="62">"Thiết lập quy tắc làm sạch " &amp;C391</f>
        <v>Thiết lập quy tắc làm sạch Tổ hoà giải</v>
      </c>
      <c r="C391" s="35" t="s">
        <v>502</v>
      </c>
      <c r="D391" s="48" t="s">
        <v>28</v>
      </c>
      <c r="E391" s="49"/>
      <c r="F391" s="47"/>
      <c r="G391" s="33" t="s">
        <v>5</v>
      </c>
      <c r="H391" s="33" t="s">
        <v>7</v>
      </c>
    </row>
    <row r="392" spans="1:8" ht="16.5">
      <c r="A392" s="33">
        <f>COUNTA($D$4:D392)</f>
        <v>334</v>
      </c>
      <c r="B392" s="35" t="str">
        <f>"Thiết lập quy tắc chuẩn hóa " &amp;C392</f>
        <v>Thiết lập quy tắc chuẩn hóa Tổ hoà giải</v>
      </c>
      <c r="C392" s="35" t="s">
        <v>502</v>
      </c>
      <c r="D392" s="48" t="s">
        <v>28</v>
      </c>
      <c r="E392" s="49"/>
      <c r="F392" s="47"/>
      <c r="G392" s="33" t="s">
        <v>5</v>
      </c>
      <c r="H392" s="33" t="s">
        <v>6</v>
      </c>
    </row>
    <row r="393" spans="1:8" ht="16.5">
      <c r="A393" s="33">
        <f>COUNTA($D$4:D393)</f>
        <v>335</v>
      </c>
      <c r="B393" s="35" t="str">
        <f>"Thiết lập quy tắc biến đổi " &amp;C393</f>
        <v>Thiết lập quy tắc biến đổi Tổ hoà giải</v>
      </c>
      <c r="C393" s="35" t="s">
        <v>502</v>
      </c>
      <c r="D393" s="48" t="s">
        <v>28</v>
      </c>
      <c r="E393" s="49"/>
      <c r="F393" s="47"/>
      <c r="G393" s="33" t="s">
        <v>5</v>
      </c>
      <c r="H393" s="33" t="s">
        <v>6</v>
      </c>
    </row>
    <row r="394" spans="1:8" ht="16.5">
      <c r="A394" s="33">
        <f>COUNTA($D$4:D394)</f>
        <v>336</v>
      </c>
      <c r="B394" s="35" t="str">
        <f t="shared" ref="B394" si="63">"Thiết lập quy tắc làm sạch " &amp;C394</f>
        <v>Thiết lập quy tắc làm sạch Hoà giải viên</v>
      </c>
      <c r="C394" s="35" t="s">
        <v>503</v>
      </c>
      <c r="D394" s="48" t="s">
        <v>28</v>
      </c>
      <c r="E394" s="49"/>
      <c r="F394" s="47"/>
      <c r="G394" s="33" t="s">
        <v>5</v>
      </c>
      <c r="H394" s="33" t="s">
        <v>7</v>
      </c>
    </row>
    <row r="395" spans="1:8" ht="16.5">
      <c r="A395" s="33">
        <f>COUNTA($D$4:D395)</f>
        <v>337</v>
      </c>
      <c r="B395" s="35" t="str">
        <f>"Thiết lập quy tắc chuẩn hóa " &amp;C395</f>
        <v>Thiết lập quy tắc chuẩn hóa Hoà giải viên</v>
      </c>
      <c r="C395" s="35" t="s">
        <v>503</v>
      </c>
      <c r="D395" s="48" t="s">
        <v>28</v>
      </c>
      <c r="E395" s="49"/>
      <c r="F395" s="47"/>
      <c r="G395" s="33" t="s">
        <v>5</v>
      </c>
      <c r="H395" s="33" t="s">
        <v>6</v>
      </c>
    </row>
    <row r="396" spans="1:8" ht="16.5">
      <c r="A396" s="33">
        <f>COUNTA($D$4:D396)</f>
        <v>338</v>
      </c>
      <c r="B396" s="35" t="str">
        <f>"Thiết lập quy tắc biến đổi " &amp;C396</f>
        <v>Thiết lập quy tắc biến đổi Hoà giải viên</v>
      </c>
      <c r="C396" s="35" t="s">
        <v>503</v>
      </c>
      <c r="D396" s="48" t="s">
        <v>28</v>
      </c>
      <c r="E396" s="49"/>
      <c r="F396" s="47"/>
      <c r="G396" s="33" t="s">
        <v>5</v>
      </c>
      <c r="H396" s="33" t="s">
        <v>6</v>
      </c>
    </row>
    <row r="397" spans="1:8" ht="16.5">
      <c r="A397" s="33">
        <f>COUNTA($D$4:D397)</f>
        <v>339</v>
      </c>
      <c r="B397" s="35" t="str">
        <f t="shared" ref="B397" si="64">"Thiết lập quy tắc làm sạch " &amp;C397</f>
        <v>Thiết lập quy tắc làm sạch Vụ việc hoà giải</v>
      </c>
      <c r="C397" s="35" t="s">
        <v>504</v>
      </c>
      <c r="D397" s="48" t="s">
        <v>28</v>
      </c>
      <c r="E397" s="49"/>
      <c r="F397" s="47"/>
      <c r="G397" s="33" t="s">
        <v>5</v>
      </c>
      <c r="H397" s="33" t="s">
        <v>7</v>
      </c>
    </row>
    <row r="398" spans="1:8" ht="16.5">
      <c r="A398" s="33">
        <f>COUNTA($D$4:D398)</f>
        <v>340</v>
      </c>
      <c r="B398" s="35" t="str">
        <f>"Thiết lập quy tắc chuẩn hóa " &amp;C398</f>
        <v>Thiết lập quy tắc chuẩn hóa Vụ việc hoà giải</v>
      </c>
      <c r="C398" s="35" t="s">
        <v>504</v>
      </c>
      <c r="D398" s="48" t="s">
        <v>28</v>
      </c>
      <c r="E398" s="49"/>
      <c r="F398" s="47"/>
      <c r="G398" s="33" t="s">
        <v>5</v>
      </c>
      <c r="H398" s="33" t="s">
        <v>6</v>
      </c>
    </row>
    <row r="399" spans="1:8" ht="16.5">
      <c r="A399" s="33">
        <f>COUNTA($D$4:D399)</f>
        <v>341</v>
      </c>
      <c r="B399" s="35" t="str">
        <f>"Thiết lập quy tắc biến đổi " &amp;C399</f>
        <v>Thiết lập quy tắc biến đổi Vụ việc hoà giải</v>
      </c>
      <c r="C399" s="35" t="s">
        <v>504</v>
      </c>
      <c r="D399" s="48" t="s">
        <v>28</v>
      </c>
      <c r="E399" s="49"/>
      <c r="F399" s="47"/>
      <c r="G399" s="33" t="s">
        <v>5</v>
      </c>
      <c r="H399" s="33" t="s">
        <v>6</v>
      </c>
    </row>
    <row r="400" spans="1:8" ht="16.5">
      <c r="A400" s="33">
        <f>COUNTA($D$4:D400)</f>
        <v>342</v>
      </c>
      <c r="B400" s="35" t="str">
        <f t="shared" ref="B400" si="65">"Thiết lập quy tắc làm sạch " &amp;C400</f>
        <v>Thiết lập quy tắc làm sạch Tập huấn viên</v>
      </c>
      <c r="C400" s="35" t="s">
        <v>505</v>
      </c>
      <c r="D400" s="48" t="s">
        <v>28</v>
      </c>
      <c r="E400" s="49"/>
      <c r="F400" s="47"/>
      <c r="G400" s="33" t="s">
        <v>5</v>
      </c>
      <c r="H400" s="33" t="s">
        <v>7</v>
      </c>
    </row>
    <row r="401" spans="1:8" ht="16.5">
      <c r="A401" s="33">
        <f>COUNTA($D$4:D401)</f>
        <v>343</v>
      </c>
      <c r="B401" s="35" t="str">
        <f>"Thiết lập quy tắc chuẩn hóa " &amp;C401</f>
        <v>Thiết lập quy tắc chuẩn hóa Tập huấn viên</v>
      </c>
      <c r="C401" s="35" t="s">
        <v>505</v>
      </c>
      <c r="D401" s="48" t="s">
        <v>28</v>
      </c>
      <c r="E401" s="49"/>
      <c r="F401" s="47"/>
      <c r="G401" s="33" t="s">
        <v>5</v>
      </c>
      <c r="H401" s="33" t="s">
        <v>6</v>
      </c>
    </row>
    <row r="402" spans="1:8" ht="16.5">
      <c r="A402" s="33">
        <f>COUNTA($D$4:D402)</f>
        <v>344</v>
      </c>
      <c r="B402" s="35" t="str">
        <f>"Thiết lập quy tắc biến đổi " &amp;C402</f>
        <v>Thiết lập quy tắc biến đổi Tập huấn viên</v>
      </c>
      <c r="C402" s="35" t="s">
        <v>505</v>
      </c>
      <c r="D402" s="48" t="s">
        <v>28</v>
      </c>
      <c r="E402" s="49"/>
      <c r="F402" s="47"/>
      <c r="G402" s="33" t="s">
        <v>5</v>
      </c>
      <c r="H402" s="33" t="s">
        <v>6</v>
      </c>
    </row>
    <row r="403" spans="1:8" ht="33">
      <c r="A403" s="33">
        <f>COUNTA($D$4:D403)</f>
        <v>345</v>
      </c>
      <c r="B403" s="35" t="str">
        <f t="shared" ref="B403" si="66">"Thiết lập quy tắc làm sạch " &amp;C403</f>
        <v>Thiết lập quy tắc làm sạch Kinh phí phổ biến giáo dục pháp luật</v>
      </c>
      <c r="C403" s="35" t="s">
        <v>506</v>
      </c>
      <c r="D403" s="48" t="s">
        <v>28</v>
      </c>
      <c r="E403" s="49"/>
      <c r="F403" s="47"/>
      <c r="G403" s="33" t="s">
        <v>5</v>
      </c>
      <c r="H403" s="33" t="s">
        <v>7</v>
      </c>
    </row>
    <row r="404" spans="1:8" ht="33">
      <c r="A404" s="33">
        <f>COUNTA($D$4:D404)</f>
        <v>346</v>
      </c>
      <c r="B404" s="35" t="str">
        <f>"Thiết lập quy tắc chuẩn hóa " &amp;C404</f>
        <v>Thiết lập quy tắc chuẩn hóa Kinh phí phổ biến giáo dục pháp luật</v>
      </c>
      <c r="C404" s="35" t="s">
        <v>506</v>
      </c>
      <c r="D404" s="48" t="s">
        <v>28</v>
      </c>
      <c r="E404" s="49"/>
      <c r="F404" s="47"/>
      <c r="G404" s="33" t="s">
        <v>5</v>
      </c>
      <c r="H404" s="33" t="s">
        <v>6</v>
      </c>
    </row>
    <row r="405" spans="1:8" ht="33">
      <c r="A405" s="33">
        <f>COUNTA($D$4:D405)</f>
        <v>347</v>
      </c>
      <c r="B405" s="35" t="str">
        <f>"Thiết lập quy tắc biến đổi " &amp;C405</f>
        <v>Thiết lập quy tắc biến đổi Kinh phí phổ biến giáo dục pháp luật</v>
      </c>
      <c r="C405" s="35" t="s">
        <v>506</v>
      </c>
      <c r="D405" s="48" t="s">
        <v>28</v>
      </c>
      <c r="E405" s="49"/>
      <c r="F405" s="47"/>
      <c r="G405" s="33" t="s">
        <v>5</v>
      </c>
      <c r="H405" s="33" t="s">
        <v>6</v>
      </c>
    </row>
    <row r="406" spans="1:8" ht="33">
      <c r="A406" s="33">
        <f>COUNTA($D$4:D406)</f>
        <v>348</v>
      </c>
      <c r="B406" s="35" t="str">
        <f t="shared" ref="B406" si="67">"Thiết lập quy tắc làm sạch " &amp;C406</f>
        <v>Thiết lập quy tắc làm sạch Tiêu chí, chỉ tiêu tiếp cận pháp luật</v>
      </c>
      <c r="C406" s="35" t="s">
        <v>507</v>
      </c>
      <c r="D406" s="48" t="s">
        <v>28</v>
      </c>
      <c r="E406" s="49"/>
      <c r="F406" s="47"/>
      <c r="G406" s="33" t="s">
        <v>5</v>
      </c>
      <c r="H406" s="33" t="s">
        <v>7</v>
      </c>
    </row>
    <row r="407" spans="1:8" ht="33">
      <c r="A407" s="33">
        <f>COUNTA($D$4:D407)</f>
        <v>349</v>
      </c>
      <c r="B407" s="35" t="str">
        <f>"Thiết lập quy tắc chuẩn hóa " &amp;C407</f>
        <v>Thiết lập quy tắc chuẩn hóa Tiêu chí, chỉ tiêu tiếp cận pháp luật</v>
      </c>
      <c r="C407" s="35" t="s">
        <v>507</v>
      </c>
      <c r="D407" s="48" t="s">
        <v>28</v>
      </c>
      <c r="E407" s="49"/>
      <c r="F407" s="47"/>
      <c r="G407" s="33" t="s">
        <v>5</v>
      </c>
      <c r="H407" s="33" t="s">
        <v>6</v>
      </c>
    </row>
    <row r="408" spans="1:8" ht="33">
      <c r="A408" s="33">
        <f>COUNTA($D$4:D408)</f>
        <v>350</v>
      </c>
      <c r="B408" s="35" t="str">
        <f>"Thiết lập quy tắc biến đổi " &amp;C408</f>
        <v>Thiết lập quy tắc biến đổi Tiêu chí, chỉ tiêu tiếp cận pháp luật</v>
      </c>
      <c r="C408" s="35" t="s">
        <v>507</v>
      </c>
      <c r="D408" s="48" t="s">
        <v>28</v>
      </c>
      <c r="E408" s="49"/>
      <c r="F408" s="47"/>
      <c r="G408" s="33" t="s">
        <v>5</v>
      </c>
      <c r="H408" s="33" t="s">
        <v>6</v>
      </c>
    </row>
    <row r="409" spans="1:8" ht="33">
      <c r="A409" s="33">
        <f>COUNTA($D$4:D409)</f>
        <v>351</v>
      </c>
      <c r="B409" s="35" t="str">
        <f t="shared" ref="B409" si="68">"Thiết lập quy tắc làm sạch " &amp;C409</f>
        <v>Thiết lập quy tắc làm sạch Đánh giá cấp xã đạt chuẩn tiếp cận pháp luật</v>
      </c>
      <c r="C409" s="35" t="s">
        <v>508</v>
      </c>
      <c r="D409" s="48" t="s">
        <v>28</v>
      </c>
      <c r="E409" s="49"/>
      <c r="F409" s="47"/>
      <c r="G409" s="33" t="s">
        <v>5</v>
      </c>
      <c r="H409" s="33" t="s">
        <v>7</v>
      </c>
    </row>
    <row r="410" spans="1:8" ht="33">
      <c r="A410" s="33">
        <f>COUNTA($D$4:D410)</f>
        <v>352</v>
      </c>
      <c r="B410" s="35" t="str">
        <f>"Thiết lập quy tắc chuẩn hóa " &amp;C410</f>
        <v>Thiết lập quy tắc chuẩn hóa Đánh giá cấp xã đạt chuẩn tiếp cận pháp luật</v>
      </c>
      <c r="C410" s="35" t="s">
        <v>508</v>
      </c>
      <c r="D410" s="48" t="s">
        <v>28</v>
      </c>
      <c r="E410" s="49"/>
      <c r="F410" s="47"/>
      <c r="G410" s="33" t="s">
        <v>5</v>
      </c>
      <c r="H410" s="33" t="s">
        <v>6</v>
      </c>
    </row>
    <row r="411" spans="1:8" ht="33">
      <c r="A411" s="33">
        <f>COUNTA($D$4:D411)</f>
        <v>353</v>
      </c>
      <c r="B411" s="35" t="str">
        <f>"Thiết lập quy tắc biến đổi " &amp;C411</f>
        <v>Thiết lập quy tắc biến đổi Đánh giá cấp xã đạt chuẩn tiếp cận pháp luật</v>
      </c>
      <c r="C411" s="35" t="s">
        <v>508</v>
      </c>
      <c r="D411" s="48" t="s">
        <v>28</v>
      </c>
      <c r="E411" s="49"/>
      <c r="F411" s="47"/>
      <c r="G411" s="33" t="s">
        <v>5</v>
      </c>
      <c r="H411" s="33" t="s">
        <v>6</v>
      </c>
    </row>
    <row r="412" spans="1:8" ht="16.5">
      <c r="A412" s="33">
        <f>COUNTA($D$4:D412)</f>
        <v>354</v>
      </c>
      <c r="B412" s="35" t="str">
        <f t="shared" ref="B412" si="69">"Thiết lập quy tắc làm sạch " &amp;C412</f>
        <v>Thiết lập quy tắc làm sạch Cuộc PBGDPL</v>
      </c>
      <c r="C412" s="35" t="s">
        <v>509</v>
      </c>
      <c r="D412" s="48" t="s">
        <v>28</v>
      </c>
      <c r="E412" s="49"/>
      <c r="F412" s="47"/>
      <c r="G412" s="33" t="s">
        <v>5</v>
      </c>
      <c r="H412" s="33" t="s">
        <v>7</v>
      </c>
    </row>
    <row r="413" spans="1:8" ht="16.5">
      <c r="A413" s="33">
        <f>COUNTA($D$4:D413)</f>
        <v>355</v>
      </c>
      <c r="B413" s="35" t="str">
        <f>"Thiết lập quy tắc chuẩn hóa " &amp;C413</f>
        <v>Thiết lập quy tắc chuẩn hóa Cuộc PBGDPL</v>
      </c>
      <c r="C413" s="35" t="s">
        <v>509</v>
      </c>
      <c r="D413" s="48" t="s">
        <v>28</v>
      </c>
      <c r="E413" s="49"/>
      <c r="F413" s="47"/>
      <c r="G413" s="33" t="s">
        <v>5</v>
      </c>
      <c r="H413" s="33" t="s">
        <v>6</v>
      </c>
    </row>
    <row r="414" spans="1:8" ht="16.5">
      <c r="A414" s="33">
        <f>COUNTA($D$4:D414)</f>
        <v>356</v>
      </c>
      <c r="B414" s="35" t="str">
        <f>"Thiết lập quy tắc biến đổi " &amp;C414</f>
        <v>Thiết lập quy tắc biến đổi Cuộc PBGDPL</v>
      </c>
      <c r="C414" s="35" t="s">
        <v>509</v>
      </c>
      <c r="D414" s="48" t="s">
        <v>28</v>
      </c>
      <c r="E414" s="49"/>
      <c r="F414" s="47"/>
      <c r="G414" s="33" t="s">
        <v>5</v>
      </c>
      <c r="H414" s="33" t="s">
        <v>6</v>
      </c>
    </row>
    <row r="415" spans="1:8" ht="16.5">
      <c r="A415" s="33">
        <f>COUNTA($D$4:D415)</f>
        <v>357</v>
      </c>
      <c r="B415" s="35" t="str">
        <f t="shared" ref="B415" si="70">"Thiết lập quy tắc làm sạch " &amp;C415</f>
        <v>Thiết lập quy tắc làm sạch Cuộc thi tìm hiểu về pháp luật</v>
      </c>
      <c r="C415" s="50" t="s">
        <v>510</v>
      </c>
      <c r="D415" s="48" t="s">
        <v>28</v>
      </c>
      <c r="E415" s="49"/>
      <c r="F415" s="47"/>
      <c r="G415" s="33" t="s">
        <v>5</v>
      </c>
      <c r="H415" s="33" t="s">
        <v>7</v>
      </c>
    </row>
    <row r="416" spans="1:8" ht="16.5">
      <c r="A416" s="33">
        <f>COUNTA($D$4:D416)</f>
        <v>358</v>
      </c>
      <c r="B416" s="35" t="str">
        <f>"Thiết lập quy tắc chuẩn hóa " &amp;C416</f>
        <v>Thiết lập quy tắc chuẩn hóa Cuộc thi tìm hiểu về pháp luật</v>
      </c>
      <c r="C416" s="50" t="s">
        <v>510</v>
      </c>
      <c r="D416" s="48" t="s">
        <v>28</v>
      </c>
      <c r="E416" s="49"/>
      <c r="F416" s="47"/>
      <c r="G416" s="33" t="s">
        <v>5</v>
      </c>
      <c r="H416" s="33" t="s">
        <v>6</v>
      </c>
    </row>
    <row r="417" spans="1:8" ht="16.5">
      <c r="A417" s="33">
        <f>COUNTA($D$4:D417)</f>
        <v>359</v>
      </c>
      <c r="B417" s="35" t="str">
        <f>"Thiết lập quy tắc biến đổi " &amp;C417</f>
        <v>Thiết lập quy tắc biến đổi Cuộc thi tìm hiểu về pháp luật</v>
      </c>
      <c r="C417" s="50" t="s">
        <v>510</v>
      </c>
      <c r="D417" s="48" t="s">
        <v>28</v>
      </c>
      <c r="E417" s="49"/>
      <c r="F417" s="47"/>
      <c r="G417" s="33" t="s">
        <v>5</v>
      </c>
      <c r="H417" s="33" t="s">
        <v>6</v>
      </c>
    </row>
    <row r="418" spans="1:8" ht="16.5">
      <c r="A418" s="38" t="s">
        <v>179</v>
      </c>
      <c r="B418" s="43" t="s">
        <v>125</v>
      </c>
      <c r="C418" s="43"/>
      <c r="D418" s="31"/>
      <c r="E418" s="32"/>
      <c r="F418" s="32"/>
      <c r="G418" s="33"/>
      <c r="H418" s="33"/>
    </row>
    <row r="419" spans="1:8" ht="16.5">
      <c r="A419" s="38" t="s">
        <v>180</v>
      </c>
      <c r="B419" s="39" t="s">
        <v>127</v>
      </c>
      <c r="C419" s="39"/>
      <c r="D419" s="31"/>
      <c r="E419" s="32"/>
      <c r="F419" s="32"/>
      <c r="G419" s="33"/>
      <c r="H419" s="33"/>
    </row>
    <row r="420" spans="1:8" ht="16.5">
      <c r="A420" s="33">
        <f>COUNTA($D$4:D420)</f>
        <v>360</v>
      </c>
      <c r="B420" s="35" t="str">
        <f t="shared" ref="B420" si="71">"Thiết lập quy tắc làm sạch " &amp;C420</f>
        <v>Thiết lập quy tắc làm sạch Đấu giá viên</v>
      </c>
      <c r="C420" s="35" t="s">
        <v>128</v>
      </c>
      <c r="D420" s="31" t="s">
        <v>28</v>
      </c>
      <c r="E420" s="32"/>
      <c r="F420" s="35"/>
      <c r="G420" s="33" t="s">
        <v>5</v>
      </c>
      <c r="H420" s="33" t="s">
        <v>7</v>
      </c>
    </row>
    <row r="421" spans="1:8" ht="16.5">
      <c r="A421" s="33">
        <f>COUNTA($D$4:D421)</f>
        <v>361</v>
      </c>
      <c r="B421" s="35" t="str">
        <f>"Thiết lập quy tắc chuẩn hóa " &amp;C421</f>
        <v>Thiết lập quy tắc chuẩn hóa Đấu giá viên</v>
      </c>
      <c r="C421" s="35" t="s">
        <v>128</v>
      </c>
      <c r="D421" s="31" t="s">
        <v>28</v>
      </c>
      <c r="E421" s="32"/>
      <c r="F421" s="35"/>
      <c r="G421" s="33" t="s">
        <v>5</v>
      </c>
      <c r="H421" s="33" t="s">
        <v>6</v>
      </c>
    </row>
    <row r="422" spans="1:8" ht="16.5">
      <c r="A422" s="33">
        <f>COUNTA($D$4:D422)</f>
        <v>362</v>
      </c>
      <c r="B422" s="35" t="str">
        <f>"Thiết lập quy tắc biến đổi " &amp;C422</f>
        <v>Thiết lập quy tắc biến đổi Đấu giá viên</v>
      </c>
      <c r="C422" s="35" t="s">
        <v>128</v>
      </c>
      <c r="D422" s="31" t="s">
        <v>28</v>
      </c>
      <c r="E422" s="32"/>
      <c r="F422" s="35"/>
      <c r="G422" s="33" t="s">
        <v>5</v>
      </c>
      <c r="H422" s="33" t="s">
        <v>6</v>
      </c>
    </row>
    <row r="423" spans="1:8" ht="16.5">
      <c r="A423" s="33">
        <f>COUNTA($D$4:D423)</f>
        <v>363</v>
      </c>
      <c r="B423" s="35" t="str">
        <f t="shared" ref="B423" si="72">"Thiết lập quy tắc làm sạch " &amp;C423</f>
        <v>Thiết lập quy tắc làm sạch Tổ chức hành nghề đấu giá</v>
      </c>
      <c r="C423" s="35" t="s">
        <v>130</v>
      </c>
      <c r="D423" s="31" t="s">
        <v>28</v>
      </c>
      <c r="E423" s="32"/>
      <c r="F423" s="35"/>
      <c r="G423" s="33" t="s">
        <v>5</v>
      </c>
      <c r="H423" s="33" t="s">
        <v>7</v>
      </c>
    </row>
    <row r="424" spans="1:8" ht="16.5">
      <c r="A424" s="33">
        <f>COUNTA($D$4:D424)</f>
        <v>364</v>
      </c>
      <c r="B424" s="35" t="str">
        <f>"Thiết lập quy tắc chuẩn hóa " &amp;C424</f>
        <v>Thiết lập quy tắc chuẩn hóa Tổ chức hành nghề đấu giá</v>
      </c>
      <c r="C424" s="35" t="s">
        <v>130</v>
      </c>
      <c r="D424" s="31" t="s">
        <v>28</v>
      </c>
      <c r="E424" s="32"/>
      <c r="F424" s="35"/>
      <c r="G424" s="33" t="s">
        <v>5</v>
      </c>
      <c r="H424" s="33" t="s">
        <v>6</v>
      </c>
    </row>
    <row r="425" spans="1:8" ht="16.5">
      <c r="A425" s="33">
        <f>COUNTA($D$4:D425)</f>
        <v>365</v>
      </c>
      <c r="B425" s="35" t="str">
        <f>"Thiết lập quy tắc biến đổi " &amp;C425</f>
        <v>Thiết lập quy tắc biến đổi Tổ chức hành nghề đấu giá</v>
      </c>
      <c r="C425" s="35" t="s">
        <v>130</v>
      </c>
      <c r="D425" s="31" t="s">
        <v>28</v>
      </c>
      <c r="E425" s="32"/>
      <c r="F425" s="35"/>
      <c r="G425" s="33" t="s">
        <v>5</v>
      </c>
      <c r="H425" s="33" t="s">
        <v>6</v>
      </c>
    </row>
    <row r="426" spans="1:8" ht="16.5">
      <c r="A426" s="33">
        <f>COUNTA($D$4:D426)</f>
        <v>366</v>
      </c>
      <c r="B426" s="35" t="str">
        <f t="shared" ref="B426" si="73">"Thiết lập quy tắc làm sạch " &amp;C426</f>
        <v>Thiết lập quy tắc làm sạch Người có tài sản đấu giá</v>
      </c>
      <c r="C426" s="63" t="s">
        <v>562</v>
      </c>
      <c r="D426" s="31" t="s">
        <v>28</v>
      </c>
      <c r="E426" s="32"/>
      <c r="F426" s="35"/>
      <c r="G426" s="33" t="s">
        <v>5</v>
      </c>
      <c r="H426" s="33" t="s">
        <v>7</v>
      </c>
    </row>
    <row r="427" spans="1:8" ht="16.5">
      <c r="A427" s="33">
        <f>COUNTA($D$4:D427)</f>
        <v>367</v>
      </c>
      <c r="B427" s="35" t="str">
        <f>"Thiết lập quy tắc chuẩn hóa " &amp;C427</f>
        <v>Thiết lập quy tắc chuẩn hóa Người có tài sản đấu giá</v>
      </c>
      <c r="C427" s="63" t="s">
        <v>562</v>
      </c>
      <c r="D427" s="31" t="s">
        <v>28</v>
      </c>
      <c r="E427" s="32"/>
      <c r="F427" s="35"/>
      <c r="G427" s="33" t="s">
        <v>5</v>
      </c>
      <c r="H427" s="33" t="s">
        <v>6</v>
      </c>
    </row>
    <row r="428" spans="1:8" ht="16.5">
      <c r="A428" s="33">
        <f>COUNTA($D$4:D428)</f>
        <v>368</v>
      </c>
      <c r="B428" s="35" t="str">
        <f>"Thiết lập quy tắc biến đổi " &amp;C428</f>
        <v>Thiết lập quy tắc biến đổi Người có tài sản đấu giá</v>
      </c>
      <c r="C428" s="63" t="s">
        <v>562</v>
      </c>
      <c r="D428" s="31" t="s">
        <v>28</v>
      </c>
      <c r="E428" s="32"/>
      <c r="F428" s="35"/>
      <c r="G428" s="33" t="s">
        <v>5</v>
      </c>
      <c r="H428" s="33" t="s">
        <v>6</v>
      </c>
    </row>
    <row r="429" spans="1:8" ht="16.5">
      <c r="A429" s="33">
        <f>COUNTA($D$4:D429)</f>
        <v>369</v>
      </c>
      <c r="B429" s="35" t="str">
        <f t="shared" ref="B429" si="74">"Thiết lập quy tắc làm sạch " &amp;C429</f>
        <v>Thiết lập quy tắc làm sạch Thông tin việc đấu giá</v>
      </c>
      <c r="C429" s="63" t="s">
        <v>563</v>
      </c>
      <c r="D429" s="31" t="s">
        <v>28</v>
      </c>
      <c r="E429" s="32"/>
      <c r="F429" s="35"/>
      <c r="G429" s="33" t="s">
        <v>5</v>
      </c>
      <c r="H429" s="33" t="s">
        <v>7</v>
      </c>
    </row>
    <row r="430" spans="1:8" ht="16.5">
      <c r="A430" s="33">
        <f>COUNTA($D$4:D430)</f>
        <v>370</v>
      </c>
      <c r="B430" s="35" t="str">
        <f>"Thiết lập quy tắc chuẩn hóa " &amp;C430</f>
        <v>Thiết lập quy tắc chuẩn hóa Thông tin việc đấu giá</v>
      </c>
      <c r="C430" s="63" t="s">
        <v>563</v>
      </c>
      <c r="D430" s="31" t="s">
        <v>28</v>
      </c>
      <c r="E430" s="32"/>
      <c r="F430" s="35"/>
      <c r="G430" s="33" t="s">
        <v>5</v>
      </c>
      <c r="H430" s="33" t="s">
        <v>6</v>
      </c>
    </row>
    <row r="431" spans="1:8" ht="16.5">
      <c r="A431" s="33">
        <f>COUNTA($D$4:D431)</f>
        <v>371</v>
      </c>
      <c r="B431" s="35" t="str">
        <f>"Thiết lập quy tắc biến đổi " &amp;C431</f>
        <v>Thiết lập quy tắc biến đổi Thông tin việc đấu giá</v>
      </c>
      <c r="C431" s="63" t="s">
        <v>563</v>
      </c>
      <c r="D431" s="31" t="s">
        <v>28</v>
      </c>
      <c r="E431" s="32"/>
      <c r="F431" s="35"/>
      <c r="G431" s="33" t="s">
        <v>5</v>
      </c>
      <c r="H431" s="33" t="s">
        <v>6</v>
      </c>
    </row>
    <row r="432" spans="1:8" ht="16.5">
      <c r="A432" s="33">
        <f>COUNTA($D$4:D432)</f>
        <v>372</v>
      </c>
      <c r="B432" s="35" t="str">
        <f t="shared" ref="B432" si="75">"Thiết lập quy tắc làm sạch " &amp;C432</f>
        <v>Thiết lập quy tắc làm sạch Tài sản đấu giá</v>
      </c>
      <c r="C432" s="63" t="s">
        <v>564</v>
      </c>
      <c r="D432" s="31" t="s">
        <v>28</v>
      </c>
      <c r="E432" s="32"/>
      <c r="F432" s="35"/>
      <c r="G432" s="33" t="s">
        <v>5</v>
      </c>
      <c r="H432" s="33" t="s">
        <v>7</v>
      </c>
    </row>
    <row r="433" spans="1:8" ht="16.5">
      <c r="A433" s="33">
        <f>COUNTA($D$4:D433)</f>
        <v>373</v>
      </c>
      <c r="B433" s="35" t="str">
        <f>"Thiết lập quy tắc chuẩn hóa " &amp;C433</f>
        <v>Thiết lập quy tắc chuẩn hóa Tài sản đấu giá</v>
      </c>
      <c r="C433" s="63" t="s">
        <v>564</v>
      </c>
      <c r="D433" s="31" t="s">
        <v>28</v>
      </c>
      <c r="E433" s="32"/>
      <c r="F433" s="35"/>
      <c r="G433" s="33" t="s">
        <v>5</v>
      </c>
      <c r="H433" s="33" t="s">
        <v>6</v>
      </c>
    </row>
    <row r="434" spans="1:8" ht="16.5">
      <c r="A434" s="33">
        <f>COUNTA($D$4:D434)</f>
        <v>374</v>
      </c>
      <c r="B434" s="35" t="str">
        <f>"Thiết lập quy tắc biến đổi " &amp;C434</f>
        <v>Thiết lập quy tắc biến đổi Tài sản đấu giá</v>
      </c>
      <c r="C434" s="63" t="s">
        <v>564</v>
      </c>
      <c r="D434" s="31" t="s">
        <v>28</v>
      </c>
      <c r="E434" s="32"/>
      <c r="F434" s="35"/>
      <c r="G434" s="33" t="s">
        <v>5</v>
      </c>
      <c r="H434" s="33" t="s">
        <v>6</v>
      </c>
    </row>
    <row r="435" spans="1:8" ht="16.5">
      <c r="A435" s="33">
        <f>COUNTA($D$4:D435)</f>
        <v>375</v>
      </c>
      <c r="B435" s="35" t="str">
        <f t="shared" ref="B435" si="76">"Thiết lập quy tắc làm sạch " &amp;C435</f>
        <v>Thiết lập quy tắc làm sạch Công chứng viên</v>
      </c>
      <c r="C435" s="35" t="s">
        <v>131</v>
      </c>
      <c r="D435" s="31" t="s">
        <v>28</v>
      </c>
      <c r="E435" s="32"/>
      <c r="F435" s="35"/>
      <c r="G435" s="33" t="s">
        <v>5</v>
      </c>
      <c r="H435" s="33" t="s">
        <v>7</v>
      </c>
    </row>
    <row r="436" spans="1:8" ht="16.5">
      <c r="A436" s="33">
        <f>COUNTA($D$4:D436)</f>
        <v>376</v>
      </c>
      <c r="B436" s="35" t="str">
        <f>"Thiết lập quy tắc chuẩn hóa " &amp;C436</f>
        <v>Thiết lập quy tắc chuẩn hóa Công chứng viên</v>
      </c>
      <c r="C436" s="35" t="s">
        <v>131</v>
      </c>
      <c r="D436" s="31" t="s">
        <v>28</v>
      </c>
      <c r="E436" s="32"/>
      <c r="F436" s="35"/>
      <c r="G436" s="33" t="s">
        <v>5</v>
      </c>
      <c r="H436" s="33" t="s">
        <v>6</v>
      </c>
    </row>
    <row r="437" spans="1:8" ht="16.5">
      <c r="A437" s="33">
        <f>COUNTA($D$4:D437)</f>
        <v>377</v>
      </c>
      <c r="B437" s="35" t="str">
        <f>"Thiết lập quy tắc biến đổi " &amp;C437</f>
        <v>Thiết lập quy tắc biến đổi Công chứng viên</v>
      </c>
      <c r="C437" s="35" t="s">
        <v>131</v>
      </c>
      <c r="D437" s="31" t="s">
        <v>28</v>
      </c>
      <c r="E437" s="32"/>
      <c r="F437" s="35"/>
      <c r="G437" s="33" t="s">
        <v>5</v>
      </c>
      <c r="H437" s="33" t="s">
        <v>6</v>
      </c>
    </row>
    <row r="438" spans="1:8" ht="16.5">
      <c r="A438" s="33">
        <f>COUNTA($D$4:D438)</f>
        <v>378</v>
      </c>
      <c r="B438" s="35" t="str">
        <f t="shared" ref="B438" si="77">"Thiết lập quy tắc làm sạch " &amp;C438</f>
        <v>Thiết lập quy tắc làm sạch Thông tin ngăn chặn</v>
      </c>
      <c r="C438" s="35" t="s">
        <v>132</v>
      </c>
      <c r="D438" s="31" t="s">
        <v>28</v>
      </c>
      <c r="E438" s="32"/>
      <c r="F438" s="35"/>
      <c r="G438" s="33" t="s">
        <v>5</v>
      </c>
      <c r="H438" s="33" t="s">
        <v>7</v>
      </c>
    </row>
    <row r="439" spans="1:8" ht="16.5">
      <c r="A439" s="33">
        <f>COUNTA($D$4:D439)</f>
        <v>379</v>
      </c>
      <c r="B439" s="35" t="str">
        <f>"Thiết lập quy tắc chuẩn hóa " &amp;C439</f>
        <v>Thiết lập quy tắc chuẩn hóa Thông tin ngăn chặn</v>
      </c>
      <c r="C439" s="35" t="s">
        <v>132</v>
      </c>
      <c r="D439" s="31" t="s">
        <v>28</v>
      </c>
      <c r="E439" s="32"/>
      <c r="F439" s="35"/>
      <c r="G439" s="33" t="s">
        <v>5</v>
      </c>
      <c r="H439" s="33" t="s">
        <v>6</v>
      </c>
    </row>
    <row r="440" spans="1:8" ht="16.5">
      <c r="A440" s="33">
        <f>COUNTA($D$4:D440)</f>
        <v>380</v>
      </c>
      <c r="B440" s="35" t="str">
        <f>"Thiết lập quy tắc biến đổi " &amp;C440</f>
        <v>Thiết lập quy tắc biến đổi Thông tin ngăn chặn</v>
      </c>
      <c r="C440" s="35" t="s">
        <v>132</v>
      </c>
      <c r="D440" s="31" t="s">
        <v>28</v>
      </c>
      <c r="E440" s="32"/>
      <c r="F440" s="35"/>
      <c r="G440" s="33" t="s">
        <v>5</v>
      </c>
      <c r="H440" s="33" t="s">
        <v>6</v>
      </c>
    </row>
    <row r="441" spans="1:8" ht="33">
      <c r="A441" s="33">
        <f>COUNTA($D$4:D441)</f>
        <v>381</v>
      </c>
      <c r="B441" s="35" t="str">
        <f t="shared" ref="B441" si="78">"Thiết lập quy tắc làm sạch " &amp;C441</f>
        <v>Thiết lập quy tắc làm sạch Tổ chức hành nghề công chứng</v>
      </c>
      <c r="C441" s="35" t="s">
        <v>133</v>
      </c>
      <c r="D441" s="31" t="s">
        <v>28</v>
      </c>
      <c r="E441" s="32"/>
      <c r="F441" s="35"/>
      <c r="G441" s="33" t="s">
        <v>5</v>
      </c>
      <c r="H441" s="33" t="s">
        <v>7</v>
      </c>
    </row>
    <row r="442" spans="1:8" ht="33">
      <c r="A442" s="33">
        <f>COUNTA($D$4:D442)</f>
        <v>382</v>
      </c>
      <c r="B442" s="35" t="str">
        <f>"Thiết lập quy tắc chuẩn hóa " &amp;C442</f>
        <v>Thiết lập quy tắc chuẩn hóa Tổ chức hành nghề công chứng</v>
      </c>
      <c r="C442" s="35" t="s">
        <v>133</v>
      </c>
      <c r="D442" s="31" t="s">
        <v>28</v>
      </c>
      <c r="E442" s="32"/>
      <c r="F442" s="35"/>
      <c r="G442" s="33" t="s">
        <v>5</v>
      </c>
      <c r="H442" s="33" t="s">
        <v>6</v>
      </c>
    </row>
    <row r="443" spans="1:8" ht="33">
      <c r="A443" s="33">
        <f>COUNTA($D$4:D443)</f>
        <v>383</v>
      </c>
      <c r="B443" s="35" t="str">
        <f>"Thiết lập quy tắc biến đổi " &amp;C443</f>
        <v>Thiết lập quy tắc biến đổi Tổ chức hành nghề công chứng</v>
      </c>
      <c r="C443" s="35" t="s">
        <v>133</v>
      </c>
      <c r="D443" s="31" t="s">
        <v>28</v>
      </c>
      <c r="E443" s="32"/>
      <c r="F443" s="35"/>
      <c r="G443" s="33" t="s">
        <v>5</v>
      </c>
      <c r="H443" s="33" t="s">
        <v>6</v>
      </c>
    </row>
    <row r="444" spans="1:8" ht="33">
      <c r="A444" s="33">
        <f>COUNTA($D$4:D444)</f>
        <v>384</v>
      </c>
      <c r="B444" s="35" t="str">
        <f t="shared" ref="B444" si="79">"Thiết lập quy tắc làm sạch " &amp;C444</f>
        <v>Thiết lập quy tắc làm sạch Tài sản trong giao dịch công chứng</v>
      </c>
      <c r="C444" s="35" t="s">
        <v>134</v>
      </c>
      <c r="D444" s="31" t="s">
        <v>28</v>
      </c>
      <c r="E444" s="32"/>
      <c r="F444" s="35"/>
      <c r="G444" s="33" t="s">
        <v>5</v>
      </c>
      <c r="H444" s="33" t="s">
        <v>7</v>
      </c>
    </row>
    <row r="445" spans="1:8" ht="33">
      <c r="A445" s="33">
        <f>COUNTA($D$4:D445)</f>
        <v>385</v>
      </c>
      <c r="B445" s="35" t="str">
        <f>"Thiết lập quy tắc chuẩn hóa " &amp;C445</f>
        <v>Thiết lập quy tắc chuẩn hóa Tài sản trong giao dịch công chứng</v>
      </c>
      <c r="C445" s="35" t="s">
        <v>134</v>
      </c>
      <c r="D445" s="31" t="s">
        <v>28</v>
      </c>
      <c r="E445" s="32"/>
      <c r="F445" s="35"/>
      <c r="G445" s="33" t="s">
        <v>5</v>
      </c>
      <c r="H445" s="33" t="s">
        <v>6</v>
      </c>
    </row>
    <row r="446" spans="1:8" ht="33">
      <c r="A446" s="33">
        <f>COUNTA($D$4:D446)</f>
        <v>386</v>
      </c>
      <c r="B446" s="35" t="str">
        <f>"Thiết lập quy tắc biến đổi " &amp;C446</f>
        <v>Thiết lập quy tắc biến đổi Tài sản trong giao dịch công chứng</v>
      </c>
      <c r="C446" s="35" t="s">
        <v>134</v>
      </c>
      <c r="D446" s="31" t="s">
        <v>28</v>
      </c>
      <c r="E446" s="32"/>
      <c r="F446" s="35"/>
      <c r="G446" s="33" t="s">
        <v>5</v>
      </c>
      <c r="H446" s="33" t="s">
        <v>6</v>
      </c>
    </row>
    <row r="447" spans="1:8" ht="33">
      <c r="A447" s="33">
        <f>COUNTA($D$4:D447)</f>
        <v>387</v>
      </c>
      <c r="B447" s="35" t="str">
        <f t="shared" ref="B447" si="80">"Thiết lập quy tắc làm sạch " &amp;C447</f>
        <v>Thiết lập quy tắc làm sạch Kết quả hoạt động công chứng</v>
      </c>
      <c r="C447" s="35" t="s">
        <v>135</v>
      </c>
      <c r="D447" s="31" t="s">
        <v>28</v>
      </c>
      <c r="E447" s="32"/>
      <c r="F447" s="35"/>
      <c r="G447" s="33" t="s">
        <v>5</v>
      </c>
      <c r="H447" s="33" t="s">
        <v>7</v>
      </c>
    </row>
    <row r="448" spans="1:8" ht="33">
      <c r="A448" s="33">
        <f>COUNTA($D$4:D448)</f>
        <v>388</v>
      </c>
      <c r="B448" s="35" t="str">
        <f>"Thiết lập quy tắc chuẩn hóa " &amp;C448</f>
        <v>Thiết lập quy tắc chuẩn hóa Kết quả hoạt động công chứng</v>
      </c>
      <c r="C448" s="35" t="s">
        <v>135</v>
      </c>
      <c r="D448" s="31" t="s">
        <v>28</v>
      </c>
      <c r="E448" s="32"/>
      <c r="F448" s="35"/>
      <c r="G448" s="33" t="s">
        <v>5</v>
      </c>
      <c r="H448" s="33" t="s">
        <v>6</v>
      </c>
    </row>
    <row r="449" spans="1:8" ht="33">
      <c r="A449" s="33">
        <f>COUNTA($D$4:D449)</f>
        <v>389</v>
      </c>
      <c r="B449" s="35" t="str">
        <f>"Thiết lập quy tắc biến đổi " &amp;C449</f>
        <v>Thiết lập quy tắc biến đổi Kết quả hoạt động công chứng</v>
      </c>
      <c r="C449" s="35" t="s">
        <v>135</v>
      </c>
      <c r="D449" s="31" t="s">
        <v>28</v>
      </c>
      <c r="E449" s="32"/>
      <c r="F449" s="35"/>
      <c r="G449" s="33" t="s">
        <v>5</v>
      </c>
      <c r="H449" s="33" t="s">
        <v>6</v>
      </c>
    </row>
    <row r="450" spans="1:8" ht="16.5">
      <c r="A450" s="33">
        <f>COUNTA($D$4:D450)</f>
        <v>390</v>
      </c>
      <c r="B450" s="35" t="str">
        <f t="shared" ref="B450" si="81">"Thiết lập quy tắc làm sạch " &amp;C450</f>
        <v>Thiết lập quy tắc làm sạch Quản tài viên</v>
      </c>
      <c r="C450" s="47" t="s">
        <v>136</v>
      </c>
      <c r="D450" s="31" t="s">
        <v>28</v>
      </c>
      <c r="E450" s="32"/>
      <c r="F450" s="35"/>
      <c r="G450" s="33" t="s">
        <v>5</v>
      </c>
      <c r="H450" s="33" t="s">
        <v>7</v>
      </c>
    </row>
    <row r="451" spans="1:8" ht="16.5">
      <c r="A451" s="33">
        <f>COUNTA($D$4:D451)</f>
        <v>391</v>
      </c>
      <c r="B451" s="35" t="str">
        <f>"Thiết lập quy tắc chuẩn hóa " &amp;C451</f>
        <v>Thiết lập quy tắc chuẩn hóa Quản tài viên</v>
      </c>
      <c r="C451" s="47" t="s">
        <v>136</v>
      </c>
      <c r="D451" s="31" t="s">
        <v>28</v>
      </c>
      <c r="E451" s="32"/>
      <c r="F451" s="35"/>
      <c r="G451" s="33" t="s">
        <v>5</v>
      </c>
      <c r="H451" s="33" t="s">
        <v>6</v>
      </c>
    </row>
    <row r="452" spans="1:8" ht="16.5">
      <c r="A452" s="33">
        <f>COUNTA($D$4:D452)</f>
        <v>392</v>
      </c>
      <c r="B452" s="35" t="str">
        <f>"Thiết lập quy tắc biến đổi " &amp;C452</f>
        <v>Thiết lập quy tắc biến đổi Quản tài viên</v>
      </c>
      <c r="C452" s="47" t="s">
        <v>136</v>
      </c>
      <c r="D452" s="31" t="s">
        <v>28</v>
      </c>
      <c r="E452" s="32"/>
      <c r="F452" s="35"/>
      <c r="G452" s="33" t="s">
        <v>5</v>
      </c>
      <c r="H452" s="33" t="s">
        <v>6</v>
      </c>
    </row>
    <row r="453" spans="1:8" ht="33">
      <c r="A453" s="33">
        <f>COUNTA($D$4:D453)</f>
        <v>393</v>
      </c>
      <c r="B453" s="35" t="str">
        <f t="shared" ref="B453" si="82">"Thiết lập quy tắc làm sạch " &amp;C453</f>
        <v>Thiết lập quy tắc làm sạch Doanh nghiệp quản lý, thanh lý tài sản</v>
      </c>
      <c r="C453" s="35" t="s">
        <v>137</v>
      </c>
      <c r="D453" s="31" t="s">
        <v>28</v>
      </c>
      <c r="E453" s="32"/>
      <c r="F453" s="35"/>
      <c r="G453" s="33" t="s">
        <v>5</v>
      </c>
      <c r="H453" s="33" t="s">
        <v>7</v>
      </c>
    </row>
    <row r="454" spans="1:8" ht="33">
      <c r="A454" s="33">
        <f>COUNTA($D$4:D454)</f>
        <v>394</v>
      </c>
      <c r="B454" s="35" t="str">
        <f>"Thiết lập quy tắc chuẩn hóa " &amp;C454</f>
        <v>Thiết lập quy tắc chuẩn hóa Doanh nghiệp quản lý, thanh lý tài sản</v>
      </c>
      <c r="C454" s="35" t="s">
        <v>137</v>
      </c>
      <c r="D454" s="31" t="s">
        <v>28</v>
      </c>
      <c r="E454" s="32"/>
      <c r="F454" s="35"/>
      <c r="G454" s="33" t="s">
        <v>5</v>
      </c>
      <c r="H454" s="33" t="s">
        <v>6</v>
      </c>
    </row>
    <row r="455" spans="1:8" ht="33">
      <c r="A455" s="33">
        <f>COUNTA($D$4:D455)</f>
        <v>395</v>
      </c>
      <c r="B455" s="35" t="str">
        <f>"Thiết lập quy tắc biến đổi " &amp;C455</f>
        <v>Thiết lập quy tắc biến đổi Doanh nghiệp quản lý, thanh lý tài sản</v>
      </c>
      <c r="C455" s="35" t="s">
        <v>137</v>
      </c>
      <c r="D455" s="31" t="s">
        <v>28</v>
      </c>
      <c r="E455" s="32"/>
      <c r="F455" s="35"/>
      <c r="G455" s="33" t="s">
        <v>5</v>
      </c>
      <c r="H455" s="33" t="s">
        <v>6</v>
      </c>
    </row>
    <row r="456" spans="1:8" ht="16.5">
      <c r="A456" s="33">
        <f>COUNTA($D$4:D456)</f>
        <v>396</v>
      </c>
      <c r="B456" s="35" t="str">
        <f t="shared" ref="B456" si="83">"Thiết lập quy tắc làm sạch " &amp;C456</f>
        <v>Thiết lập quy tắc làm sạch Luật sư Việt Nam</v>
      </c>
      <c r="C456" s="35" t="s">
        <v>138</v>
      </c>
      <c r="D456" s="31" t="s">
        <v>28</v>
      </c>
      <c r="E456" s="32"/>
      <c r="F456" s="35"/>
      <c r="G456" s="33" t="s">
        <v>5</v>
      </c>
      <c r="H456" s="33" t="s">
        <v>7</v>
      </c>
    </row>
    <row r="457" spans="1:8" ht="16.5">
      <c r="A457" s="33">
        <f>COUNTA($D$4:D457)</f>
        <v>397</v>
      </c>
      <c r="B457" s="35" t="str">
        <f>"Thiết lập quy tắc chuẩn hóa " &amp;C457</f>
        <v>Thiết lập quy tắc chuẩn hóa Luật sư Việt Nam</v>
      </c>
      <c r="C457" s="35" t="s">
        <v>138</v>
      </c>
      <c r="D457" s="31" t="s">
        <v>28</v>
      </c>
      <c r="E457" s="32"/>
      <c r="F457" s="35"/>
      <c r="G457" s="33" t="s">
        <v>5</v>
      </c>
      <c r="H457" s="33" t="s">
        <v>6</v>
      </c>
    </row>
    <row r="458" spans="1:8" ht="16.5">
      <c r="A458" s="33">
        <f>COUNTA($D$4:D458)</f>
        <v>398</v>
      </c>
      <c r="B458" s="35" t="str">
        <f>"Thiết lập quy tắc biến đổi " &amp;C458</f>
        <v>Thiết lập quy tắc biến đổi Luật sư Việt Nam</v>
      </c>
      <c r="C458" s="35" t="s">
        <v>138</v>
      </c>
      <c r="D458" s="31" t="s">
        <v>28</v>
      </c>
      <c r="E458" s="32"/>
      <c r="F458" s="35"/>
      <c r="G458" s="33" t="s">
        <v>5</v>
      </c>
      <c r="H458" s="33" t="s">
        <v>6</v>
      </c>
    </row>
    <row r="459" spans="1:8" ht="33">
      <c r="A459" s="33">
        <f>COUNTA($D$4:D459)</f>
        <v>399</v>
      </c>
      <c r="B459" s="35" t="str">
        <f t="shared" ref="B459" si="84">"Thiết lập quy tắc làm sạch " &amp;C459</f>
        <v>Thiết lập quy tắc làm sạch Người được cấp chứng chỉ hành nghề luật sư</v>
      </c>
      <c r="C459" s="35" t="s">
        <v>139</v>
      </c>
      <c r="D459" s="31" t="s">
        <v>28</v>
      </c>
      <c r="E459" s="32"/>
      <c r="F459" s="35"/>
      <c r="G459" s="33" t="s">
        <v>5</v>
      </c>
      <c r="H459" s="33" t="s">
        <v>7</v>
      </c>
    </row>
    <row r="460" spans="1:8" ht="33">
      <c r="A460" s="33">
        <f>COUNTA($D$4:D460)</f>
        <v>400</v>
      </c>
      <c r="B460" s="35" t="str">
        <f>"Thiết lập quy tắc chuẩn hóa " &amp;C460</f>
        <v>Thiết lập quy tắc chuẩn hóa Người được cấp chứng chỉ hành nghề luật sư</v>
      </c>
      <c r="C460" s="35" t="s">
        <v>139</v>
      </c>
      <c r="D460" s="31" t="s">
        <v>28</v>
      </c>
      <c r="E460" s="32"/>
      <c r="F460" s="35"/>
      <c r="G460" s="33" t="s">
        <v>5</v>
      </c>
      <c r="H460" s="33" t="s">
        <v>6</v>
      </c>
    </row>
    <row r="461" spans="1:8" ht="33">
      <c r="A461" s="33">
        <f>COUNTA($D$4:D461)</f>
        <v>401</v>
      </c>
      <c r="B461" s="35" t="str">
        <f>"Thiết lập quy tắc biến đổi " &amp;C461</f>
        <v>Thiết lập quy tắc biến đổi Người được cấp chứng chỉ hành nghề luật sư</v>
      </c>
      <c r="C461" s="35" t="s">
        <v>139</v>
      </c>
      <c r="D461" s="31" t="s">
        <v>28</v>
      </c>
      <c r="E461" s="32"/>
      <c r="F461" s="35"/>
      <c r="G461" s="33" t="s">
        <v>5</v>
      </c>
      <c r="H461" s="33" t="s">
        <v>6</v>
      </c>
    </row>
    <row r="462" spans="1:8" ht="33">
      <c r="A462" s="33">
        <f>COUNTA($D$4:D462)</f>
        <v>402</v>
      </c>
      <c r="B462" s="35" t="str">
        <f t="shared" ref="B462" si="85">"Thiết lập quy tắc làm sạch " &amp;C462</f>
        <v>Thiết lập quy tắc làm sạch Tổ chức hành nghề luật sư Việt Nam</v>
      </c>
      <c r="C462" s="35" t="s">
        <v>140</v>
      </c>
      <c r="D462" s="31" t="s">
        <v>28</v>
      </c>
      <c r="E462" s="32"/>
      <c r="F462" s="35"/>
      <c r="G462" s="33" t="s">
        <v>5</v>
      </c>
      <c r="H462" s="33" t="s">
        <v>7</v>
      </c>
    </row>
    <row r="463" spans="1:8" ht="33">
      <c r="A463" s="33">
        <f>COUNTA($D$4:D463)</f>
        <v>403</v>
      </c>
      <c r="B463" s="35" t="str">
        <f>"Thiết lập quy tắc chuẩn hóa " &amp;C463</f>
        <v>Thiết lập quy tắc chuẩn hóa Tổ chức hành nghề luật sư Việt Nam</v>
      </c>
      <c r="C463" s="35" t="s">
        <v>140</v>
      </c>
      <c r="D463" s="31" t="s">
        <v>28</v>
      </c>
      <c r="E463" s="32"/>
      <c r="F463" s="35"/>
      <c r="G463" s="33" t="s">
        <v>5</v>
      </c>
      <c r="H463" s="33" t="s">
        <v>6</v>
      </c>
    </row>
    <row r="464" spans="1:8" ht="33">
      <c r="A464" s="33">
        <f>COUNTA($D$4:D464)</f>
        <v>404</v>
      </c>
      <c r="B464" s="35" t="str">
        <f>"Thiết lập quy tắc biến đổi " &amp;C464</f>
        <v>Thiết lập quy tắc biến đổi Tổ chức hành nghề luật sư Việt Nam</v>
      </c>
      <c r="C464" s="35" t="s">
        <v>140</v>
      </c>
      <c r="D464" s="31" t="s">
        <v>28</v>
      </c>
      <c r="E464" s="32"/>
      <c r="F464" s="35"/>
      <c r="G464" s="33" t="s">
        <v>5</v>
      </c>
      <c r="H464" s="33" t="s">
        <v>6</v>
      </c>
    </row>
    <row r="465" spans="1:8" ht="16.5">
      <c r="A465" s="33">
        <f>COUNTA($D$4:D465)</f>
        <v>405</v>
      </c>
      <c r="B465" s="35" t="str">
        <f t="shared" ref="B465" si="86">"Thiết lập quy tắc làm sạch " &amp;C465</f>
        <v>Thiết lập quy tắc làm sạch Luật sư nước ngoài</v>
      </c>
      <c r="C465" s="35" t="s">
        <v>141</v>
      </c>
      <c r="D465" s="31" t="s">
        <v>28</v>
      </c>
      <c r="E465" s="32"/>
      <c r="F465" s="35"/>
      <c r="G465" s="33" t="s">
        <v>5</v>
      </c>
      <c r="H465" s="33" t="s">
        <v>7</v>
      </c>
    </row>
    <row r="466" spans="1:8" ht="16.5">
      <c r="A466" s="33">
        <f>COUNTA($D$4:D466)</f>
        <v>406</v>
      </c>
      <c r="B466" s="35" t="str">
        <f>"Thiết lập quy tắc chuẩn hóa " &amp;C466</f>
        <v>Thiết lập quy tắc chuẩn hóa Luật sư nước ngoài</v>
      </c>
      <c r="C466" s="35" t="s">
        <v>141</v>
      </c>
      <c r="D466" s="31" t="s">
        <v>28</v>
      </c>
      <c r="E466" s="32"/>
      <c r="F466" s="35"/>
      <c r="G466" s="33" t="s">
        <v>5</v>
      </c>
      <c r="H466" s="33" t="s">
        <v>6</v>
      </c>
    </row>
    <row r="467" spans="1:8" ht="16.5">
      <c r="A467" s="33">
        <f>COUNTA($D$4:D467)</f>
        <v>407</v>
      </c>
      <c r="B467" s="35" t="str">
        <f>"Thiết lập quy tắc biến đổi " &amp;C467</f>
        <v>Thiết lập quy tắc biến đổi Luật sư nước ngoài</v>
      </c>
      <c r="C467" s="35" t="s">
        <v>141</v>
      </c>
      <c r="D467" s="31" t="s">
        <v>28</v>
      </c>
      <c r="E467" s="32"/>
      <c r="F467" s="35"/>
      <c r="G467" s="33" t="s">
        <v>5</v>
      </c>
      <c r="H467" s="33" t="s">
        <v>6</v>
      </c>
    </row>
    <row r="468" spans="1:8" ht="33">
      <c r="A468" s="33">
        <f>COUNTA($D$4:D468)</f>
        <v>408</v>
      </c>
      <c r="B468" s="35" t="str">
        <f t="shared" ref="B468" si="87">"Thiết lập quy tắc làm sạch " &amp;C468</f>
        <v>Thiết lập quy tắc làm sạch Tổ chức hành nghề luật sư nước ngoài</v>
      </c>
      <c r="C468" s="35" t="s">
        <v>142</v>
      </c>
      <c r="D468" s="31" t="s">
        <v>28</v>
      </c>
      <c r="E468" s="32"/>
      <c r="F468" s="35"/>
      <c r="G468" s="33" t="s">
        <v>5</v>
      </c>
      <c r="H468" s="33" t="s">
        <v>7</v>
      </c>
    </row>
    <row r="469" spans="1:8" ht="33">
      <c r="A469" s="33">
        <f>COUNTA($D$4:D469)</f>
        <v>409</v>
      </c>
      <c r="B469" s="35" t="str">
        <f>"Thiết lập quy tắc chuẩn hóa " &amp;C469</f>
        <v>Thiết lập quy tắc chuẩn hóa Tổ chức hành nghề luật sư nước ngoài</v>
      </c>
      <c r="C469" s="35" t="s">
        <v>142</v>
      </c>
      <c r="D469" s="31" t="s">
        <v>28</v>
      </c>
      <c r="E469" s="32"/>
      <c r="F469" s="35"/>
      <c r="G469" s="33" t="s">
        <v>5</v>
      </c>
      <c r="H469" s="33" t="s">
        <v>6</v>
      </c>
    </row>
    <row r="470" spans="1:8" ht="33">
      <c r="A470" s="33">
        <f>COUNTA($D$4:D470)</f>
        <v>410</v>
      </c>
      <c r="B470" s="35" t="str">
        <f>"Thiết lập quy tắc biến đổi " &amp;C470</f>
        <v>Thiết lập quy tắc biến đổi Tổ chức hành nghề luật sư nước ngoài</v>
      </c>
      <c r="C470" s="35" t="s">
        <v>142</v>
      </c>
      <c r="D470" s="31" t="s">
        <v>28</v>
      </c>
      <c r="E470" s="32"/>
      <c r="F470" s="35"/>
      <c r="G470" s="33" t="s">
        <v>5</v>
      </c>
      <c r="H470" s="33" t="s">
        <v>6</v>
      </c>
    </row>
    <row r="471" spans="1:8" ht="16.5">
      <c r="A471" s="33">
        <f>COUNTA($D$4:D471)</f>
        <v>411</v>
      </c>
      <c r="B471" s="35" t="str">
        <f t="shared" ref="B471" si="88">"Thiết lập quy tắc làm sạch " &amp;C471</f>
        <v>Thiết lập quy tắc làm sạch Trọng tài viên</v>
      </c>
      <c r="C471" s="47" t="s">
        <v>143</v>
      </c>
      <c r="D471" s="31" t="s">
        <v>28</v>
      </c>
      <c r="E471" s="32"/>
      <c r="F471" s="35"/>
      <c r="G471" s="33" t="s">
        <v>5</v>
      </c>
      <c r="H471" s="33" t="s">
        <v>7</v>
      </c>
    </row>
    <row r="472" spans="1:8" ht="16.5">
      <c r="A472" s="33">
        <f>COUNTA($D$4:D472)</f>
        <v>412</v>
      </c>
      <c r="B472" s="35" t="str">
        <f>"Thiết lập quy tắc chuẩn hóa " &amp;C472</f>
        <v>Thiết lập quy tắc chuẩn hóa Trọng tài viên</v>
      </c>
      <c r="C472" s="47" t="s">
        <v>143</v>
      </c>
      <c r="D472" s="31" t="s">
        <v>28</v>
      </c>
      <c r="E472" s="32"/>
      <c r="F472" s="35"/>
      <c r="G472" s="33" t="s">
        <v>5</v>
      </c>
      <c r="H472" s="33" t="s">
        <v>6</v>
      </c>
    </row>
    <row r="473" spans="1:8" ht="16.5">
      <c r="A473" s="33">
        <f>COUNTA($D$4:D473)</f>
        <v>413</v>
      </c>
      <c r="B473" s="35" t="str">
        <f>"Thiết lập quy tắc biến đổi " &amp;C473</f>
        <v>Thiết lập quy tắc biến đổi Trọng tài viên</v>
      </c>
      <c r="C473" s="47" t="s">
        <v>143</v>
      </c>
      <c r="D473" s="31" t="s">
        <v>28</v>
      </c>
      <c r="E473" s="32"/>
      <c r="F473" s="35"/>
      <c r="G473" s="33" t="s">
        <v>5</v>
      </c>
      <c r="H473" s="33" t="s">
        <v>6</v>
      </c>
    </row>
    <row r="474" spans="1:8" ht="16.5">
      <c r="A474" s="33">
        <f>COUNTA($D$4:D474)</f>
        <v>414</v>
      </c>
      <c r="B474" s="35" t="str">
        <f t="shared" ref="B474" si="89">"Thiết lập quy tắc làm sạch " &amp;C474</f>
        <v>Thiết lập quy tắc làm sạch Trung tâm trọng tài</v>
      </c>
      <c r="C474" s="47" t="s">
        <v>144</v>
      </c>
      <c r="D474" s="31" t="s">
        <v>28</v>
      </c>
      <c r="E474" s="32"/>
      <c r="F474" s="35"/>
      <c r="G474" s="33" t="s">
        <v>5</v>
      </c>
      <c r="H474" s="33" t="s">
        <v>7</v>
      </c>
    </row>
    <row r="475" spans="1:8" ht="16.5">
      <c r="A475" s="33">
        <f>COUNTA($D$4:D475)</f>
        <v>415</v>
      </c>
      <c r="B475" s="35" t="str">
        <f>"Thiết lập quy tắc chuẩn hóa " &amp;C475</f>
        <v>Thiết lập quy tắc chuẩn hóa Trung tâm trọng tài</v>
      </c>
      <c r="C475" s="47" t="s">
        <v>144</v>
      </c>
      <c r="D475" s="31" t="s">
        <v>28</v>
      </c>
      <c r="E475" s="32"/>
      <c r="F475" s="35"/>
      <c r="G475" s="33" t="s">
        <v>5</v>
      </c>
      <c r="H475" s="33" t="s">
        <v>6</v>
      </c>
    </row>
    <row r="476" spans="1:8" ht="16.5">
      <c r="A476" s="33">
        <f>COUNTA($D$4:D476)</f>
        <v>416</v>
      </c>
      <c r="B476" s="35" t="str">
        <f>"Thiết lập quy tắc biến đổi " &amp;C476</f>
        <v>Thiết lập quy tắc biến đổi Trung tâm trọng tài</v>
      </c>
      <c r="C476" s="47" t="s">
        <v>144</v>
      </c>
      <c r="D476" s="31" t="s">
        <v>28</v>
      </c>
      <c r="E476" s="32"/>
      <c r="F476" s="35"/>
      <c r="G476" s="33" t="s">
        <v>5</v>
      </c>
      <c r="H476" s="33" t="s">
        <v>6</v>
      </c>
    </row>
    <row r="477" spans="1:8" ht="33">
      <c r="A477" s="33">
        <f>COUNTA($D$4:D477)</f>
        <v>417</v>
      </c>
      <c r="B477" s="35" t="str">
        <f t="shared" ref="B477" si="90">"Thiết lập quy tắc làm sạch " &amp;C477</f>
        <v>Thiết lập quy tắc làm sạch Chi nhánh của tổ chức trọng tài</v>
      </c>
      <c r="C477" s="47" t="s">
        <v>145</v>
      </c>
      <c r="D477" s="31" t="s">
        <v>28</v>
      </c>
      <c r="E477" s="32"/>
      <c r="F477" s="35"/>
      <c r="G477" s="33" t="s">
        <v>5</v>
      </c>
      <c r="H477" s="33" t="s">
        <v>7</v>
      </c>
    </row>
    <row r="478" spans="1:8" ht="33">
      <c r="A478" s="33">
        <f>COUNTA($D$4:D478)</f>
        <v>418</v>
      </c>
      <c r="B478" s="35" t="str">
        <f>"Thiết lập quy tắc chuẩn hóa " &amp;C478</f>
        <v>Thiết lập quy tắc chuẩn hóa Chi nhánh của tổ chức trọng tài</v>
      </c>
      <c r="C478" s="47" t="s">
        <v>145</v>
      </c>
      <c r="D478" s="31" t="s">
        <v>28</v>
      </c>
      <c r="E478" s="32"/>
      <c r="F478" s="35"/>
      <c r="G478" s="33" t="s">
        <v>5</v>
      </c>
      <c r="H478" s="33" t="s">
        <v>6</v>
      </c>
    </row>
    <row r="479" spans="1:8" ht="33">
      <c r="A479" s="33">
        <f>COUNTA($D$4:D479)</f>
        <v>419</v>
      </c>
      <c r="B479" s="35" t="str">
        <f>"Thiết lập quy tắc biến đổi " &amp;C479</f>
        <v>Thiết lập quy tắc biến đổi Chi nhánh của tổ chức trọng tài</v>
      </c>
      <c r="C479" s="47" t="s">
        <v>145</v>
      </c>
      <c r="D479" s="31" t="s">
        <v>28</v>
      </c>
      <c r="E479" s="32"/>
      <c r="F479" s="35"/>
      <c r="G479" s="33" t="s">
        <v>5</v>
      </c>
      <c r="H479" s="33" t="s">
        <v>6</v>
      </c>
    </row>
    <row r="480" spans="1:8" ht="33">
      <c r="A480" s="33">
        <f>COUNTA($D$4:D480)</f>
        <v>420</v>
      </c>
      <c r="B480" s="35" t="str">
        <f t="shared" ref="B480" si="91">"Thiết lập quy tắc làm sạch " &amp;C480</f>
        <v>Thiết lập quy tắc làm sạch Văn phòng đại diện của trung tâm trọng tài</v>
      </c>
      <c r="C480" s="47" t="s">
        <v>146</v>
      </c>
      <c r="D480" s="31" t="s">
        <v>28</v>
      </c>
      <c r="E480" s="32"/>
      <c r="F480" s="35"/>
      <c r="G480" s="33" t="s">
        <v>5</v>
      </c>
      <c r="H480" s="33" t="s">
        <v>7</v>
      </c>
    </row>
    <row r="481" spans="1:8" ht="33">
      <c r="A481" s="33">
        <f>COUNTA($D$4:D481)</f>
        <v>421</v>
      </c>
      <c r="B481" s="35" t="str">
        <f>"Thiết lập quy tắc chuẩn hóa " &amp;C481</f>
        <v>Thiết lập quy tắc chuẩn hóa Văn phòng đại diện của trung tâm trọng tài</v>
      </c>
      <c r="C481" s="47" t="s">
        <v>146</v>
      </c>
      <c r="D481" s="31" t="s">
        <v>28</v>
      </c>
      <c r="E481" s="32"/>
      <c r="F481" s="35"/>
      <c r="G481" s="33" t="s">
        <v>5</v>
      </c>
      <c r="H481" s="33" t="s">
        <v>6</v>
      </c>
    </row>
    <row r="482" spans="1:8" ht="33">
      <c r="A482" s="33">
        <f>COUNTA($D$4:D482)</f>
        <v>422</v>
      </c>
      <c r="B482" s="35" t="str">
        <f>"Thiết lập quy tắc biến đổi " &amp;C482</f>
        <v>Thiết lập quy tắc biến đổi Văn phòng đại diện của trung tâm trọng tài</v>
      </c>
      <c r="C482" s="47" t="s">
        <v>146</v>
      </c>
      <c r="D482" s="31" t="s">
        <v>28</v>
      </c>
      <c r="E482" s="32"/>
      <c r="F482" s="35"/>
      <c r="G482" s="33" t="s">
        <v>5</v>
      </c>
      <c r="H482" s="33" t="s">
        <v>6</v>
      </c>
    </row>
    <row r="483" spans="1:8" ht="16.5">
      <c r="A483" s="33">
        <f>COUNTA($D$4:D483)</f>
        <v>423</v>
      </c>
      <c r="B483" s="35" t="str">
        <f t="shared" ref="B483" si="92">"Thiết lập quy tắc làm sạch " &amp;C483</f>
        <v>Thiết lập quy tắc làm sạch Hòa giải viên thương mại</v>
      </c>
      <c r="C483" s="47" t="s">
        <v>147</v>
      </c>
      <c r="D483" s="31" t="s">
        <v>28</v>
      </c>
      <c r="E483" s="32"/>
      <c r="F483" s="35"/>
      <c r="G483" s="33" t="s">
        <v>5</v>
      </c>
      <c r="H483" s="33" t="s">
        <v>7</v>
      </c>
    </row>
    <row r="484" spans="1:8" ht="16.5">
      <c r="A484" s="33">
        <f>COUNTA($D$4:D484)</f>
        <v>424</v>
      </c>
      <c r="B484" s="35" t="str">
        <f>"Thiết lập quy tắc chuẩn hóa " &amp;C484</f>
        <v>Thiết lập quy tắc chuẩn hóa Hòa giải viên thương mại</v>
      </c>
      <c r="C484" s="47" t="s">
        <v>147</v>
      </c>
      <c r="D484" s="31" t="s">
        <v>28</v>
      </c>
      <c r="E484" s="32"/>
      <c r="F484" s="35"/>
      <c r="G484" s="33" t="s">
        <v>5</v>
      </c>
      <c r="H484" s="33" t="s">
        <v>6</v>
      </c>
    </row>
    <row r="485" spans="1:8" ht="16.5">
      <c r="A485" s="33">
        <f>COUNTA($D$4:D485)</f>
        <v>425</v>
      </c>
      <c r="B485" s="35" t="str">
        <f>"Thiết lập quy tắc biến đổi " &amp;C485</f>
        <v>Thiết lập quy tắc biến đổi Hòa giải viên thương mại</v>
      </c>
      <c r="C485" s="47" t="s">
        <v>147</v>
      </c>
      <c r="D485" s="31" t="s">
        <v>28</v>
      </c>
      <c r="E485" s="32"/>
      <c r="F485" s="35"/>
      <c r="G485" s="33" t="s">
        <v>5</v>
      </c>
      <c r="H485" s="33" t="s">
        <v>6</v>
      </c>
    </row>
    <row r="486" spans="1:8" ht="33">
      <c r="A486" s="33">
        <f>COUNTA($D$4:D486)</f>
        <v>426</v>
      </c>
      <c r="B486" s="35" t="str">
        <f t="shared" ref="B486" si="93">"Thiết lập quy tắc làm sạch " &amp;C486</f>
        <v>Thiết lập quy tắc làm sạch Trung tâm hòa giải thương mại</v>
      </c>
      <c r="C486" s="47" t="s">
        <v>148</v>
      </c>
      <c r="D486" s="31" t="s">
        <v>28</v>
      </c>
      <c r="E486" s="32"/>
      <c r="F486" s="35"/>
      <c r="G486" s="33" t="s">
        <v>5</v>
      </c>
      <c r="H486" s="33" t="s">
        <v>7</v>
      </c>
    </row>
    <row r="487" spans="1:8" ht="33">
      <c r="A487" s="33">
        <f>COUNTA($D$4:D487)</f>
        <v>427</v>
      </c>
      <c r="B487" s="35" t="str">
        <f>"Thiết lập quy tắc chuẩn hóa " &amp;C487</f>
        <v>Thiết lập quy tắc chuẩn hóa Trung tâm hòa giải thương mại</v>
      </c>
      <c r="C487" s="47" t="s">
        <v>148</v>
      </c>
      <c r="D487" s="31" t="s">
        <v>28</v>
      </c>
      <c r="E487" s="32"/>
      <c r="F487" s="35"/>
      <c r="G487" s="33" t="s">
        <v>5</v>
      </c>
      <c r="H487" s="33" t="s">
        <v>6</v>
      </c>
    </row>
    <row r="488" spans="1:8" ht="33">
      <c r="A488" s="33">
        <f>COUNTA($D$4:D488)</f>
        <v>428</v>
      </c>
      <c r="B488" s="35" t="str">
        <f>"Thiết lập quy tắc biến đổi " &amp;C488</f>
        <v>Thiết lập quy tắc biến đổi Trung tâm hòa giải thương mại</v>
      </c>
      <c r="C488" s="47" t="s">
        <v>148</v>
      </c>
      <c r="D488" s="31" t="s">
        <v>28</v>
      </c>
      <c r="E488" s="32"/>
      <c r="F488" s="35"/>
      <c r="G488" s="33" t="s">
        <v>5</v>
      </c>
      <c r="H488" s="33" t="s">
        <v>6</v>
      </c>
    </row>
    <row r="489" spans="1:8" ht="16.5">
      <c r="A489" s="33">
        <f>COUNTA($D$4:D489)</f>
        <v>429</v>
      </c>
      <c r="B489" s="35" t="str">
        <f t="shared" ref="B489" si="94">"Thiết lập quy tắc làm sạch " &amp;C489</f>
        <v>Thiết lập quy tắc làm sạch Giám định viên tư pháp</v>
      </c>
      <c r="C489" s="47" t="s">
        <v>149</v>
      </c>
      <c r="D489" s="31" t="s">
        <v>28</v>
      </c>
      <c r="E489" s="32"/>
      <c r="F489" s="35"/>
      <c r="G489" s="33" t="s">
        <v>5</v>
      </c>
      <c r="H489" s="33" t="s">
        <v>7</v>
      </c>
    </row>
    <row r="490" spans="1:8" ht="16.5">
      <c r="A490" s="33">
        <f>COUNTA($D$4:D490)</f>
        <v>430</v>
      </c>
      <c r="B490" s="35" t="str">
        <f>"Thiết lập quy tắc chuẩn hóa " &amp;C490</f>
        <v>Thiết lập quy tắc chuẩn hóa Giám định viên tư pháp</v>
      </c>
      <c r="C490" s="47" t="s">
        <v>149</v>
      </c>
      <c r="D490" s="31" t="s">
        <v>28</v>
      </c>
      <c r="E490" s="32"/>
      <c r="F490" s="35"/>
      <c r="G490" s="33" t="s">
        <v>5</v>
      </c>
      <c r="H490" s="33" t="s">
        <v>6</v>
      </c>
    </row>
    <row r="491" spans="1:8" ht="16.5">
      <c r="A491" s="33">
        <f>COUNTA($D$4:D491)</f>
        <v>431</v>
      </c>
      <c r="B491" s="35" t="str">
        <f>"Thiết lập quy tắc biến đổi " &amp;C491</f>
        <v>Thiết lập quy tắc biến đổi Giám định viên tư pháp</v>
      </c>
      <c r="C491" s="47" t="s">
        <v>149</v>
      </c>
      <c r="D491" s="31" t="s">
        <v>28</v>
      </c>
      <c r="E491" s="32"/>
      <c r="F491" s="35"/>
      <c r="G491" s="33" t="s">
        <v>5</v>
      </c>
      <c r="H491" s="33" t="s">
        <v>6</v>
      </c>
    </row>
    <row r="492" spans="1:8" ht="16.5">
      <c r="A492" s="33">
        <f>COUNTA($D$4:D492)</f>
        <v>432</v>
      </c>
      <c r="B492" s="35" t="str">
        <f t="shared" ref="B492" si="95">"Thiết lập quy tắc làm sạch " &amp;C492</f>
        <v>Thiết lập quy tắc làm sạch Tổ chức giám định tư pháp</v>
      </c>
      <c r="C492" s="47" t="s">
        <v>150</v>
      </c>
      <c r="D492" s="31" t="s">
        <v>28</v>
      </c>
      <c r="E492" s="32"/>
      <c r="F492" s="35"/>
      <c r="G492" s="33" t="s">
        <v>5</v>
      </c>
      <c r="H492" s="33" t="s">
        <v>7</v>
      </c>
    </row>
    <row r="493" spans="1:8" ht="16.5">
      <c r="A493" s="33">
        <f>COUNTA($D$4:D493)</f>
        <v>433</v>
      </c>
      <c r="B493" s="35" t="str">
        <f>"Thiết lập quy tắc chuẩn hóa " &amp;C493</f>
        <v>Thiết lập quy tắc chuẩn hóa Tổ chức giám định tư pháp</v>
      </c>
      <c r="C493" s="47" t="s">
        <v>150</v>
      </c>
      <c r="D493" s="31" t="s">
        <v>28</v>
      </c>
      <c r="E493" s="32"/>
      <c r="F493" s="35"/>
      <c r="G493" s="33" t="s">
        <v>5</v>
      </c>
      <c r="H493" s="33" t="s">
        <v>6</v>
      </c>
    </row>
    <row r="494" spans="1:8" ht="16.5">
      <c r="A494" s="33">
        <f>COUNTA($D$4:D494)</f>
        <v>434</v>
      </c>
      <c r="B494" s="35" t="str">
        <f>"Thiết lập quy tắc biến đổi " &amp;C494</f>
        <v>Thiết lập quy tắc biến đổi Tổ chức giám định tư pháp</v>
      </c>
      <c r="C494" s="47" t="s">
        <v>150</v>
      </c>
      <c r="D494" s="31" t="s">
        <v>28</v>
      </c>
      <c r="E494" s="32"/>
      <c r="F494" s="35"/>
      <c r="G494" s="33" t="s">
        <v>5</v>
      </c>
      <c r="H494" s="33" t="s">
        <v>6</v>
      </c>
    </row>
    <row r="495" spans="1:8" ht="16.5">
      <c r="A495" s="38" t="s">
        <v>522</v>
      </c>
      <c r="B495" s="43" t="s">
        <v>511</v>
      </c>
      <c r="C495" s="43"/>
      <c r="D495" s="31"/>
      <c r="E495" s="32"/>
      <c r="F495" s="32"/>
      <c r="G495" s="33"/>
      <c r="H495" s="33"/>
    </row>
    <row r="496" spans="1:8" ht="16.5">
      <c r="A496" s="38" t="s">
        <v>180</v>
      </c>
      <c r="B496" s="39" t="s">
        <v>512</v>
      </c>
      <c r="C496" s="39"/>
      <c r="D496" s="31"/>
      <c r="E496" s="32"/>
      <c r="F496" s="32"/>
      <c r="G496" s="33"/>
      <c r="H496" s="33"/>
    </row>
    <row r="497" spans="1:8" ht="33">
      <c r="A497" s="33">
        <f>COUNTA($D$4:D497)</f>
        <v>435</v>
      </c>
      <c r="B497" s="35" t="str">
        <f t="shared" ref="B497" si="96">"Thiết lập quy tắc làm sạch " &amp;C497</f>
        <v>Thiết lập quy tắc làm sạch Thông tin điều ước quốc tế, thỏa thuận quốc tế</v>
      </c>
      <c r="C497" s="47" t="s">
        <v>513</v>
      </c>
      <c r="D497" s="31" t="s">
        <v>28</v>
      </c>
      <c r="E497" s="32"/>
      <c r="F497" s="35"/>
      <c r="G497" s="33" t="s">
        <v>5</v>
      </c>
      <c r="H497" s="33" t="s">
        <v>7</v>
      </c>
    </row>
    <row r="498" spans="1:8" ht="33">
      <c r="A498" s="33">
        <f>COUNTA($D$4:D498)</f>
        <v>436</v>
      </c>
      <c r="B498" s="35" t="str">
        <f>"Thiết lập quy tắc chuẩn hóa " &amp;C498</f>
        <v>Thiết lập quy tắc chuẩn hóa Thông tin điều ước quốc tế, thỏa thuận quốc tế</v>
      </c>
      <c r="C498" s="47" t="s">
        <v>513</v>
      </c>
      <c r="D498" s="31" t="s">
        <v>28</v>
      </c>
      <c r="E498" s="32"/>
      <c r="F498" s="35"/>
      <c r="G498" s="33" t="s">
        <v>5</v>
      </c>
      <c r="H498" s="33" t="s">
        <v>6</v>
      </c>
    </row>
    <row r="499" spans="1:8" ht="33">
      <c r="A499" s="33">
        <f>COUNTA($D$4:D499)</f>
        <v>437</v>
      </c>
      <c r="B499" s="35" t="str">
        <f>"Thiết lập quy tắc biến đổi " &amp;C499</f>
        <v>Thiết lập quy tắc biến đổi Thông tin điều ước quốc tế, thỏa thuận quốc tế</v>
      </c>
      <c r="C499" s="47" t="s">
        <v>513</v>
      </c>
      <c r="D499" s="31" t="s">
        <v>28</v>
      </c>
      <c r="E499" s="32"/>
      <c r="F499" s="35"/>
      <c r="G499" s="33" t="s">
        <v>5</v>
      </c>
      <c r="H499" s="33" t="s">
        <v>6</v>
      </c>
    </row>
    <row r="500" spans="1:8" ht="16.5">
      <c r="A500" s="33">
        <f>COUNTA($D$4:D500)</f>
        <v>438</v>
      </c>
      <c r="B500" s="35" t="str">
        <f t="shared" ref="B500" si="97">"Thiết lập quy tắc làm sạch " &amp;C500</f>
        <v>Thiết lập quy tắc làm sạch Thông tin chương trình dự án</v>
      </c>
      <c r="C500" s="47" t="s">
        <v>514</v>
      </c>
      <c r="D500" s="31" t="s">
        <v>28</v>
      </c>
      <c r="E500" s="32"/>
      <c r="F500" s="35"/>
      <c r="G500" s="33" t="s">
        <v>5</v>
      </c>
      <c r="H500" s="33" t="s">
        <v>7</v>
      </c>
    </row>
    <row r="501" spans="1:8" ht="16.5">
      <c r="A501" s="33">
        <f>COUNTA($D$4:D501)</f>
        <v>439</v>
      </c>
      <c r="B501" s="35" t="str">
        <f>"Thiết lập quy tắc chuẩn hóa " &amp;C501</f>
        <v>Thiết lập quy tắc chuẩn hóa Thông tin chương trình dự án</v>
      </c>
      <c r="C501" s="47" t="s">
        <v>514</v>
      </c>
      <c r="D501" s="31" t="s">
        <v>28</v>
      </c>
      <c r="E501" s="32"/>
      <c r="F501" s="35"/>
      <c r="G501" s="33" t="s">
        <v>5</v>
      </c>
      <c r="H501" s="33" t="s">
        <v>6</v>
      </c>
    </row>
    <row r="502" spans="1:8" ht="16.5">
      <c r="A502" s="33">
        <f>COUNTA($D$4:D502)</f>
        <v>440</v>
      </c>
      <c r="B502" s="35" t="str">
        <f>"Thiết lập quy tắc biến đổi " &amp;C502</f>
        <v>Thiết lập quy tắc biến đổi Thông tin chương trình dự án</v>
      </c>
      <c r="C502" s="47" t="s">
        <v>514</v>
      </c>
      <c r="D502" s="31" t="s">
        <v>28</v>
      </c>
      <c r="E502" s="32"/>
      <c r="F502" s="35"/>
      <c r="G502" s="33" t="s">
        <v>5</v>
      </c>
      <c r="H502" s="33" t="s">
        <v>6</v>
      </c>
    </row>
    <row r="503" spans="1:8" ht="16.5">
      <c r="A503" s="33">
        <f>COUNTA($D$4:D503)</f>
        <v>441</v>
      </c>
      <c r="B503" s="35" t="str">
        <f t="shared" ref="B503" si="98">"Thiết lập quy tắc làm sạch " &amp;C503</f>
        <v>Thiết lập quy tắc làm sạch Danh sách chuyên gia</v>
      </c>
      <c r="C503" s="47" t="s">
        <v>515</v>
      </c>
      <c r="D503" s="31" t="s">
        <v>28</v>
      </c>
      <c r="E503" s="32"/>
      <c r="F503" s="35"/>
      <c r="G503" s="33" t="s">
        <v>5</v>
      </c>
      <c r="H503" s="33" t="s">
        <v>7</v>
      </c>
    </row>
    <row r="504" spans="1:8" ht="16.5">
      <c r="A504" s="33">
        <f>COUNTA($D$4:D504)</f>
        <v>442</v>
      </c>
      <c r="B504" s="35" t="str">
        <f>"Thiết lập quy tắc chuẩn hóa " &amp;C504</f>
        <v>Thiết lập quy tắc chuẩn hóa Danh sách chuyên gia</v>
      </c>
      <c r="C504" s="47" t="s">
        <v>515</v>
      </c>
      <c r="D504" s="31" t="s">
        <v>28</v>
      </c>
      <c r="E504" s="32"/>
      <c r="F504" s="35"/>
      <c r="G504" s="33" t="s">
        <v>5</v>
      </c>
      <c r="H504" s="33" t="s">
        <v>6</v>
      </c>
    </row>
    <row r="505" spans="1:8" ht="16.5">
      <c r="A505" s="33">
        <f>COUNTA($D$4:D505)</f>
        <v>443</v>
      </c>
      <c r="B505" s="35" t="str">
        <f>"Thiết lập quy tắc biến đổi " &amp;C505</f>
        <v>Thiết lập quy tắc biến đổi Danh sách chuyên gia</v>
      </c>
      <c r="C505" s="47" t="s">
        <v>515</v>
      </c>
      <c r="D505" s="31" t="s">
        <v>28</v>
      </c>
      <c r="E505" s="32"/>
      <c r="F505" s="35"/>
      <c r="G505" s="33" t="s">
        <v>5</v>
      </c>
      <c r="H505" s="33" t="s">
        <v>6</v>
      </c>
    </row>
    <row r="506" spans="1:8" ht="16.5">
      <c r="A506" s="33">
        <f>COUNTA($D$4:D506)</f>
        <v>444</v>
      </c>
      <c r="B506" s="35" t="str">
        <f t="shared" ref="B506" si="99">"Thiết lập quy tắc làm sạch " &amp;C506</f>
        <v>Thiết lập quy tắc làm sạch Thông tin hội nghị, hội thảo</v>
      </c>
      <c r="C506" s="47" t="s">
        <v>516</v>
      </c>
      <c r="D506" s="31" t="s">
        <v>28</v>
      </c>
      <c r="E506" s="32"/>
      <c r="F506" s="35"/>
      <c r="G506" s="33" t="s">
        <v>5</v>
      </c>
      <c r="H506" s="33" t="s">
        <v>7</v>
      </c>
    </row>
    <row r="507" spans="1:8" ht="16.5">
      <c r="A507" s="33">
        <f>COUNTA($D$4:D507)</f>
        <v>445</v>
      </c>
      <c r="B507" s="35" t="str">
        <f>"Thiết lập quy tắc chuẩn hóa " &amp;C507</f>
        <v>Thiết lập quy tắc chuẩn hóa Thông tin hội nghị, hội thảo</v>
      </c>
      <c r="C507" s="47" t="s">
        <v>516</v>
      </c>
      <c r="D507" s="31" t="s">
        <v>28</v>
      </c>
      <c r="E507" s="32"/>
      <c r="F507" s="35"/>
      <c r="G507" s="33" t="s">
        <v>5</v>
      </c>
      <c r="H507" s="33" t="s">
        <v>6</v>
      </c>
    </row>
    <row r="508" spans="1:8" ht="16.5">
      <c r="A508" s="33">
        <f>COUNTA($D$4:D508)</f>
        <v>446</v>
      </c>
      <c r="B508" s="35" t="str">
        <f>"Thiết lập quy tắc biến đổi " &amp;C508</f>
        <v>Thiết lập quy tắc biến đổi Thông tin hội nghị, hội thảo</v>
      </c>
      <c r="C508" s="47" t="s">
        <v>516</v>
      </c>
      <c r="D508" s="31" t="s">
        <v>28</v>
      </c>
      <c r="E508" s="32"/>
      <c r="F508" s="35"/>
      <c r="G508" s="33" t="s">
        <v>5</v>
      </c>
      <c r="H508" s="33" t="s">
        <v>6</v>
      </c>
    </row>
    <row r="509" spans="1:8" ht="33">
      <c r="A509" s="33">
        <f>COUNTA($D$4:D509)</f>
        <v>447</v>
      </c>
      <c r="B509" s="35" t="str">
        <f t="shared" ref="B509" si="100">"Thiết lập quy tắc làm sạch " &amp;C509</f>
        <v>Thiết lập quy tắc làm sạch Thông tin sản phẩm nghiên cứu, truyền thông</v>
      </c>
      <c r="C509" s="47" t="s">
        <v>517</v>
      </c>
      <c r="D509" s="31" t="s">
        <v>28</v>
      </c>
      <c r="E509" s="32"/>
      <c r="F509" s="35"/>
      <c r="G509" s="33" t="s">
        <v>5</v>
      </c>
      <c r="H509" s="33" t="s">
        <v>7</v>
      </c>
    </row>
    <row r="510" spans="1:8" ht="33">
      <c r="A510" s="33">
        <f>COUNTA($D$4:D510)</f>
        <v>448</v>
      </c>
      <c r="B510" s="35" t="str">
        <f>"Thiết lập quy tắc chuẩn hóa " &amp;C510</f>
        <v>Thiết lập quy tắc chuẩn hóa Thông tin sản phẩm nghiên cứu, truyền thông</v>
      </c>
      <c r="C510" s="47" t="s">
        <v>517</v>
      </c>
      <c r="D510" s="31" t="s">
        <v>28</v>
      </c>
      <c r="E510" s="32"/>
      <c r="F510" s="35"/>
      <c r="G510" s="33" t="s">
        <v>5</v>
      </c>
      <c r="H510" s="33" t="s">
        <v>6</v>
      </c>
    </row>
    <row r="511" spans="1:8" ht="33">
      <c r="A511" s="33">
        <f>COUNTA($D$4:D511)</f>
        <v>449</v>
      </c>
      <c r="B511" s="35" t="str">
        <f>"Thiết lập quy tắc biến đổi " &amp;C511</f>
        <v>Thiết lập quy tắc biến đổi Thông tin sản phẩm nghiên cứu, truyền thông</v>
      </c>
      <c r="C511" s="47" t="s">
        <v>517</v>
      </c>
      <c r="D511" s="31" t="s">
        <v>28</v>
      </c>
      <c r="E511" s="32"/>
      <c r="F511" s="35"/>
      <c r="G511" s="33" t="s">
        <v>5</v>
      </c>
      <c r="H511" s="33" t="s">
        <v>6</v>
      </c>
    </row>
    <row r="512" spans="1:8" ht="16.5">
      <c r="A512" s="33">
        <f>COUNTA($D$4:D512)</f>
        <v>450</v>
      </c>
      <c r="B512" s="35" t="str">
        <f t="shared" ref="B512" si="101">"Thiết lập quy tắc làm sạch " &amp;C512</f>
        <v>Thiết lập quy tắc làm sạch Thông tin Đoàn</v>
      </c>
      <c r="C512" s="47" t="s">
        <v>518</v>
      </c>
      <c r="D512" s="31" t="s">
        <v>28</v>
      </c>
      <c r="E512" s="32"/>
      <c r="F512" s="35"/>
      <c r="G512" s="33" t="s">
        <v>5</v>
      </c>
      <c r="H512" s="33" t="s">
        <v>7</v>
      </c>
    </row>
    <row r="513" spans="1:8" ht="16.5">
      <c r="A513" s="33">
        <f>COUNTA($D$4:D513)</f>
        <v>451</v>
      </c>
      <c r="B513" s="35" t="str">
        <f>"Thiết lập quy tắc chuẩn hóa " &amp;C513</f>
        <v>Thiết lập quy tắc chuẩn hóa Thông tin Đoàn</v>
      </c>
      <c r="C513" s="47" t="s">
        <v>518</v>
      </c>
      <c r="D513" s="31" t="s">
        <v>28</v>
      </c>
      <c r="E513" s="32"/>
      <c r="F513" s="35"/>
      <c r="G513" s="33" t="s">
        <v>5</v>
      </c>
      <c r="H513" s="33" t="s">
        <v>6</v>
      </c>
    </row>
    <row r="514" spans="1:8" ht="16.5">
      <c r="A514" s="33">
        <f>COUNTA($D$4:D514)</f>
        <v>452</v>
      </c>
      <c r="B514" s="35" t="str">
        <f>"Thiết lập quy tắc biến đổi " &amp;C514</f>
        <v>Thiết lập quy tắc biến đổi Thông tin Đoàn</v>
      </c>
      <c r="C514" s="47" t="s">
        <v>518</v>
      </c>
      <c r="D514" s="31" t="s">
        <v>28</v>
      </c>
      <c r="E514" s="32"/>
      <c r="F514" s="35"/>
      <c r="G514" s="33" t="s">
        <v>5</v>
      </c>
      <c r="H514" s="33" t="s">
        <v>6</v>
      </c>
    </row>
    <row r="515" spans="1:8" ht="16.5">
      <c r="A515" s="29" t="s">
        <v>13</v>
      </c>
      <c r="B515" s="30" t="s">
        <v>181</v>
      </c>
      <c r="C515" s="30"/>
      <c r="D515" s="31"/>
      <c r="E515" s="32"/>
      <c r="F515" s="32"/>
      <c r="G515" s="33"/>
      <c r="H515" s="33"/>
    </row>
    <row r="516" spans="1:8" ht="16.5">
      <c r="A516" s="38" t="s">
        <v>182</v>
      </c>
      <c r="B516" s="56" t="s">
        <v>183</v>
      </c>
      <c r="C516" s="25"/>
      <c r="D516" s="31"/>
      <c r="E516" s="32"/>
      <c r="F516" s="32"/>
      <c r="G516" s="33"/>
      <c r="H516" s="33"/>
    </row>
    <row r="517" spans="1:8" ht="66">
      <c r="A517" s="33">
        <f>COUNTA($D$4:D517)</f>
        <v>453</v>
      </c>
      <c r="B517" s="25" t="s">
        <v>184</v>
      </c>
      <c r="C517" s="25" t="s">
        <v>185</v>
      </c>
      <c r="D517" s="31" t="s">
        <v>28</v>
      </c>
      <c r="E517" s="32"/>
      <c r="F517" s="35" t="s">
        <v>336</v>
      </c>
      <c r="G517" s="33" t="s">
        <v>5</v>
      </c>
      <c r="H517" s="31" t="s">
        <v>7</v>
      </c>
    </row>
    <row r="518" spans="1:8" ht="132">
      <c r="A518" s="33">
        <f>COUNTA($D$4:D518)</f>
        <v>454</v>
      </c>
      <c r="B518" s="25" t="s">
        <v>186</v>
      </c>
      <c r="C518" s="25" t="s">
        <v>187</v>
      </c>
      <c r="D518" s="31" t="s">
        <v>28</v>
      </c>
      <c r="E518" s="32"/>
      <c r="F518" s="35" t="s">
        <v>337</v>
      </c>
      <c r="G518" s="33" t="s">
        <v>5</v>
      </c>
      <c r="H518" s="31" t="s">
        <v>8</v>
      </c>
    </row>
    <row r="519" spans="1:8" ht="82.5">
      <c r="A519" s="33">
        <f>COUNTA($D$4:D519)</f>
        <v>455</v>
      </c>
      <c r="B519" s="25" t="s">
        <v>188</v>
      </c>
      <c r="C519" s="25" t="s">
        <v>189</v>
      </c>
      <c r="D519" s="31" t="s">
        <v>28</v>
      </c>
      <c r="E519" s="32"/>
      <c r="F519" s="35" t="s">
        <v>477</v>
      </c>
      <c r="G519" s="33" t="s">
        <v>5</v>
      </c>
      <c r="H519" s="31" t="s">
        <v>8</v>
      </c>
    </row>
    <row r="520" spans="1:8" ht="82.5">
      <c r="A520" s="33">
        <f>COUNTA($D$4:D520)</f>
        <v>456</v>
      </c>
      <c r="B520" s="25" t="s">
        <v>190</v>
      </c>
      <c r="C520" s="25" t="s">
        <v>191</v>
      </c>
      <c r="D520" s="31" t="s">
        <v>28</v>
      </c>
      <c r="E520" s="32"/>
      <c r="F520" s="35" t="s">
        <v>422</v>
      </c>
      <c r="G520" s="33" t="s">
        <v>5</v>
      </c>
      <c r="H520" s="31" t="s">
        <v>7</v>
      </c>
    </row>
    <row r="521" spans="1:8" ht="115.5">
      <c r="A521" s="33">
        <f>COUNTA($D$4:D521)</f>
        <v>457</v>
      </c>
      <c r="B521" s="25" t="s">
        <v>192</v>
      </c>
      <c r="C521" s="25"/>
      <c r="D521" s="25" t="s">
        <v>193</v>
      </c>
      <c r="E521" s="32"/>
      <c r="F521" s="35" t="s">
        <v>341</v>
      </c>
      <c r="G521" s="33" t="s">
        <v>5</v>
      </c>
      <c r="H521" s="31" t="s">
        <v>6</v>
      </c>
    </row>
    <row r="522" spans="1:8" ht="115.5">
      <c r="A522" s="33">
        <f>COUNTA($D$4:D522)</f>
        <v>458</v>
      </c>
      <c r="B522" s="25" t="s">
        <v>338</v>
      </c>
      <c r="C522" s="25"/>
      <c r="D522" s="25" t="s">
        <v>193</v>
      </c>
      <c r="E522" s="32"/>
      <c r="F522" s="35" t="s">
        <v>342</v>
      </c>
      <c r="G522" s="33" t="s">
        <v>5</v>
      </c>
      <c r="H522" s="31" t="s">
        <v>6</v>
      </c>
    </row>
    <row r="523" spans="1:8" ht="132">
      <c r="A523" s="33">
        <f>COUNTA($D$4:D523)</f>
        <v>459</v>
      </c>
      <c r="B523" s="25" t="s">
        <v>339</v>
      </c>
      <c r="C523" s="25"/>
      <c r="D523" s="25" t="s">
        <v>193</v>
      </c>
      <c r="E523" s="32"/>
      <c r="F523" s="35" t="s">
        <v>343</v>
      </c>
      <c r="G523" s="33" t="s">
        <v>5</v>
      </c>
      <c r="H523" s="31" t="s">
        <v>6</v>
      </c>
    </row>
    <row r="524" spans="1:8" ht="66">
      <c r="A524" s="33">
        <f>COUNTA($D$4:D524)</f>
        <v>460</v>
      </c>
      <c r="B524" s="25" t="s">
        <v>194</v>
      </c>
      <c r="C524" s="25"/>
      <c r="D524" s="25" t="s">
        <v>28</v>
      </c>
      <c r="E524" s="32"/>
      <c r="F524" s="35" t="s">
        <v>344</v>
      </c>
      <c r="G524" s="33" t="s">
        <v>5</v>
      </c>
      <c r="H524" s="31" t="s">
        <v>6</v>
      </c>
    </row>
    <row r="525" spans="1:8" ht="115.5">
      <c r="A525" s="33">
        <f>COUNTA($D$4:D525)</f>
        <v>461</v>
      </c>
      <c r="B525" s="25" t="s">
        <v>340</v>
      </c>
      <c r="C525" s="25"/>
      <c r="D525" s="25" t="s">
        <v>193</v>
      </c>
      <c r="E525" s="32"/>
      <c r="F525" s="35" t="s">
        <v>345</v>
      </c>
      <c r="G525" s="33" t="s">
        <v>5</v>
      </c>
      <c r="H525" s="31" t="s">
        <v>7</v>
      </c>
    </row>
    <row r="526" spans="1:8" ht="16.5">
      <c r="A526" s="38" t="s">
        <v>195</v>
      </c>
      <c r="B526" s="56" t="s">
        <v>331</v>
      </c>
      <c r="C526" s="25"/>
      <c r="D526" s="31"/>
      <c r="E526" s="32"/>
      <c r="F526" s="32"/>
      <c r="G526" s="33"/>
      <c r="H526" s="31"/>
    </row>
    <row r="527" spans="1:8" ht="16.5">
      <c r="A527" s="33">
        <f>COUNTA($D$4:D527)</f>
        <v>462</v>
      </c>
      <c r="B527" s="25" t="s">
        <v>332</v>
      </c>
      <c r="C527" s="25"/>
      <c r="D527" s="25" t="s">
        <v>28</v>
      </c>
      <c r="E527" s="32"/>
      <c r="F527" s="25" t="s">
        <v>196</v>
      </c>
      <c r="G527" s="33" t="s">
        <v>5</v>
      </c>
      <c r="H527" s="31" t="s">
        <v>7</v>
      </c>
    </row>
    <row r="528" spans="1:8" ht="16.5">
      <c r="A528" s="33">
        <f>COUNTA($D$4:D528)</f>
        <v>463</v>
      </c>
      <c r="B528" s="25" t="s">
        <v>197</v>
      </c>
      <c r="C528" s="25"/>
      <c r="D528" s="25" t="s">
        <v>28</v>
      </c>
      <c r="E528" s="32"/>
      <c r="F528" s="25" t="s">
        <v>198</v>
      </c>
      <c r="G528" s="33" t="s">
        <v>5</v>
      </c>
      <c r="H528" s="31" t="s">
        <v>6</v>
      </c>
    </row>
    <row r="529" spans="1:8" ht="16.5">
      <c r="A529" s="33">
        <f>COUNTA($D$4:D529)</f>
        <v>464</v>
      </c>
      <c r="B529" s="25" t="s">
        <v>199</v>
      </c>
      <c r="C529" s="25"/>
      <c r="D529" s="25" t="s">
        <v>28</v>
      </c>
      <c r="E529" s="32"/>
      <c r="F529" s="25" t="s">
        <v>200</v>
      </c>
      <c r="G529" s="33" t="s">
        <v>5</v>
      </c>
      <c r="H529" s="31" t="s">
        <v>7</v>
      </c>
    </row>
    <row r="530" spans="1:8" ht="33">
      <c r="A530" s="33">
        <f>COUNTA($D$4:D530)</f>
        <v>465</v>
      </c>
      <c r="B530" s="25" t="s">
        <v>201</v>
      </c>
      <c r="C530" s="25"/>
      <c r="D530" s="25" t="s">
        <v>193</v>
      </c>
      <c r="E530" s="32"/>
      <c r="F530" s="25" t="s">
        <v>202</v>
      </c>
      <c r="G530" s="33" t="s">
        <v>5</v>
      </c>
      <c r="H530" s="31" t="s">
        <v>6</v>
      </c>
    </row>
    <row r="531" spans="1:8" ht="16.5">
      <c r="A531" s="33">
        <f>COUNTA($D$4:D531)</f>
        <v>466</v>
      </c>
      <c r="B531" s="25" t="s">
        <v>203</v>
      </c>
      <c r="C531" s="25"/>
      <c r="D531" s="25" t="s">
        <v>193</v>
      </c>
      <c r="E531" s="32"/>
      <c r="F531" s="25" t="s">
        <v>204</v>
      </c>
      <c r="G531" s="33" t="s">
        <v>5</v>
      </c>
      <c r="H531" s="31" t="s">
        <v>6</v>
      </c>
    </row>
    <row r="532" spans="1:8" ht="16.5">
      <c r="A532" s="38" t="s">
        <v>205</v>
      </c>
      <c r="B532" s="56" t="s">
        <v>206</v>
      </c>
      <c r="C532" s="25"/>
      <c r="D532" s="25"/>
      <c r="E532" s="32"/>
      <c r="F532" s="32"/>
      <c r="G532" s="33"/>
      <c r="H532" s="31"/>
    </row>
    <row r="533" spans="1:8" ht="16.5">
      <c r="A533" s="33">
        <f>COUNTA($D$4:D533)</f>
        <v>467</v>
      </c>
      <c r="B533" s="25" t="s">
        <v>207</v>
      </c>
      <c r="C533" s="25"/>
      <c r="D533" s="25" t="s">
        <v>28</v>
      </c>
      <c r="E533" s="32"/>
      <c r="F533" s="25" t="s">
        <v>208</v>
      </c>
      <c r="G533" s="33" t="s">
        <v>5</v>
      </c>
      <c r="H533" s="31" t="s">
        <v>6</v>
      </c>
    </row>
    <row r="534" spans="1:8" ht="16.5">
      <c r="A534" s="33">
        <f>COUNTA($D$4:D534)</f>
        <v>468</v>
      </c>
      <c r="B534" s="25" t="s">
        <v>209</v>
      </c>
      <c r="C534" s="25"/>
      <c r="D534" s="25" t="s">
        <v>28</v>
      </c>
      <c r="E534" s="32"/>
      <c r="F534" s="25" t="s">
        <v>210</v>
      </c>
      <c r="G534" s="33" t="s">
        <v>5</v>
      </c>
      <c r="H534" s="31" t="s">
        <v>6</v>
      </c>
    </row>
    <row r="535" spans="1:8" ht="16.5">
      <c r="A535" s="33">
        <f>COUNTA($D$4:D535)</f>
        <v>469</v>
      </c>
      <c r="B535" s="25" t="s">
        <v>211</v>
      </c>
      <c r="C535" s="25"/>
      <c r="D535" s="25" t="s">
        <v>28</v>
      </c>
      <c r="E535" s="32"/>
      <c r="F535" s="25" t="s">
        <v>212</v>
      </c>
      <c r="G535" s="33" t="s">
        <v>5</v>
      </c>
      <c r="H535" s="31" t="s">
        <v>7</v>
      </c>
    </row>
    <row r="536" spans="1:8" ht="16.5">
      <c r="A536" s="33">
        <f>COUNTA($D$4:D536)</f>
        <v>470</v>
      </c>
      <c r="B536" s="25" t="s">
        <v>213</v>
      </c>
      <c r="C536" s="25"/>
      <c r="D536" s="25" t="s">
        <v>28</v>
      </c>
      <c r="E536" s="32"/>
      <c r="F536" s="25" t="s">
        <v>214</v>
      </c>
      <c r="G536" s="33" t="s">
        <v>5</v>
      </c>
      <c r="H536" s="31" t="s">
        <v>7</v>
      </c>
    </row>
    <row r="537" spans="1:8" ht="16.5">
      <c r="A537" s="33">
        <f>COUNTA($D$4:D537)</f>
        <v>471</v>
      </c>
      <c r="B537" s="25" t="s">
        <v>215</v>
      </c>
      <c r="C537" s="25"/>
      <c r="D537" s="25" t="s">
        <v>28</v>
      </c>
      <c r="E537" s="32"/>
      <c r="F537" s="25" t="s">
        <v>216</v>
      </c>
      <c r="G537" s="33" t="s">
        <v>5</v>
      </c>
      <c r="H537" s="31" t="s">
        <v>7</v>
      </c>
    </row>
    <row r="538" spans="1:8" ht="16.5">
      <c r="A538" s="33">
        <f>COUNTA($D$4:D538)</f>
        <v>472</v>
      </c>
      <c r="B538" s="25" t="s">
        <v>217</v>
      </c>
      <c r="C538" s="25"/>
      <c r="D538" s="25" t="s">
        <v>28</v>
      </c>
      <c r="E538" s="32"/>
      <c r="F538" s="25"/>
      <c r="G538" s="33" t="s">
        <v>5</v>
      </c>
      <c r="H538" s="31" t="s">
        <v>6</v>
      </c>
    </row>
    <row r="539" spans="1:8" ht="16.5">
      <c r="A539" s="33">
        <f>COUNTA($D$4:D539)</f>
        <v>473</v>
      </c>
      <c r="B539" s="25" t="s">
        <v>218</v>
      </c>
      <c r="C539" s="32"/>
      <c r="D539" s="25" t="s">
        <v>28</v>
      </c>
      <c r="E539" s="32"/>
      <c r="F539" s="32"/>
      <c r="G539" s="33" t="s">
        <v>5</v>
      </c>
      <c r="H539" s="31" t="s">
        <v>6</v>
      </c>
    </row>
    <row r="540" spans="1:8" ht="16.5">
      <c r="A540" s="29" t="s">
        <v>14</v>
      </c>
      <c r="B540" s="30" t="s">
        <v>219</v>
      </c>
      <c r="C540" s="30"/>
      <c r="D540" s="25"/>
      <c r="E540" s="32"/>
      <c r="F540" s="32"/>
      <c r="G540" s="33"/>
      <c r="H540" s="31"/>
    </row>
    <row r="541" spans="1:8" ht="16.5">
      <c r="A541" s="38" t="s">
        <v>220</v>
      </c>
      <c r="B541" s="56" t="s">
        <v>221</v>
      </c>
      <c r="C541" s="31"/>
      <c r="D541" s="25"/>
      <c r="E541" s="32"/>
      <c r="F541" s="32"/>
      <c r="G541" s="33"/>
      <c r="H541" s="31"/>
    </row>
    <row r="542" spans="1:8" ht="33">
      <c r="A542" s="33">
        <f>COUNTA($D$4:D542)</f>
        <v>474</v>
      </c>
      <c r="B542" s="35" t="s">
        <v>221</v>
      </c>
      <c r="C542" s="32"/>
      <c r="D542" s="25" t="s">
        <v>28</v>
      </c>
      <c r="E542" s="32"/>
      <c r="F542" s="35" t="s">
        <v>222</v>
      </c>
      <c r="G542" s="33" t="s">
        <v>5</v>
      </c>
      <c r="H542" s="31" t="s">
        <v>7</v>
      </c>
    </row>
    <row r="543" spans="1:8" ht="66">
      <c r="A543" s="33">
        <f>COUNTA($D$4:D543)</f>
        <v>475</v>
      </c>
      <c r="B543" s="35" t="s">
        <v>479</v>
      </c>
      <c r="C543" s="32"/>
      <c r="D543" s="25" t="s">
        <v>28</v>
      </c>
      <c r="E543" s="32"/>
      <c r="F543" s="35" t="s">
        <v>423</v>
      </c>
      <c r="G543" s="33" t="s">
        <v>5</v>
      </c>
      <c r="H543" s="31" t="s">
        <v>7</v>
      </c>
    </row>
    <row r="544" spans="1:8" ht="33">
      <c r="A544" s="33">
        <f>COUNTA($D$4:D544)</f>
        <v>476</v>
      </c>
      <c r="B544" s="35" t="s">
        <v>368</v>
      </c>
      <c r="C544" s="32"/>
      <c r="D544" s="25" t="s">
        <v>28</v>
      </c>
      <c r="E544" s="32"/>
      <c r="F544" s="35" t="s">
        <v>223</v>
      </c>
      <c r="G544" s="33" t="s">
        <v>5</v>
      </c>
      <c r="H544" s="31" t="s">
        <v>7</v>
      </c>
    </row>
    <row r="545" spans="1:8" ht="16.5">
      <c r="A545" s="38" t="s">
        <v>224</v>
      </c>
      <c r="B545" s="56" t="s">
        <v>225</v>
      </c>
      <c r="C545" s="32"/>
      <c r="D545" s="25"/>
      <c r="E545" s="32"/>
      <c r="F545" s="32"/>
      <c r="G545" s="33"/>
      <c r="H545" s="33"/>
    </row>
    <row r="546" spans="1:8" ht="33">
      <c r="A546" s="33">
        <f>COUNTA($D$4:D546)</f>
        <v>477</v>
      </c>
      <c r="B546" s="35" t="s">
        <v>226</v>
      </c>
      <c r="C546" s="32"/>
      <c r="D546" s="25" t="s">
        <v>227</v>
      </c>
      <c r="E546" s="32"/>
      <c r="F546" s="35" t="s">
        <v>228</v>
      </c>
      <c r="G546" s="33" t="s">
        <v>5</v>
      </c>
      <c r="H546" s="31" t="s">
        <v>6</v>
      </c>
    </row>
    <row r="547" spans="1:8" ht="33">
      <c r="A547" s="33">
        <f>COUNTA($D$4:D547)</f>
        <v>478</v>
      </c>
      <c r="B547" s="35" t="s">
        <v>229</v>
      </c>
      <c r="C547" s="32"/>
      <c r="D547" s="25" t="s">
        <v>28</v>
      </c>
      <c r="E547" s="32"/>
      <c r="F547" s="35" t="s">
        <v>390</v>
      </c>
      <c r="G547" s="33" t="s">
        <v>5</v>
      </c>
      <c r="H547" s="31" t="s">
        <v>7</v>
      </c>
    </row>
    <row r="548" spans="1:8" ht="82.5">
      <c r="A548" s="33">
        <f>COUNTA($D$4:D548)</f>
        <v>479</v>
      </c>
      <c r="B548" s="35" t="s">
        <v>230</v>
      </c>
      <c r="C548" s="32"/>
      <c r="D548" s="25" t="s">
        <v>231</v>
      </c>
      <c r="E548" s="32"/>
      <c r="F548" s="35" t="s">
        <v>232</v>
      </c>
      <c r="G548" s="33" t="s">
        <v>5</v>
      </c>
      <c r="H548" s="31" t="s">
        <v>6</v>
      </c>
    </row>
    <row r="549" spans="1:8" ht="33">
      <c r="A549" s="33">
        <f>COUNTA($D$4:D549)</f>
        <v>480</v>
      </c>
      <c r="B549" s="35" t="s">
        <v>233</v>
      </c>
      <c r="C549" s="32"/>
      <c r="D549" s="25" t="s">
        <v>227</v>
      </c>
      <c r="E549" s="32"/>
      <c r="F549" s="35" t="s">
        <v>234</v>
      </c>
      <c r="G549" s="33" t="s">
        <v>5</v>
      </c>
      <c r="H549" s="31" t="s">
        <v>7</v>
      </c>
    </row>
    <row r="550" spans="1:8" ht="16.5">
      <c r="A550" s="38" t="s">
        <v>235</v>
      </c>
      <c r="B550" s="39" t="s">
        <v>369</v>
      </c>
      <c r="C550" s="32"/>
      <c r="D550" s="25"/>
      <c r="E550" s="32"/>
      <c r="F550" s="32"/>
      <c r="G550" s="33"/>
      <c r="H550" s="33"/>
    </row>
    <row r="551" spans="1:8" ht="33">
      <c r="A551" s="33">
        <f>COUNTA($D$4:D551)</f>
        <v>481</v>
      </c>
      <c r="B551" s="35" t="s">
        <v>236</v>
      </c>
      <c r="C551" s="32"/>
      <c r="D551" s="25" t="s">
        <v>28</v>
      </c>
      <c r="E551" s="32"/>
      <c r="F551" s="35" t="s">
        <v>237</v>
      </c>
      <c r="G551" s="33" t="s">
        <v>5</v>
      </c>
      <c r="H551" s="31" t="s">
        <v>7</v>
      </c>
    </row>
    <row r="552" spans="1:8" ht="16.5">
      <c r="A552" s="33">
        <f>COUNTA($D$4:D552)</f>
        <v>482</v>
      </c>
      <c r="B552" s="35" t="s">
        <v>369</v>
      </c>
      <c r="C552" s="32"/>
      <c r="D552" s="25" t="s">
        <v>28</v>
      </c>
      <c r="E552" s="32"/>
      <c r="F552" s="35"/>
      <c r="G552" s="33" t="s">
        <v>5</v>
      </c>
      <c r="H552" s="31" t="s">
        <v>7</v>
      </c>
    </row>
    <row r="553" spans="1:8" ht="16.5">
      <c r="A553" s="33">
        <f>COUNTA($D$4:D553)</f>
        <v>483</v>
      </c>
      <c r="B553" s="35" t="s">
        <v>238</v>
      </c>
      <c r="C553" s="32"/>
      <c r="D553" s="25" t="s">
        <v>28</v>
      </c>
      <c r="E553" s="32"/>
      <c r="F553" s="35" t="s">
        <v>239</v>
      </c>
      <c r="G553" s="33" t="s">
        <v>5</v>
      </c>
      <c r="H553" s="31" t="s">
        <v>7</v>
      </c>
    </row>
    <row r="554" spans="1:8" ht="33">
      <c r="A554" s="33">
        <f>COUNTA($D$4:D554)</f>
        <v>484</v>
      </c>
      <c r="B554" s="35" t="s">
        <v>240</v>
      </c>
      <c r="C554" s="32"/>
      <c r="D554" s="25" t="s">
        <v>28</v>
      </c>
      <c r="E554" s="32"/>
      <c r="F554" s="35" t="s">
        <v>241</v>
      </c>
      <c r="G554" s="33" t="s">
        <v>5</v>
      </c>
      <c r="H554" s="31" t="s">
        <v>6</v>
      </c>
    </row>
    <row r="555" spans="1:8" ht="16.5">
      <c r="A555" s="29" t="s">
        <v>242</v>
      </c>
      <c r="B555" s="30" t="s">
        <v>243</v>
      </c>
      <c r="C555" s="30"/>
      <c r="D555" s="25"/>
      <c r="E555" s="32"/>
      <c r="F555" s="32"/>
      <c r="G555" s="33"/>
      <c r="H555" s="31"/>
    </row>
    <row r="556" spans="1:8" ht="16.5">
      <c r="A556" s="38" t="s">
        <v>244</v>
      </c>
      <c r="B556" s="39" t="s">
        <v>245</v>
      </c>
      <c r="C556" s="32"/>
      <c r="D556" s="25"/>
      <c r="E556" s="32"/>
      <c r="F556" s="32"/>
      <c r="G556" s="33"/>
      <c r="H556" s="33"/>
    </row>
    <row r="557" spans="1:8" ht="33">
      <c r="A557" s="33">
        <f>COUNTA($D$4:D557)</f>
        <v>485</v>
      </c>
      <c r="B557" s="35" t="s">
        <v>246</v>
      </c>
      <c r="C557" s="32"/>
      <c r="D557" s="25" t="s">
        <v>28</v>
      </c>
      <c r="E557" s="25"/>
      <c r="F557" s="25" t="s">
        <v>247</v>
      </c>
      <c r="G557" s="33" t="s">
        <v>5</v>
      </c>
      <c r="H557" s="31" t="s">
        <v>6</v>
      </c>
    </row>
    <row r="558" spans="1:8" ht="16.5">
      <c r="A558" s="33">
        <f>COUNTA($D$4:D558)</f>
        <v>486</v>
      </c>
      <c r="B558" s="35" t="s">
        <v>248</v>
      </c>
      <c r="C558" s="32"/>
      <c r="D558" s="25" t="s">
        <v>28</v>
      </c>
      <c r="E558" s="25"/>
      <c r="F558" s="25" t="s">
        <v>249</v>
      </c>
      <c r="G558" s="33" t="s">
        <v>5</v>
      </c>
      <c r="H558" s="31" t="s">
        <v>7</v>
      </c>
    </row>
    <row r="559" spans="1:8" ht="33">
      <c r="A559" s="33">
        <f>COUNTA($D$4:D559)</f>
        <v>487</v>
      </c>
      <c r="B559" s="35" t="s">
        <v>250</v>
      </c>
      <c r="C559" s="32"/>
      <c r="D559" s="25" t="s">
        <v>28</v>
      </c>
      <c r="E559" s="25"/>
      <c r="F559" s="25" t="s">
        <v>251</v>
      </c>
      <c r="G559" s="33" t="s">
        <v>5</v>
      </c>
      <c r="H559" s="31" t="s">
        <v>6</v>
      </c>
    </row>
    <row r="560" spans="1:8" ht="16.5">
      <c r="A560" s="33">
        <f>COUNTA($D$4:D560)</f>
        <v>488</v>
      </c>
      <c r="B560" s="35" t="s">
        <v>252</v>
      </c>
      <c r="C560" s="32"/>
      <c r="D560" s="25" t="s">
        <v>28</v>
      </c>
      <c r="E560" s="25"/>
      <c r="F560" s="25" t="s">
        <v>253</v>
      </c>
      <c r="G560" s="33" t="s">
        <v>5</v>
      </c>
      <c r="H560" s="31" t="s">
        <v>7</v>
      </c>
    </row>
    <row r="561" spans="1:8" ht="16.5">
      <c r="A561" s="33">
        <f>COUNTA($D$4:D561)</f>
        <v>489</v>
      </c>
      <c r="B561" s="35" t="s">
        <v>480</v>
      </c>
      <c r="C561" s="32"/>
      <c r="D561" s="25" t="s">
        <v>28</v>
      </c>
      <c r="E561" s="25"/>
      <c r="F561" s="25" t="s">
        <v>254</v>
      </c>
      <c r="G561" s="33" t="s">
        <v>5</v>
      </c>
      <c r="H561" s="31" t="s">
        <v>7</v>
      </c>
    </row>
    <row r="562" spans="1:8" ht="16.5">
      <c r="A562" s="33">
        <f>COUNTA($D$4:D562)</f>
        <v>490</v>
      </c>
      <c r="B562" s="35" t="s">
        <v>255</v>
      </c>
      <c r="C562" s="32"/>
      <c r="D562" s="25" t="s">
        <v>231</v>
      </c>
      <c r="E562" s="25"/>
      <c r="F562" s="25" t="s">
        <v>256</v>
      </c>
      <c r="G562" s="33" t="s">
        <v>5</v>
      </c>
      <c r="H562" s="31" t="s">
        <v>7</v>
      </c>
    </row>
    <row r="563" spans="1:8" ht="16.5">
      <c r="A563" s="38" t="s">
        <v>257</v>
      </c>
      <c r="B563" s="39" t="s">
        <v>258</v>
      </c>
      <c r="C563" s="32"/>
      <c r="D563" s="25"/>
      <c r="E563" s="32"/>
      <c r="F563" s="32"/>
      <c r="G563" s="33"/>
      <c r="H563" s="33"/>
    </row>
    <row r="564" spans="1:8" ht="33">
      <c r="A564" s="33">
        <f>COUNTA($D$4:D564)</f>
        <v>491</v>
      </c>
      <c r="B564" s="35" t="s">
        <v>259</v>
      </c>
      <c r="C564" s="32"/>
      <c r="D564" s="31" t="s">
        <v>227</v>
      </c>
      <c r="E564" s="25"/>
      <c r="F564" s="25" t="s">
        <v>260</v>
      </c>
      <c r="G564" s="33" t="s">
        <v>5</v>
      </c>
      <c r="H564" s="31" t="s">
        <v>7</v>
      </c>
    </row>
    <row r="565" spans="1:8" ht="16.5">
      <c r="A565" s="33">
        <f>COUNTA($D$4:D565)</f>
        <v>492</v>
      </c>
      <c r="B565" s="35" t="s">
        <v>261</v>
      </c>
      <c r="C565" s="32"/>
      <c r="D565" s="31" t="s">
        <v>231</v>
      </c>
      <c r="E565" s="25"/>
      <c r="F565" s="25" t="s">
        <v>262</v>
      </c>
      <c r="G565" s="33" t="s">
        <v>5</v>
      </c>
      <c r="H565" s="31" t="s">
        <v>7</v>
      </c>
    </row>
    <row r="566" spans="1:8" ht="16.5">
      <c r="A566" s="33">
        <f>COUNTA($D$4:D566)</f>
        <v>493</v>
      </c>
      <c r="B566" s="35" t="s">
        <v>263</v>
      </c>
      <c r="C566" s="32"/>
      <c r="D566" s="31" t="s">
        <v>231</v>
      </c>
      <c r="E566" s="25"/>
      <c r="F566" s="25" t="s">
        <v>264</v>
      </c>
      <c r="G566" s="33" t="s">
        <v>5</v>
      </c>
      <c r="H566" s="31" t="s">
        <v>6</v>
      </c>
    </row>
    <row r="567" spans="1:8" ht="16.5">
      <c r="A567" s="33">
        <f>COUNTA($D$4:D567)</f>
        <v>494</v>
      </c>
      <c r="B567" s="35" t="s">
        <v>265</v>
      </c>
      <c r="C567" s="32"/>
      <c r="D567" s="31" t="s">
        <v>231</v>
      </c>
      <c r="E567" s="25"/>
      <c r="F567" s="25" t="s">
        <v>266</v>
      </c>
      <c r="G567" s="33" t="s">
        <v>5</v>
      </c>
      <c r="H567" s="31" t="s">
        <v>6</v>
      </c>
    </row>
    <row r="568" spans="1:8" ht="16.5">
      <c r="A568" s="33">
        <f>COUNTA($D$4:D568)</f>
        <v>495</v>
      </c>
      <c r="B568" s="35" t="s">
        <v>267</v>
      </c>
      <c r="C568" s="32"/>
      <c r="D568" s="31" t="s">
        <v>227</v>
      </c>
      <c r="E568" s="25"/>
      <c r="F568" s="25" t="s">
        <v>268</v>
      </c>
      <c r="G568" s="33" t="s">
        <v>5</v>
      </c>
      <c r="H568" s="31" t="s">
        <v>6</v>
      </c>
    </row>
    <row r="569" spans="1:8" ht="16.5">
      <c r="A569" s="33">
        <f>COUNTA($D$4:D569)</f>
        <v>496</v>
      </c>
      <c r="B569" s="35" t="s">
        <v>269</v>
      </c>
      <c r="C569" s="32"/>
      <c r="D569" s="31" t="s">
        <v>227</v>
      </c>
      <c r="E569" s="25"/>
      <c r="F569" s="25" t="s">
        <v>270</v>
      </c>
      <c r="G569" s="33" t="s">
        <v>5</v>
      </c>
      <c r="H569" s="31" t="s">
        <v>6</v>
      </c>
    </row>
    <row r="570" spans="1:8" ht="16.5">
      <c r="A570" s="33">
        <f>COUNTA($D$4:D570)</f>
        <v>497</v>
      </c>
      <c r="B570" s="35" t="s">
        <v>271</v>
      </c>
      <c r="C570" s="32"/>
      <c r="D570" s="31" t="s">
        <v>227</v>
      </c>
      <c r="E570" s="25"/>
      <c r="F570" s="25" t="s">
        <v>272</v>
      </c>
      <c r="G570" s="33" t="s">
        <v>5</v>
      </c>
      <c r="H570" s="31" t="s">
        <v>6</v>
      </c>
    </row>
    <row r="571" spans="1:8" ht="33">
      <c r="A571" s="33">
        <f>COUNTA($D$4:D571)</f>
        <v>498</v>
      </c>
      <c r="B571" s="35" t="s">
        <v>273</v>
      </c>
      <c r="C571" s="32"/>
      <c r="D571" s="31" t="s">
        <v>227</v>
      </c>
      <c r="E571" s="25"/>
      <c r="F571" s="25" t="s">
        <v>274</v>
      </c>
      <c r="G571" s="33" t="s">
        <v>5</v>
      </c>
      <c r="H571" s="31" t="s">
        <v>6</v>
      </c>
    </row>
    <row r="572" spans="1:8" ht="16.5">
      <c r="A572" s="38" t="s">
        <v>275</v>
      </c>
      <c r="B572" s="39" t="s">
        <v>370</v>
      </c>
      <c r="C572" s="32"/>
      <c r="D572" s="31"/>
      <c r="E572" s="32"/>
      <c r="F572" s="32"/>
      <c r="G572" s="33"/>
      <c r="H572" s="33"/>
    </row>
    <row r="573" spans="1:8" ht="16.5">
      <c r="A573" s="33">
        <f>COUNTA($D$4:D573)</f>
        <v>499</v>
      </c>
      <c r="B573" s="35" t="s">
        <v>276</v>
      </c>
      <c r="C573" s="32"/>
      <c r="D573" s="31" t="s">
        <v>277</v>
      </c>
      <c r="E573" s="25"/>
      <c r="F573" s="25" t="s">
        <v>278</v>
      </c>
      <c r="G573" s="33" t="s">
        <v>5</v>
      </c>
      <c r="H573" s="31" t="s">
        <v>6</v>
      </c>
    </row>
    <row r="574" spans="1:8" ht="16.5">
      <c r="A574" s="33">
        <f>COUNTA($D$4:D574)</f>
        <v>500</v>
      </c>
      <c r="B574" s="35" t="s">
        <v>279</v>
      </c>
      <c r="C574" s="32"/>
      <c r="D574" s="31" t="s">
        <v>277</v>
      </c>
      <c r="E574" s="25"/>
      <c r="F574" s="25" t="s">
        <v>280</v>
      </c>
      <c r="G574" s="33" t="s">
        <v>5</v>
      </c>
      <c r="H574" s="31" t="s">
        <v>7</v>
      </c>
    </row>
    <row r="575" spans="1:8" ht="16.5">
      <c r="A575" s="33">
        <f>COUNTA($D$4:D575)</f>
        <v>501</v>
      </c>
      <c r="B575" s="35" t="s">
        <v>281</v>
      </c>
      <c r="C575" s="32"/>
      <c r="D575" s="31" t="s">
        <v>277</v>
      </c>
      <c r="E575" s="25"/>
      <c r="F575" s="25" t="s">
        <v>282</v>
      </c>
      <c r="G575" s="33" t="s">
        <v>5</v>
      </c>
      <c r="H575" s="31" t="s">
        <v>6</v>
      </c>
    </row>
    <row r="576" spans="1:8" ht="16.5">
      <c r="A576" s="29" t="s">
        <v>283</v>
      </c>
      <c r="B576" s="30" t="s">
        <v>284</v>
      </c>
      <c r="C576" s="30"/>
      <c r="D576" s="31"/>
      <c r="E576" s="32"/>
      <c r="F576" s="32"/>
      <c r="G576" s="33"/>
      <c r="H576" s="31"/>
    </row>
    <row r="577" spans="1:8" ht="16.5">
      <c r="A577" s="38" t="s">
        <v>285</v>
      </c>
      <c r="B577" s="39" t="s">
        <v>286</v>
      </c>
      <c r="C577" s="32"/>
      <c r="D577" s="31"/>
      <c r="E577" s="32"/>
      <c r="F577" s="32"/>
      <c r="G577" s="33"/>
      <c r="H577" s="33"/>
    </row>
    <row r="578" spans="1:8" ht="49.5">
      <c r="A578" s="33">
        <f>COUNTA($D$4:D578)</f>
        <v>502</v>
      </c>
      <c r="B578" s="35" t="s">
        <v>287</v>
      </c>
      <c r="C578" s="32"/>
      <c r="D578" s="31" t="s">
        <v>28</v>
      </c>
      <c r="E578" s="32"/>
      <c r="F578" s="35" t="s">
        <v>288</v>
      </c>
      <c r="G578" s="33" t="s">
        <v>5</v>
      </c>
      <c r="H578" s="31" t="s">
        <v>7</v>
      </c>
    </row>
    <row r="579" spans="1:8" ht="33">
      <c r="A579" s="33">
        <f>COUNTA($D$4:D579)</f>
        <v>503</v>
      </c>
      <c r="B579" s="35" t="s">
        <v>289</v>
      </c>
      <c r="C579" s="32"/>
      <c r="D579" s="31" t="s">
        <v>193</v>
      </c>
      <c r="E579" s="32"/>
      <c r="F579" s="35" t="s">
        <v>290</v>
      </c>
      <c r="G579" s="33" t="s">
        <v>5</v>
      </c>
      <c r="H579" s="31" t="s">
        <v>7</v>
      </c>
    </row>
    <row r="580" spans="1:8" ht="33">
      <c r="A580" s="33">
        <f>COUNTA($D$4:D580)</f>
        <v>504</v>
      </c>
      <c r="B580" s="35" t="s">
        <v>291</v>
      </c>
      <c r="C580" s="32"/>
      <c r="D580" s="31" t="s">
        <v>193</v>
      </c>
      <c r="E580" s="32"/>
      <c r="F580" s="35" t="s">
        <v>292</v>
      </c>
      <c r="G580" s="33" t="s">
        <v>5</v>
      </c>
      <c r="H580" s="31" t="s">
        <v>6</v>
      </c>
    </row>
    <row r="581" spans="1:8" ht="33">
      <c r="A581" s="33">
        <f>COUNTA($D$4:D581)</f>
        <v>505</v>
      </c>
      <c r="B581" s="35" t="s">
        <v>293</v>
      </c>
      <c r="C581" s="32"/>
      <c r="D581" s="31" t="s">
        <v>193</v>
      </c>
      <c r="E581" s="32"/>
      <c r="F581" s="35" t="s">
        <v>294</v>
      </c>
      <c r="G581" s="33" t="s">
        <v>5</v>
      </c>
      <c r="H581" s="31" t="s">
        <v>6</v>
      </c>
    </row>
    <row r="582" spans="1:8" ht="49.5">
      <c r="A582" s="33">
        <f>COUNTA($D$4:D582)</f>
        <v>506</v>
      </c>
      <c r="B582" s="35" t="s">
        <v>388</v>
      </c>
      <c r="C582" s="32"/>
      <c r="D582" s="31" t="s">
        <v>28</v>
      </c>
      <c r="E582" s="32"/>
      <c r="F582" s="35" t="s">
        <v>295</v>
      </c>
      <c r="G582" s="33" t="s">
        <v>5</v>
      </c>
      <c r="H582" s="31" t="s">
        <v>6</v>
      </c>
    </row>
    <row r="583" spans="1:8" ht="33">
      <c r="A583" s="38" t="s">
        <v>296</v>
      </c>
      <c r="B583" s="56" t="s">
        <v>384</v>
      </c>
      <c r="C583" s="32"/>
      <c r="D583" s="31"/>
      <c r="E583" s="32"/>
      <c r="F583" s="57"/>
      <c r="G583" s="33"/>
      <c r="H583" s="57"/>
    </row>
    <row r="584" spans="1:8" ht="33">
      <c r="A584" s="33">
        <f>COUNTA($D$4:D584)</f>
        <v>507</v>
      </c>
      <c r="B584" s="35" t="s">
        <v>297</v>
      </c>
      <c r="C584" s="32"/>
      <c r="D584" s="31" t="s">
        <v>28</v>
      </c>
      <c r="E584" s="32"/>
      <c r="F584" s="35" t="s">
        <v>298</v>
      </c>
      <c r="G584" s="33" t="s">
        <v>5</v>
      </c>
      <c r="H584" s="31" t="s">
        <v>7</v>
      </c>
    </row>
    <row r="585" spans="1:8" ht="33">
      <c r="A585" s="33">
        <f>COUNTA($D$4:D585)</f>
        <v>508</v>
      </c>
      <c r="B585" s="35" t="s">
        <v>385</v>
      </c>
      <c r="C585" s="32"/>
      <c r="D585" s="33" t="s">
        <v>28</v>
      </c>
      <c r="E585" s="32"/>
      <c r="F585" s="35" t="s">
        <v>386</v>
      </c>
      <c r="G585" s="33" t="s">
        <v>5</v>
      </c>
      <c r="H585" s="31" t="s">
        <v>7</v>
      </c>
    </row>
    <row r="586" spans="1:8" ht="33">
      <c r="A586" s="33">
        <f>COUNTA($D$4:D586)</f>
        <v>509</v>
      </c>
      <c r="B586" s="35" t="s">
        <v>299</v>
      </c>
      <c r="C586" s="32"/>
      <c r="D586" s="33" t="s">
        <v>28</v>
      </c>
      <c r="E586" s="32"/>
      <c r="F586" s="35" t="s">
        <v>300</v>
      </c>
      <c r="G586" s="33" t="s">
        <v>5</v>
      </c>
      <c r="H586" s="31" t="s">
        <v>7</v>
      </c>
    </row>
    <row r="587" spans="1:8" ht="33">
      <c r="A587" s="33">
        <f>COUNTA($D$4:D587)</f>
        <v>510</v>
      </c>
      <c r="B587" s="35" t="s">
        <v>301</v>
      </c>
      <c r="C587" s="32"/>
      <c r="D587" s="33" t="s">
        <v>28</v>
      </c>
      <c r="E587" s="32"/>
      <c r="F587" s="35" t="s">
        <v>302</v>
      </c>
      <c r="G587" s="33" t="s">
        <v>5</v>
      </c>
      <c r="H587" s="31" t="s">
        <v>6</v>
      </c>
    </row>
    <row r="588" spans="1:8" ht="33">
      <c r="A588" s="33">
        <f>COUNTA($D$4:D588)</f>
        <v>511</v>
      </c>
      <c r="B588" s="35" t="s">
        <v>387</v>
      </c>
      <c r="C588" s="32"/>
      <c r="D588" s="33" t="s">
        <v>28</v>
      </c>
      <c r="E588" s="32"/>
      <c r="F588" s="35" t="s">
        <v>424</v>
      </c>
      <c r="G588" s="33" t="s">
        <v>5</v>
      </c>
      <c r="H588" s="31" t="s">
        <v>7</v>
      </c>
    </row>
    <row r="589" spans="1:8" ht="16.5">
      <c r="A589" s="38" t="s">
        <v>303</v>
      </c>
      <c r="B589" s="56" t="s">
        <v>304</v>
      </c>
      <c r="C589" s="32"/>
      <c r="D589" s="31"/>
      <c r="E589" s="32"/>
      <c r="F589" s="32"/>
      <c r="G589" s="33"/>
      <c r="H589" s="33"/>
    </row>
    <row r="590" spans="1:8" ht="33">
      <c r="A590" s="33">
        <f>COUNTA($D$4:D590)</f>
        <v>512</v>
      </c>
      <c r="B590" s="35" t="s">
        <v>305</v>
      </c>
      <c r="C590" s="32"/>
      <c r="D590" s="33" t="s">
        <v>28</v>
      </c>
      <c r="E590" s="32"/>
      <c r="F590" s="35" t="s">
        <v>306</v>
      </c>
      <c r="G590" s="33" t="s">
        <v>5</v>
      </c>
      <c r="H590" s="31" t="s">
        <v>6</v>
      </c>
    </row>
    <row r="591" spans="1:8" ht="33">
      <c r="A591" s="33">
        <f>COUNTA($D$4:D591)</f>
        <v>513</v>
      </c>
      <c r="B591" s="35" t="s">
        <v>307</v>
      </c>
      <c r="C591" s="32"/>
      <c r="D591" s="33" t="s">
        <v>28</v>
      </c>
      <c r="E591" s="32"/>
      <c r="F591" s="35" t="s">
        <v>308</v>
      </c>
      <c r="G591" s="33" t="s">
        <v>5</v>
      </c>
      <c r="H591" s="31" t="s">
        <v>6</v>
      </c>
    </row>
    <row r="592" spans="1:8" ht="33">
      <c r="A592" s="33">
        <f>COUNTA($D$4:D592)</f>
        <v>514</v>
      </c>
      <c r="B592" s="35" t="s">
        <v>309</v>
      </c>
      <c r="C592" s="32"/>
      <c r="D592" s="33" t="s">
        <v>28</v>
      </c>
      <c r="E592" s="32"/>
      <c r="F592" s="35" t="s">
        <v>310</v>
      </c>
      <c r="G592" s="33" t="s">
        <v>5</v>
      </c>
      <c r="H592" s="31" t="s">
        <v>6</v>
      </c>
    </row>
    <row r="593" spans="1:8" ht="33">
      <c r="A593" s="33">
        <f>COUNTA($D$4:D593)</f>
        <v>515</v>
      </c>
      <c r="B593" s="35" t="s">
        <v>311</v>
      </c>
      <c r="C593" s="32"/>
      <c r="D593" s="33" t="s">
        <v>28</v>
      </c>
      <c r="E593" s="32"/>
      <c r="F593" s="35" t="s">
        <v>312</v>
      </c>
      <c r="G593" s="33" t="s">
        <v>5</v>
      </c>
      <c r="H593" s="31" t="s">
        <v>6</v>
      </c>
    </row>
    <row r="594" spans="1:8" ht="33">
      <c r="A594" s="33">
        <f>COUNTA($D$4:D594)</f>
        <v>516</v>
      </c>
      <c r="B594" s="35" t="s">
        <v>313</v>
      </c>
      <c r="C594" s="32"/>
      <c r="D594" s="33" t="s">
        <v>227</v>
      </c>
      <c r="E594" s="32"/>
      <c r="F594" s="35" t="s">
        <v>314</v>
      </c>
      <c r="G594" s="33" t="s">
        <v>5</v>
      </c>
      <c r="H594" s="31" t="s">
        <v>6</v>
      </c>
    </row>
    <row r="595" spans="1:8" ht="49.5">
      <c r="A595" s="33">
        <f>COUNTA($D$4:D595)</f>
        <v>517</v>
      </c>
      <c r="B595" s="35" t="s">
        <v>315</v>
      </c>
      <c r="C595" s="32"/>
      <c r="D595" s="33" t="s">
        <v>227</v>
      </c>
      <c r="E595" s="32"/>
      <c r="F595" s="35" t="s">
        <v>425</v>
      </c>
      <c r="G595" s="33" t="s">
        <v>5</v>
      </c>
      <c r="H595" s="31" t="s">
        <v>6</v>
      </c>
    </row>
    <row r="596" spans="1:8" ht="16.5">
      <c r="A596" s="38" t="s">
        <v>316</v>
      </c>
      <c r="B596" s="56" t="s">
        <v>317</v>
      </c>
      <c r="C596" s="32"/>
      <c r="D596" s="31"/>
      <c r="E596" s="32"/>
      <c r="F596" s="32"/>
      <c r="G596" s="33"/>
      <c r="H596" s="33"/>
    </row>
    <row r="597" spans="1:8" ht="33">
      <c r="A597" s="33">
        <f>COUNTA($D$4:D597)</f>
        <v>518</v>
      </c>
      <c r="B597" s="35" t="s">
        <v>318</v>
      </c>
      <c r="C597" s="32"/>
      <c r="D597" s="33" t="s">
        <v>28</v>
      </c>
      <c r="E597" s="32"/>
      <c r="F597" s="35" t="s">
        <v>319</v>
      </c>
      <c r="G597" s="33" t="s">
        <v>5</v>
      </c>
      <c r="H597" s="31" t="s">
        <v>7</v>
      </c>
    </row>
    <row r="598" spans="1:8" ht="33">
      <c r="A598" s="33">
        <f>COUNTA($D$4:D598)</f>
        <v>519</v>
      </c>
      <c r="B598" s="35" t="s">
        <v>320</v>
      </c>
      <c r="C598" s="32"/>
      <c r="D598" s="33" t="s">
        <v>28</v>
      </c>
      <c r="E598" s="32"/>
      <c r="F598" s="35" t="s">
        <v>321</v>
      </c>
      <c r="G598" s="33" t="s">
        <v>5</v>
      </c>
      <c r="H598" s="31" t="s">
        <v>6</v>
      </c>
    </row>
    <row r="599" spans="1:8" ht="16.5">
      <c r="A599" s="37" t="s">
        <v>371</v>
      </c>
      <c r="B599" s="36" t="s">
        <v>391</v>
      </c>
      <c r="C599" s="36"/>
      <c r="D599" s="31"/>
      <c r="E599" s="32"/>
      <c r="F599" s="32"/>
      <c r="G599" s="33"/>
      <c r="H599" s="31"/>
    </row>
    <row r="600" spans="1:8" ht="16.5">
      <c r="A600" s="38" t="s">
        <v>392</v>
      </c>
      <c r="B600" s="39" t="s">
        <v>408</v>
      </c>
      <c r="C600" s="39"/>
      <c r="D600" s="31"/>
      <c r="E600" s="32"/>
      <c r="F600" s="35"/>
      <c r="G600" s="33"/>
      <c r="H600" s="31"/>
    </row>
    <row r="601" spans="1:8" ht="49.5">
      <c r="A601" s="33">
        <f>COUNTA($D$4:D601)</f>
        <v>520</v>
      </c>
      <c r="B601" s="58" t="str">
        <f>"Cung cấp dữ liệu "&amp;C601</f>
        <v>Cung cấp dữ liệu Bản án, quyết định của Tòa án được cơ quan thi hành án dân sự đưa ra tổ chức thi hành</v>
      </c>
      <c r="C601" s="47" t="s">
        <v>75</v>
      </c>
      <c r="D601" s="33" t="s">
        <v>28</v>
      </c>
      <c r="E601" s="35"/>
      <c r="F601" s="35"/>
      <c r="G601" s="33" t="s">
        <v>5</v>
      </c>
      <c r="H601" s="31" t="s">
        <v>6</v>
      </c>
    </row>
    <row r="602" spans="1:8" ht="16.5">
      <c r="A602" s="33">
        <f>COUNTA($D$4:D602)</f>
        <v>521</v>
      </c>
      <c r="B602" s="35" t="s">
        <v>409</v>
      </c>
      <c r="C602" s="35" t="s">
        <v>410</v>
      </c>
      <c r="D602" s="33" t="s">
        <v>28</v>
      </c>
      <c r="E602" s="35"/>
      <c r="F602" s="35"/>
      <c r="G602" s="33" t="s">
        <v>5</v>
      </c>
      <c r="H602" s="31" t="s">
        <v>6</v>
      </c>
    </row>
    <row r="603" spans="1:8" ht="33">
      <c r="A603" s="46">
        <f>COUNTA($D$4:D603)</f>
        <v>522</v>
      </c>
      <c r="B603" s="58" t="str">
        <f t="shared" ref="B603:B614" si="102">"Cung cấp dữ liệu "&amp;C603</f>
        <v>Cung cấp dữ liệu Bảo trợ xã hội và giảm nghèo - Hưởng trợ giúp xã hội</v>
      </c>
      <c r="C603" s="47" t="s">
        <v>550</v>
      </c>
      <c r="D603" s="33" t="s">
        <v>28</v>
      </c>
      <c r="E603" s="32"/>
      <c r="F603" s="35"/>
      <c r="G603" s="33" t="s">
        <v>5</v>
      </c>
      <c r="H603" s="31" t="s">
        <v>6</v>
      </c>
    </row>
    <row r="604" spans="1:8" ht="33">
      <c r="A604" s="46">
        <f>COUNTA($D$4:D604)</f>
        <v>523</v>
      </c>
      <c r="B604" s="58" t="str">
        <f t="shared" si="102"/>
        <v>Cung cấp dữ liệu Bảo trợ xã hội và giảm nghèo - Hưởng trợ giúp xã hội</v>
      </c>
      <c r="C604" s="47" t="s">
        <v>550</v>
      </c>
      <c r="D604" s="33" t="s">
        <v>28</v>
      </c>
      <c r="E604" s="32"/>
      <c r="F604" s="35"/>
      <c r="G604" s="33" t="s">
        <v>5</v>
      </c>
      <c r="H604" s="31" t="s">
        <v>6</v>
      </c>
    </row>
    <row r="605" spans="1:8" ht="33">
      <c r="A605" s="46">
        <f>COUNTA($D$4:D605)</f>
        <v>524</v>
      </c>
      <c r="B605" s="58" t="str">
        <f t="shared" si="102"/>
        <v>Cung cấp dữ liệu Bảo trợ xã hội và giảm nghèo - Thông tin người nghèo, cận nghèo</v>
      </c>
      <c r="C605" s="60" t="s">
        <v>551</v>
      </c>
      <c r="D605" s="33" t="s">
        <v>28</v>
      </c>
      <c r="E605" s="32"/>
      <c r="F605" s="35"/>
      <c r="G605" s="33" t="s">
        <v>5</v>
      </c>
      <c r="H605" s="31" t="s">
        <v>6</v>
      </c>
    </row>
    <row r="606" spans="1:8" ht="33">
      <c r="A606" s="46">
        <f>COUNTA($D$4:D606)</f>
        <v>525</v>
      </c>
      <c r="B606" s="58" t="str">
        <f t="shared" si="102"/>
        <v>Cung cấp dữ liệu Bảo trợ xã hội và giảm nghèo - Người đơn thân</v>
      </c>
      <c r="C606" s="60" t="s">
        <v>552</v>
      </c>
      <c r="D606" s="33" t="s">
        <v>28</v>
      </c>
      <c r="E606" s="32"/>
      <c r="F606" s="35"/>
      <c r="G606" s="33" t="s">
        <v>5</v>
      </c>
      <c r="H606" s="31" t="s">
        <v>6</v>
      </c>
    </row>
    <row r="607" spans="1:8" ht="47.25">
      <c r="A607" s="46">
        <f>COUNTA($D$4:D607)</f>
        <v>526</v>
      </c>
      <c r="B607" s="58" t="str">
        <f t="shared" si="102"/>
        <v>Cung cấp dữ liệu Bảo trợ xã hội và giảm nghèo - Trẻ em là đối tượng bảo trợ xã hội</v>
      </c>
      <c r="C607" s="60" t="s">
        <v>553</v>
      </c>
      <c r="D607" s="33" t="s">
        <v>28</v>
      </c>
      <c r="E607" s="32"/>
      <c r="F607" s="35"/>
      <c r="G607" s="33" t="s">
        <v>5</v>
      </c>
      <c r="H607" s="31" t="s">
        <v>6</v>
      </c>
    </row>
    <row r="608" spans="1:8" ht="31.5">
      <c r="A608" s="46">
        <f>COUNTA($D$4:D608)</f>
        <v>527</v>
      </c>
      <c r="B608" s="58" t="str">
        <f t="shared" si="102"/>
        <v>Cung cấp dữ liệu Bảo trợ xã hội và giảm nghèo -Người có HIV</v>
      </c>
      <c r="C608" s="60" t="s">
        <v>554</v>
      </c>
      <c r="D608" s="33" t="s">
        <v>28</v>
      </c>
      <c r="E608" s="32"/>
      <c r="F608" s="35"/>
      <c r="G608" s="33" t="s">
        <v>5</v>
      </c>
      <c r="H608" s="31" t="s">
        <v>6</v>
      </c>
    </row>
    <row r="609" spans="1:8" ht="31.5">
      <c r="A609" s="46">
        <f>COUNTA($D$4:D609)</f>
        <v>528</v>
      </c>
      <c r="B609" s="58" t="str">
        <f t="shared" si="102"/>
        <v>Cung cấp dữ liệu Bảo trợ xã hội và giảm nghèo -Người cao tuổi</v>
      </c>
      <c r="C609" s="60" t="s">
        <v>555</v>
      </c>
      <c r="D609" s="33" t="s">
        <v>28</v>
      </c>
      <c r="E609" s="32"/>
      <c r="F609" s="35"/>
      <c r="G609" s="33" t="s">
        <v>5</v>
      </c>
      <c r="H609" s="31" t="s">
        <v>6</v>
      </c>
    </row>
    <row r="610" spans="1:8" ht="33">
      <c r="A610" s="46">
        <f>COUNTA($D$4:D610)</f>
        <v>529</v>
      </c>
      <c r="B610" s="58" t="str">
        <f t="shared" si="102"/>
        <v>Cung cấp dữ liệu Bảo trợ xã hội và giảm nghèo - Thông tin về người khuyết tật</v>
      </c>
      <c r="C610" s="60" t="s">
        <v>556</v>
      </c>
      <c r="D610" s="33" t="s">
        <v>28</v>
      </c>
      <c r="E610" s="32"/>
      <c r="F610" s="35"/>
      <c r="G610" s="33" t="s">
        <v>5</v>
      </c>
      <c r="H610" s="31" t="s">
        <v>6</v>
      </c>
    </row>
    <row r="611" spans="1:8" ht="33">
      <c r="A611" s="46">
        <f>COUNTA($D$4:D611)</f>
        <v>530</v>
      </c>
      <c r="B611" s="58" t="str">
        <f t="shared" si="102"/>
        <v>Cung cấp dữ liệu Người có công - Hồ sơ công nhận người có công</v>
      </c>
      <c r="C611" s="60" t="s">
        <v>557</v>
      </c>
      <c r="D611" s="33" t="s">
        <v>28</v>
      </c>
      <c r="E611" s="32"/>
      <c r="F611" s="35"/>
      <c r="G611" s="33" t="s">
        <v>5</v>
      </c>
      <c r="H611" s="31" t="s">
        <v>6</v>
      </c>
    </row>
    <row r="612" spans="1:8" ht="16.5">
      <c r="A612" s="46">
        <f>COUNTA($D$4:D612)</f>
        <v>531</v>
      </c>
      <c r="B612" s="58" t="str">
        <f t="shared" si="102"/>
        <v>Cung cấp dữ liệu Người có công - Hồ sơ liệt sĩ:</v>
      </c>
      <c r="C612" s="60" t="s">
        <v>558</v>
      </c>
      <c r="D612" s="33" t="s">
        <v>28</v>
      </c>
      <c r="E612" s="32"/>
      <c r="F612" s="35"/>
      <c r="G612" s="33" t="s">
        <v>5</v>
      </c>
      <c r="H612" s="31" t="s">
        <v>6</v>
      </c>
    </row>
    <row r="613" spans="1:8" ht="33">
      <c r="A613" s="46">
        <f>COUNTA($D$4:D613)</f>
        <v>532</v>
      </c>
      <c r="B613" s="58" t="str">
        <f t="shared" si="102"/>
        <v>Cung cấp dữ liệu Người có công - Hồ sơ công nhận thân nhân người có công</v>
      </c>
      <c r="C613" s="60" t="s">
        <v>559</v>
      </c>
      <c r="D613" s="33" t="s">
        <v>28</v>
      </c>
      <c r="E613" s="32"/>
      <c r="F613" s="35"/>
      <c r="G613" s="33" t="s">
        <v>5</v>
      </c>
      <c r="H613" s="31" t="s">
        <v>6</v>
      </c>
    </row>
    <row r="614" spans="1:8" ht="16.5">
      <c r="A614" s="46">
        <f>COUNTA($D$4:D614)</f>
        <v>533</v>
      </c>
      <c r="B614" s="58" t="str">
        <f t="shared" si="102"/>
        <v xml:space="preserve">Cung cấp dữ liệu Trẻ em -Trẻ em </v>
      </c>
      <c r="C614" s="60" t="s">
        <v>560</v>
      </c>
      <c r="D614" s="33" t="s">
        <v>28</v>
      </c>
      <c r="E614" s="32"/>
      <c r="F614" s="35"/>
      <c r="G614" s="33" t="s">
        <v>5</v>
      </c>
      <c r="H614" s="31" t="s">
        <v>6</v>
      </c>
    </row>
    <row r="615" spans="1:8" ht="16.5">
      <c r="A615" s="37" t="s">
        <v>393</v>
      </c>
      <c r="B615" s="36" t="s">
        <v>523</v>
      </c>
      <c r="C615" s="36"/>
      <c r="D615" s="31"/>
      <c r="E615" s="35"/>
      <c r="F615" s="32"/>
      <c r="G615" s="33"/>
      <c r="H615" s="31"/>
    </row>
    <row r="616" spans="1:8" ht="16.5">
      <c r="A616" s="38" t="s">
        <v>394</v>
      </c>
      <c r="B616" s="39" t="s">
        <v>49</v>
      </c>
      <c r="C616" s="39"/>
      <c r="D616" s="31"/>
      <c r="E616" s="35"/>
      <c r="F616" s="32"/>
      <c r="G616" s="33"/>
      <c r="H616" s="31"/>
    </row>
    <row r="617" spans="1:8" ht="16.5">
      <c r="A617" s="38" t="s">
        <v>395</v>
      </c>
      <c r="B617" s="39" t="s">
        <v>51</v>
      </c>
      <c r="C617" s="39"/>
      <c r="D617" s="31"/>
      <c r="E617" s="35"/>
      <c r="F617" s="32"/>
      <c r="G617" s="33"/>
      <c r="H617" s="31"/>
    </row>
    <row r="618" spans="1:8" ht="33">
      <c r="A618" s="33">
        <f>COUNTA($D$4:D618)</f>
        <v>534</v>
      </c>
      <c r="B618" s="40" t="str">
        <f>"Cung cấp "&amp;C618</f>
        <v>Cung cấp Bộ dữ liệu hồ sơ đăng ký khai sinh</v>
      </c>
      <c r="C618" s="40" t="s">
        <v>52</v>
      </c>
      <c r="D618" s="33" t="s">
        <v>28</v>
      </c>
      <c r="E618" s="35"/>
      <c r="F618" s="35"/>
      <c r="G618" s="33" t="s">
        <v>5</v>
      </c>
      <c r="H618" s="31" t="s">
        <v>6</v>
      </c>
    </row>
    <row r="619" spans="1:8" ht="33">
      <c r="A619" s="33">
        <f>COUNTA($D$4:D619)</f>
        <v>535</v>
      </c>
      <c r="B619" s="40" t="str">
        <f t="shared" ref="B619:B629" si="103">"Cung cấp "&amp;C619</f>
        <v>Cung cấp Bộ dữ liệu hồ sơ đăng ký kết hôn</v>
      </c>
      <c r="C619" s="40" t="s">
        <v>54</v>
      </c>
      <c r="D619" s="33" t="s">
        <v>28</v>
      </c>
      <c r="E619" s="35"/>
      <c r="F619" s="35"/>
      <c r="G619" s="33" t="s">
        <v>5</v>
      </c>
      <c r="H619" s="31" t="s">
        <v>6</v>
      </c>
    </row>
    <row r="620" spans="1:8" ht="33">
      <c r="A620" s="33">
        <f>COUNTA($D$4:D620)</f>
        <v>536</v>
      </c>
      <c r="B620" s="40" t="str">
        <f t="shared" si="103"/>
        <v>Cung cấp Bộ dữ liệu hồ sơ cấp Giấy xác nhận tình trạng hôn nhân</v>
      </c>
      <c r="C620" s="40" t="s">
        <v>55</v>
      </c>
      <c r="D620" s="33" t="s">
        <v>28</v>
      </c>
      <c r="E620" s="35"/>
      <c r="F620" s="35"/>
      <c r="G620" s="33" t="s">
        <v>5</v>
      </c>
      <c r="H620" s="31" t="s">
        <v>6</v>
      </c>
    </row>
    <row r="621" spans="1:8" ht="33">
      <c r="A621" s="33">
        <f>COUNTA($D$4:D621)</f>
        <v>537</v>
      </c>
      <c r="B621" s="40" t="str">
        <f t="shared" si="103"/>
        <v>Cung cấp Bộ dữ liệu hồ sơ đăng ký khai tử</v>
      </c>
      <c r="C621" s="40" t="s">
        <v>56</v>
      </c>
      <c r="D621" s="33" t="s">
        <v>28</v>
      </c>
      <c r="E621" s="35"/>
      <c r="F621" s="35"/>
      <c r="G621" s="33" t="s">
        <v>5</v>
      </c>
      <c r="H621" s="31" t="s">
        <v>6</v>
      </c>
    </row>
    <row r="622" spans="1:8" ht="33">
      <c r="A622" s="33">
        <f>COUNTA($D$4:D622)</f>
        <v>538</v>
      </c>
      <c r="B622" s="40" t="str">
        <f t="shared" si="103"/>
        <v>Cung cấp Bộ dữ liệu hồ sơ đăng ký nhận cha, mẹ, con</v>
      </c>
      <c r="C622" s="40" t="s">
        <v>57</v>
      </c>
      <c r="D622" s="33" t="s">
        <v>28</v>
      </c>
      <c r="E622" s="35"/>
      <c r="F622" s="35"/>
      <c r="G622" s="33" t="s">
        <v>5</v>
      </c>
      <c r="H622" s="31" t="s">
        <v>6</v>
      </c>
    </row>
    <row r="623" spans="1:8" ht="33">
      <c r="A623" s="33">
        <f>COUNTA($D$4:D623)</f>
        <v>539</v>
      </c>
      <c r="B623" s="40" t="str">
        <f t="shared" si="103"/>
        <v>Cung cấp Bộ dữ liệu hồ sơ đăng ký nuôi con nuôi</v>
      </c>
      <c r="C623" s="40" t="s">
        <v>58</v>
      </c>
      <c r="D623" s="33" t="s">
        <v>28</v>
      </c>
      <c r="E623" s="35"/>
      <c r="F623" s="35"/>
      <c r="G623" s="33" t="s">
        <v>5</v>
      </c>
      <c r="H623" s="31" t="s">
        <v>6</v>
      </c>
    </row>
    <row r="624" spans="1:8" ht="33">
      <c r="A624" s="33">
        <f>COUNTA($D$4:D624)</f>
        <v>540</v>
      </c>
      <c r="B624" s="40" t="str">
        <f t="shared" si="103"/>
        <v>Cung cấp Bộ dữ liệu hồ sơ đăng ký giám hộ</v>
      </c>
      <c r="C624" s="40" t="s">
        <v>59</v>
      </c>
      <c r="D624" s="33" t="s">
        <v>28</v>
      </c>
      <c r="E624" s="35"/>
      <c r="F624" s="35"/>
      <c r="G624" s="33" t="s">
        <v>5</v>
      </c>
      <c r="H624" s="31" t="s">
        <v>6</v>
      </c>
    </row>
    <row r="625" spans="1:8" ht="33">
      <c r="A625" s="33">
        <f>COUNTA($D$4:D625)</f>
        <v>541</v>
      </c>
      <c r="B625" s="40" t="str">
        <f t="shared" si="103"/>
        <v>Cung cấp Bộ dữ liệu hồ sơ đăng ký chấm dứt giám hộ</v>
      </c>
      <c r="C625" s="40" t="s">
        <v>60</v>
      </c>
      <c r="D625" s="33" t="s">
        <v>28</v>
      </c>
      <c r="E625" s="35"/>
      <c r="F625" s="35"/>
      <c r="G625" s="33" t="s">
        <v>5</v>
      </c>
      <c r="H625" s="31" t="s">
        <v>6</v>
      </c>
    </row>
    <row r="626" spans="1:8" ht="66">
      <c r="A626" s="33">
        <f>COUNTA($D$4:D626)</f>
        <v>542</v>
      </c>
      <c r="B626" s="40" t="str">
        <f t="shared" si="103"/>
        <v>Cung cấp Bộ dữ liệu hồ sơ đăng ký thay đổi, cải chính, bổ sung thông tin hộ tịch, xác định lại dân tộc</v>
      </c>
      <c r="C626" s="40" t="s">
        <v>61</v>
      </c>
      <c r="D626" s="33" t="s">
        <v>28</v>
      </c>
      <c r="E626" s="35"/>
      <c r="F626" s="35"/>
      <c r="G626" s="33" t="s">
        <v>5</v>
      </c>
      <c r="H626" s="31" t="s">
        <v>6</v>
      </c>
    </row>
    <row r="627" spans="1:8" ht="33">
      <c r="A627" s="33">
        <f>COUNTA($D$4:D627)</f>
        <v>543</v>
      </c>
      <c r="B627" s="40" t="str">
        <f t="shared" si="103"/>
        <v>Cung cấp Bộ dữ liệu hồ sơ đăng ký giám sát việc giám hộ</v>
      </c>
      <c r="C627" s="40" t="s">
        <v>62</v>
      </c>
      <c r="D627" s="33" t="s">
        <v>28</v>
      </c>
      <c r="E627" s="35"/>
      <c r="F627" s="35"/>
      <c r="G627" s="33" t="s">
        <v>5</v>
      </c>
      <c r="H627" s="31" t="s">
        <v>6</v>
      </c>
    </row>
    <row r="628" spans="1:8" ht="49.5">
      <c r="A628" s="33">
        <f>COUNTA($D$4:D628)</f>
        <v>544</v>
      </c>
      <c r="B628" s="40" t="str">
        <f t="shared" si="103"/>
        <v>Cung cấp Bộ dữ liệu hồ sơ đăng ký chấm dứt giám sát việc giám hộ</v>
      </c>
      <c r="C628" s="40" t="s">
        <v>63</v>
      </c>
      <c r="D628" s="33" t="s">
        <v>28</v>
      </c>
      <c r="E628" s="35"/>
      <c r="F628" s="35"/>
      <c r="G628" s="33" t="s">
        <v>5</v>
      </c>
      <c r="H628" s="31" t="s">
        <v>6</v>
      </c>
    </row>
    <row r="629" spans="1:8" ht="82.5">
      <c r="A629" s="33">
        <f>COUNTA($D$4:D629)</f>
        <v>545</v>
      </c>
      <c r="B629" s="40" t="str">
        <f t="shared" si="103"/>
        <v>Cung cấp Bộ dữ liệu hồ sơ ghi vào sổ việc ly hôn/hủy việc kết hôn đã thực hiện tại cơ quan có thẩm quyền của nước ngoài (ghi chú ly hôn)</v>
      </c>
      <c r="C629" s="40" t="s">
        <v>64</v>
      </c>
      <c r="D629" s="33" t="s">
        <v>28</v>
      </c>
      <c r="E629" s="35"/>
      <c r="F629" s="35"/>
      <c r="G629" s="33" t="s">
        <v>5</v>
      </c>
      <c r="H629" s="31" t="s">
        <v>6</v>
      </c>
    </row>
    <row r="630" spans="1:8" ht="16.5">
      <c r="A630" s="38" t="s">
        <v>396</v>
      </c>
      <c r="B630" s="41" t="s">
        <v>66</v>
      </c>
      <c r="C630" s="41"/>
      <c r="D630" s="33"/>
      <c r="E630" s="35"/>
      <c r="F630" s="32"/>
      <c r="G630" s="33"/>
      <c r="H630" s="31"/>
    </row>
    <row r="631" spans="1:8" ht="16.5">
      <c r="A631" s="33">
        <f>COUNTA($D$4:D631)</f>
        <v>546</v>
      </c>
      <c r="B631" s="40" t="str">
        <f t="shared" ref="B631:B633" si="104">"Cung cấp dữ liệu "&amp;C631</f>
        <v>Cung cấp dữ liệu Nhập Quốc tịch</v>
      </c>
      <c r="C631" s="42" t="s">
        <v>67</v>
      </c>
      <c r="D631" s="33" t="s">
        <v>28</v>
      </c>
      <c r="E631" s="35"/>
      <c r="F631" s="35"/>
      <c r="G631" s="33" t="s">
        <v>5</v>
      </c>
      <c r="H631" s="31" t="s">
        <v>6</v>
      </c>
    </row>
    <row r="632" spans="1:8" ht="16.5">
      <c r="A632" s="33">
        <f>COUNTA($D$4:D632)</f>
        <v>547</v>
      </c>
      <c r="B632" s="40" t="str">
        <f t="shared" si="104"/>
        <v>Cung cấp dữ liệu Thôi Quốc tịch</v>
      </c>
      <c r="C632" s="42" t="s">
        <v>69</v>
      </c>
      <c r="D632" s="33" t="s">
        <v>28</v>
      </c>
      <c r="E632" s="35"/>
      <c r="F632" s="35"/>
      <c r="G632" s="33" t="s">
        <v>5</v>
      </c>
      <c r="H632" s="31" t="s">
        <v>6</v>
      </c>
    </row>
    <row r="633" spans="1:8" ht="16.5">
      <c r="A633" s="33">
        <f>COUNTA($D$4:D633)</f>
        <v>548</v>
      </c>
      <c r="B633" s="40" t="str">
        <f t="shared" si="104"/>
        <v>Cung cấp dữ liệu Trở lại Quốc tịch</v>
      </c>
      <c r="C633" s="42" t="s">
        <v>70</v>
      </c>
      <c r="D633" s="33" t="s">
        <v>28</v>
      </c>
      <c r="E633" s="35"/>
      <c r="F633" s="35"/>
      <c r="G633" s="33" t="s">
        <v>5</v>
      </c>
      <c r="H633" s="31" t="s">
        <v>6</v>
      </c>
    </row>
    <row r="634" spans="1:8" ht="16.5">
      <c r="A634" s="38" t="s">
        <v>397</v>
      </c>
      <c r="B634" s="43" t="s">
        <v>72</v>
      </c>
      <c r="C634" s="43"/>
      <c r="D634" s="33"/>
      <c r="E634" s="35"/>
      <c r="F634" s="32"/>
      <c r="G634" s="33"/>
      <c r="H634" s="31"/>
    </row>
    <row r="635" spans="1:8" ht="16.5">
      <c r="A635" s="38" t="s">
        <v>398</v>
      </c>
      <c r="B635" s="39" t="s">
        <v>74</v>
      </c>
      <c r="C635" s="39"/>
      <c r="D635" s="33"/>
      <c r="E635" s="35"/>
      <c r="F635" s="32"/>
      <c r="G635" s="33"/>
      <c r="H635" s="31"/>
    </row>
    <row r="636" spans="1:8" ht="33">
      <c r="A636" s="33">
        <f>COUNTA($D$4:D636)</f>
        <v>549</v>
      </c>
      <c r="B636" s="40" t="str">
        <f t="shared" ref="B636:B651" si="105">"Cung cấp dữ liệu "&amp;C636</f>
        <v>Cung cấp dữ liệu Yêu cầu thi hành án của cá nhân, cơ quan, tổ chức</v>
      </c>
      <c r="C636" s="35" t="s">
        <v>77</v>
      </c>
      <c r="D636" s="33" t="s">
        <v>28</v>
      </c>
      <c r="E636" s="35"/>
      <c r="F636" s="35"/>
      <c r="G636" s="33" t="s">
        <v>5</v>
      </c>
      <c r="H636" s="31" t="s">
        <v>6</v>
      </c>
    </row>
    <row r="637" spans="1:8" ht="16.5">
      <c r="A637" s="33">
        <f>COUNTA($D$4:D637)</f>
        <v>550</v>
      </c>
      <c r="B637" s="40" t="str">
        <f t="shared" si="105"/>
        <v>Cung cấp dữ liệu Quyết định thi hành án dân sự</v>
      </c>
      <c r="C637" s="35" t="s">
        <v>78</v>
      </c>
      <c r="D637" s="33" t="s">
        <v>28</v>
      </c>
      <c r="E637" s="35"/>
      <c r="F637" s="35"/>
      <c r="G637" s="33" t="s">
        <v>5</v>
      </c>
      <c r="H637" s="31" t="s">
        <v>6</v>
      </c>
    </row>
    <row r="638" spans="1:8" ht="49.5">
      <c r="A638" s="33">
        <f>COUNTA($D$4:D638)</f>
        <v>551</v>
      </c>
      <c r="B638" s="40" t="str">
        <f t="shared" si="105"/>
        <v>Cung cấp dữ liệu Người phải thi hành án, người được thi hành án, người có quyền lợi nghĩa vụ liên quan</v>
      </c>
      <c r="C638" s="35" t="s">
        <v>79</v>
      </c>
      <c r="D638" s="33" t="s">
        <v>28</v>
      </c>
      <c r="E638" s="35"/>
      <c r="F638" s="35"/>
      <c r="G638" s="33" t="s">
        <v>5</v>
      </c>
      <c r="H638" s="31" t="s">
        <v>6</v>
      </c>
    </row>
    <row r="639" spans="1:8" ht="16.5">
      <c r="A639" s="33">
        <f>COUNTA($D$4:D639)</f>
        <v>552</v>
      </c>
      <c r="B639" s="40" t="str">
        <f t="shared" si="105"/>
        <v>Cung cấp dữ liệu Nghĩa vụ thi hành án</v>
      </c>
      <c r="C639" s="35" t="s">
        <v>80</v>
      </c>
      <c r="D639" s="33" t="s">
        <v>28</v>
      </c>
      <c r="E639" s="35"/>
      <c r="F639" s="35"/>
      <c r="G639" s="33" t="s">
        <v>5</v>
      </c>
      <c r="H639" s="31" t="s">
        <v>6</v>
      </c>
    </row>
    <row r="640" spans="1:8" ht="16.5">
      <c r="A640" s="33">
        <f>COUNTA($D$4:D640)</f>
        <v>553</v>
      </c>
      <c r="B640" s="40" t="str">
        <f t="shared" si="105"/>
        <v>Cung cấp dữ liệu Trạng thái thi hành án</v>
      </c>
      <c r="C640" s="35" t="s">
        <v>81</v>
      </c>
      <c r="D640" s="33" t="s">
        <v>28</v>
      </c>
      <c r="E640" s="35"/>
      <c r="F640" s="35"/>
      <c r="G640" s="33" t="s">
        <v>5</v>
      </c>
      <c r="H640" s="31" t="s">
        <v>6</v>
      </c>
    </row>
    <row r="641" spans="1:8" ht="16.5">
      <c r="A641" s="33">
        <f>COUNTA($D$4:D641)</f>
        <v>554</v>
      </c>
      <c r="B641" s="40" t="str">
        <f t="shared" si="105"/>
        <v>Cung cấp dữ liệu Tài sản thi hành án</v>
      </c>
      <c r="C641" s="35" t="s">
        <v>82</v>
      </c>
      <c r="D641" s="33" t="s">
        <v>28</v>
      </c>
      <c r="E641" s="35"/>
      <c r="F641" s="35"/>
      <c r="G641" s="33" t="s">
        <v>5</v>
      </c>
      <c r="H641" s="31" t="s">
        <v>6</v>
      </c>
    </row>
    <row r="642" spans="1:8" ht="33">
      <c r="A642" s="33">
        <f>COUNTA($D$4:D642)</f>
        <v>555</v>
      </c>
      <c r="B642" s="40" t="str">
        <f t="shared" si="105"/>
        <v>Cung cấp dữ liệu Xác minh điều kiện trong thi hành án dân sự</v>
      </c>
      <c r="C642" s="35" t="s">
        <v>83</v>
      </c>
      <c r="D642" s="33" t="s">
        <v>28</v>
      </c>
      <c r="E642" s="35"/>
      <c r="F642" s="35"/>
      <c r="G642" s="33" t="s">
        <v>5</v>
      </c>
      <c r="H642" s="31" t="s">
        <v>6</v>
      </c>
    </row>
    <row r="643" spans="1:8" ht="33">
      <c r="A643" s="33">
        <f>COUNTA($D$4:D643)</f>
        <v>556</v>
      </c>
      <c r="B643" s="40" t="str">
        <f t="shared" si="105"/>
        <v>Cung cấp dữ liệu Cưỡng chế thi hành án trong thi hành án dân sự</v>
      </c>
      <c r="C643" s="35" t="s">
        <v>84</v>
      </c>
      <c r="D643" s="33" t="s">
        <v>28</v>
      </c>
      <c r="E643" s="35"/>
      <c r="F643" s="35"/>
      <c r="G643" s="33" t="s">
        <v>5</v>
      </c>
      <c r="H643" s="31" t="s">
        <v>6</v>
      </c>
    </row>
    <row r="644" spans="1:8" ht="33">
      <c r="A644" s="33">
        <f>COUNTA($D$4:D644)</f>
        <v>557</v>
      </c>
      <c r="B644" s="40" t="str">
        <f t="shared" si="105"/>
        <v>Cung cấp dữ liệu Áp dụng biện pháp bảo đảm trong thi hành án dân sự</v>
      </c>
      <c r="C644" s="35" t="s">
        <v>85</v>
      </c>
      <c r="D644" s="33" t="s">
        <v>28</v>
      </c>
      <c r="E644" s="35"/>
      <c r="F644" s="35"/>
      <c r="G644" s="33" t="s">
        <v>5</v>
      </c>
      <c r="H644" s="31" t="s">
        <v>6</v>
      </c>
    </row>
    <row r="645" spans="1:8" ht="33">
      <c r="A645" s="33">
        <f>COUNTA($D$4:D645)</f>
        <v>558</v>
      </c>
      <c r="B645" s="40" t="str">
        <f t="shared" si="105"/>
        <v>Cung cấp dữ liệu Chứng từ nghiệp vụ trong thi hành án dân sự</v>
      </c>
      <c r="C645" s="35" t="s">
        <v>86</v>
      </c>
      <c r="D645" s="33" t="s">
        <v>28</v>
      </c>
      <c r="E645" s="35"/>
      <c r="F645" s="35"/>
      <c r="G645" s="33" t="s">
        <v>5</v>
      </c>
      <c r="H645" s="31" t="s">
        <v>6</v>
      </c>
    </row>
    <row r="646" spans="1:8" ht="33">
      <c r="A646" s="33">
        <f>COUNTA($D$4:D646)</f>
        <v>559</v>
      </c>
      <c r="B646" s="40" t="str">
        <f t="shared" si="105"/>
        <v>Cung cấp dữ liệu Biên lai thu tiền thi hành án dân sự</v>
      </c>
      <c r="C646" s="35" t="s">
        <v>87</v>
      </c>
      <c r="D646" s="33" t="s">
        <v>28</v>
      </c>
      <c r="E646" s="35"/>
      <c r="F646" s="35"/>
      <c r="G646" s="33" t="s">
        <v>5</v>
      </c>
      <c r="H646" s="31" t="s">
        <v>6</v>
      </c>
    </row>
    <row r="647" spans="1:8" ht="33">
      <c r="A647" s="33">
        <f>COUNTA($D$4:D647)</f>
        <v>560</v>
      </c>
      <c r="B647" s="40" t="str">
        <f t="shared" si="105"/>
        <v>Cung cấp dữ liệu Vật chứng trong thi hành án dân sự</v>
      </c>
      <c r="C647" s="35" t="s">
        <v>88</v>
      </c>
      <c r="D647" s="33" t="s">
        <v>28</v>
      </c>
      <c r="E647" s="35"/>
      <c r="F647" s="35"/>
      <c r="G647" s="33" t="s">
        <v>5</v>
      </c>
      <c r="H647" s="31" t="s">
        <v>6</v>
      </c>
    </row>
    <row r="648" spans="1:8" ht="33">
      <c r="A648" s="33">
        <f>COUNTA($D$4:D648)</f>
        <v>561</v>
      </c>
      <c r="B648" s="40" t="str">
        <f t="shared" si="105"/>
        <v>Cung cấp dữ liệu Thẩm định giá tài sản trong thi hành án dân sự</v>
      </c>
      <c r="C648" s="35" t="s">
        <v>89</v>
      </c>
      <c r="D648" s="33" t="s">
        <v>28</v>
      </c>
      <c r="E648" s="35"/>
      <c r="F648" s="35"/>
      <c r="G648" s="33" t="s">
        <v>5</v>
      </c>
      <c r="H648" s="31" t="s">
        <v>6</v>
      </c>
    </row>
    <row r="649" spans="1:8" ht="33">
      <c r="A649" s="33">
        <f>COUNTA($D$4:D649)</f>
        <v>562</v>
      </c>
      <c r="B649" s="40" t="str">
        <f t="shared" si="105"/>
        <v>Cung cấp dữ liệu Đấu giá tài sản trong thi hành án dân sự</v>
      </c>
      <c r="C649" s="35" t="s">
        <v>90</v>
      </c>
      <c r="D649" s="33" t="s">
        <v>28</v>
      </c>
      <c r="E649" s="35"/>
      <c r="F649" s="35"/>
      <c r="G649" s="33" t="s">
        <v>5</v>
      </c>
      <c r="H649" s="31" t="s">
        <v>6</v>
      </c>
    </row>
    <row r="650" spans="1:8" ht="33">
      <c r="A650" s="33">
        <f>COUNTA($D$4:D650)</f>
        <v>563</v>
      </c>
      <c r="B650" s="40" t="str">
        <f t="shared" si="105"/>
        <v>Cung cấp dữ liệu Giải quyết khiếu nại, tố cáo trong thi hành án dân sự</v>
      </c>
      <c r="C650" s="35" t="s">
        <v>91</v>
      </c>
      <c r="D650" s="33" t="s">
        <v>28</v>
      </c>
      <c r="E650" s="35"/>
      <c r="F650" s="35"/>
      <c r="G650" s="33" t="s">
        <v>5</v>
      </c>
      <c r="H650" s="31" t="s">
        <v>6</v>
      </c>
    </row>
    <row r="651" spans="1:8" ht="33">
      <c r="A651" s="33">
        <f>COUNTA($D$4:D651)</f>
        <v>564</v>
      </c>
      <c r="B651" s="40" t="str">
        <f t="shared" si="105"/>
        <v>Cung cấp dữ liệu Hướng dẫn nghiệp vụ trong thi hành án dân sự</v>
      </c>
      <c r="C651" s="35" t="s">
        <v>92</v>
      </c>
      <c r="D651" s="33" t="s">
        <v>28</v>
      </c>
      <c r="E651" s="35"/>
      <c r="F651" s="35"/>
      <c r="G651" s="33" t="s">
        <v>5</v>
      </c>
      <c r="H651" s="31" t="s">
        <v>6</v>
      </c>
    </row>
    <row r="652" spans="1:8" ht="33">
      <c r="A652" s="38" t="s">
        <v>399</v>
      </c>
      <c r="B652" s="43" t="s">
        <v>94</v>
      </c>
      <c r="C652" s="43"/>
      <c r="D652" s="33"/>
      <c r="E652" s="35"/>
      <c r="F652" s="32"/>
      <c r="G652" s="33"/>
      <c r="H652" s="31"/>
    </row>
    <row r="653" spans="1:8" ht="16.5">
      <c r="A653" s="38" t="s">
        <v>400</v>
      </c>
      <c r="B653" s="39" t="s">
        <v>96</v>
      </c>
      <c r="C653" s="39"/>
      <c r="D653" s="33"/>
      <c r="E653" s="35"/>
      <c r="F653" s="32"/>
      <c r="G653" s="33"/>
      <c r="H653" s="31"/>
    </row>
    <row r="654" spans="1:8" ht="49.5">
      <c r="A654" s="33">
        <f>COUNTA($D$4:D654)</f>
        <v>565</v>
      </c>
      <c r="B654" s="40" t="str">
        <f t="shared" ref="B654:B657" si="106">"Cung cấp dữ liệu "&amp;C654</f>
        <v>Cung cấp dữ liệu Thông tin chung (Bao gồm người đăng ký và Hợp đồng bảo đảm)</v>
      </c>
      <c r="C654" s="35" t="s">
        <v>97</v>
      </c>
      <c r="D654" s="33" t="s">
        <v>28</v>
      </c>
      <c r="E654" s="35"/>
      <c r="F654" s="35"/>
      <c r="G654" s="33" t="s">
        <v>5</v>
      </c>
      <c r="H654" s="31" t="s">
        <v>6</v>
      </c>
    </row>
    <row r="655" spans="1:8" ht="16.5">
      <c r="A655" s="33">
        <f>COUNTA($D$4:D655)</f>
        <v>566</v>
      </c>
      <c r="B655" s="40" t="str">
        <f t="shared" si="106"/>
        <v>Cung cấp dữ liệu Bên bảo đảm</v>
      </c>
      <c r="C655" s="35" t="s">
        <v>99</v>
      </c>
      <c r="D655" s="33" t="s">
        <v>28</v>
      </c>
      <c r="E655" s="35"/>
      <c r="F655" s="35"/>
      <c r="G655" s="33" t="s">
        <v>5</v>
      </c>
      <c r="H655" s="31" t="s">
        <v>6</v>
      </c>
    </row>
    <row r="656" spans="1:8" ht="16.5">
      <c r="A656" s="33">
        <f>COUNTA($D$4:D656)</f>
        <v>567</v>
      </c>
      <c r="B656" s="40" t="str">
        <f t="shared" si="106"/>
        <v>Cung cấp dữ liệu Bên nhận bảo đảm</v>
      </c>
      <c r="C656" s="35" t="s">
        <v>100</v>
      </c>
      <c r="D656" s="33" t="s">
        <v>28</v>
      </c>
      <c r="E656" s="35"/>
      <c r="F656" s="35"/>
      <c r="G656" s="33" t="s">
        <v>5</v>
      </c>
      <c r="H656" s="31" t="s">
        <v>6</v>
      </c>
    </row>
    <row r="657" spans="1:8" ht="16.5">
      <c r="A657" s="33">
        <f>COUNTA($D$4:D657)</f>
        <v>568</v>
      </c>
      <c r="B657" s="40" t="str">
        <f t="shared" si="106"/>
        <v>Cung cấp dữ liệu Tài sản bảo đảm</v>
      </c>
      <c r="C657" s="35" t="s">
        <v>101</v>
      </c>
      <c r="D657" s="33" t="s">
        <v>28</v>
      </c>
      <c r="E657" s="35"/>
      <c r="F657" s="35"/>
      <c r="G657" s="33" t="s">
        <v>5</v>
      </c>
      <c r="H657" s="31" t="s">
        <v>6</v>
      </c>
    </row>
    <row r="658" spans="1:8" ht="16.5">
      <c r="A658" s="38" t="s">
        <v>401</v>
      </c>
      <c r="B658" s="43" t="s">
        <v>103</v>
      </c>
      <c r="C658" s="43"/>
      <c r="D658" s="33"/>
      <c r="E658" s="35"/>
      <c r="F658" s="32"/>
      <c r="G658" s="33"/>
      <c r="H658" s="33"/>
    </row>
    <row r="659" spans="1:8" ht="16.5">
      <c r="A659" s="38" t="s">
        <v>402</v>
      </c>
      <c r="B659" s="39" t="s">
        <v>105</v>
      </c>
      <c r="C659" s="39"/>
      <c r="D659" s="33"/>
      <c r="E659" s="35"/>
      <c r="F659" s="32"/>
      <c r="G659" s="33"/>
      <c r="H659" s="31"/>
    </row>
    <row r="660" spans="1:8" ht="16.5">
      <c r="A660" s="33">
        <f>COUNTA($D$4:D660)</f>
        <v>569</v>
      </c>
      <c r="B660" s="40" t="str">
        <f t="shared" ref="B660:B664" si="107">"Cung cấp dữ liệu "&amp;C660</f>
        <v>Cung cấp dữ liệu Văn bản quy phạm pháp luật</v>
      </c>
      <c r="C660" s="44" t="s">
        <v>106</v>
      </c>
      <c r="D660" s="33" t="s">
        <v>28</v>
      </c>
      <c r="E660" s="35"/>
      <c r="F660" s="35"/>
      <c r="G660" s="33" t="s">
        <v>5</v>
      </c>
      <c r="H660" s="31" t="s">
        <v>6</v>
      </c>
    </row>
    <row r="661" spans="1:8" ht="33">
      <c r="A661" s="33">
        <f>COUNTA($D$4:D661)</f>
        <v>570</v>
      </c>
      <c r="B661" s="40" t="str">
        <f t="shared" si="107"/>
        <v>Cung cấp dữ liệu Nội dung của văn bản quy phạm pháp luật</v>
      </c>
      <c r="C661" s="44" t="s">
        <v>108</v>
      </c>
      <c r="D661" s="33" t="s">
        <v>28</v>
      </c>
      <c r="E661" s="35"/>
      <c r="F661" s="35"/>
      <c r="G661" s="33" t="s">
        <v>5</v>
      </c>
      <c r="H661" s="31" t="s">
        <v>6</v>
      </c>
    </row>
    <row r="662" spans="1:8" ht="49.5">
      <c r="A662" s="33">
        <f>COUNTA($D$4:D662)</f>
        <v>571</v>
      </c>
      <c r="B662" s="40" t="str">
        <f t="shared" si="107"/>
        <v>Cung cấp dữ liệu Quan hệ giữa các điều khoản trong các văn bản quy phạm pháp luật</v>
      </c>
      <c r="C662" s="44" t="s">
        <v>109</v>
      </c>
      <c r="D662" s="33" t="s">
        <v>28</v>
      </c>
      <c r="E662" s="35"/>
      <c r="F662" s="35"/>
      <c r="G662" s="33" t="s">
        <v>5</v>
      </c>
      <c r="H662" s="31" t="s">
        <v>6</v>
      </c>
    </row>
    <row r="663" spans="1:8" ht="16.5">
      <c r="A663" s="33">
        <f>COUNTA($D$4:D663)</f>
        <v>572</v>
      </c>
      <c r="B663" s="40" t="str">
        <f t="shared" si="107"/>
        <v>Cung cấp dữ liệu Văn bản hợp nhất</v>
      </c>
      <c r="C663" s="44" t="s">
        <v>110</v>
      </c>
      <c r="D663" s="33" t="s">
        <v>28</v>
      </c>
      <c r="E663" s="35"/>
      <c r="F663" s="35"/>
      <c r="G663" s="33" t="s">
        <v>5</v>
      </c>
      <c r="H663" s="31" t="s">
        <v>6</v>
      </c>
    </row>
    <row r="664" spans="1:8" ht="33">
      <c r="A664" s="33">
        <f>COUNTA($D$4:D664)</f>
        <v>573</v>
      </c>
      <c r="B664" s="40" t="str">
        <f t="shared" si="107"/>
        <v>Cung cấp dữ liệu Hệ thống hóa văn bản quy phạm pháp luật</v>
      </c>
      <c r="C664" s="44" t="s">
        <v>111</v>
      </c>
      <c r="D664" s="33" t="s">
        <v>28</v>
      </c>
      <c r="E664" s="35"/>
      <c r="F664" s="35"/>
      <c r="G664" s="33" t="s">
        <v>5</v>
      </c>
      <c r="H664" s="31" t="s">
        <v>6</v>
      </c>
    </row>
    <row r="665" spans="1:8" ht="16.5">
      <c r="A665" s="38" t="s">
        <v>403</v>
      </c>
      <c r="B665" s="39" t="s">
        <v>113</v>
      </c>
      <c r="C665" s="39"/>
      <c r="D665" s="33"/>
      <c r="E665" s="35"/>
      <c r="F665" s="32"/>
      <c r="G665" s="33"/>
      <c r="H665" s="31"/>
    </row>
    <row r="666" spans="1:8" ht="16.5">
      <c r="A666" s="33">
        <f>COUNTA($D$4:D666)</f>
        <v>574</v>
      </c>
      <c r="B666" s="40" t="str">
        <f t="shared" ref="B666:B667" si="108">"Cung cấp dữ liệu "&amp;C666</f>
        <v>Cung cấp dữ liệu Hồ sơ ủy thác tư pháp đến</v>
      </c>
      <c r="C666" s="35" t="s">
        <v>114</v>
      </c>
      <c r="D666" s="33" t="s">
        <v>28</v>
      </c>
      <c r="E666" s="35"/>
      <c r="F666" s="35"/>
      <c r="G666" s="33" t="s">
        <v>5</v>
      </c>
      <c r="H666" s="31" t="s">
        <v>6</v>
      </c>
    </row>
    <row r="667" spans="1:8" ht="16.5">
      <c r="A667" s="33">
        <f>COUNTA($D$4:D667)</f>
        <v>575</v>
      </c>
      <c r="B667" s="40" t="str">
        <f t="shared" si="108"/>
        <v>Cung cấp dữ liệu Hồ sơ ủy thác tư pháp đi</v>
      </c>
      <c r="C667" s="35" t="s">
        <v>116</v>
      </c>
      <c r="D667" s="33" t="s">
        <v>28</v>
      </c>
      <c r="E667" s="35"/>
      <c r="F667" s="35"/>
      <c r="G667" s="33" t="s">
        <v>5</v>
      </c>
      <c r="H667" s="31" t="s">
        <v>6</v>
      </c>
    </row>
    <row r="668" spans="1:8" ht="16.5">
      <c r="A668" s="38" t="s">
        <v>404</v>
      </c>
      <c r="B668" s="39" t="s">
        <v>118</v>
      </c>
      <c r="C668" s="39"/>
      <c r="D668" s="33"/>
      <c r="E668" s="35"/>
      <c r="F668" s="32"/>
      <c r="G668" s="33"/>
      <c r="H668" s="31"/>
    </row>
    <row r="669" spans="1:8" ht="33">
      <c r="A669" s="33">
        <f>COUNTA($D$4:D669)</f>
        <v>576</v>
      </c>
      <c r="B669" s="40" t="str">
        <f t="shared" ref="B669:B676" si="109">"Cung cấp dữ liệu "&amp;C669</f>
        <v>Cung cấp dữ liệu Tổ chức thực hiện trợ giúp pháp lý</v>
      </c>
      <c r="C669" s="35" t="s">
        <v>119</v>
      </c>
      <c r="D669" s="33" t="s">
        <v>28</v>
      </c>
      <c r="E669" s="35"/>
      <c r="F669" s="35"/>
      <c r="G669" s="33" t="s">
        <v>5</v>
      </c>
      <c r="H669" s="31" t="s">
        <v>6</v>
      </c>
    </row>
    <row r="670" spans="1:8" ht="33">
      <c r="A670" s="33">
        <f>COUNTA($D$4:D670)</f>
        <v>577</v>
      </c>
      <c r="B670" s="40" t="str">
        <f t="shared" si="109"/>
        <v>Cung cấp dữ liệu Tổ chức đăng ký tham gia trợ giúp pháp lý</v>
      </c>
      <c r="C670" s="45" t="s">
        <v>121</v>
      </c>
      <c r="D670" s="33" t="s">
        <v>28</v>
      </c>
      <c r="E670" s="35"/>
      <c r="F670" s="35"/>
      <c r="G670" s="33" t="s">
        <v>5</v>
      </c>
      <c r="H670" s="31" t="s">
        <v>6</v>
      </c>
    </row>
    <row r="671" spans="1:8" ht="33">
      <c r="A671" s="33">
        <f>COUNTA($D$4:D671)</f>
        <v>578</v>
      </c>
      <c r="B671" s="40" t="str">
        <f t="shared" si="109"/>
        <v>Cung cấp dữ liệu Thông tin văn bản cử người thực hiện trợ giúp pháp lý</v>
      </c>
      <c r="C671" s="45" t="s">
        <v>122</v>
      </c>
      <c r="D671" s="33" t="s">
        <v>28</v>
      </c>
      <c r="E671" s="35"/>
      <c r="F671" s="35"/>
      <c r="G671" s="33" t="s">
        <v>5</v>
      </c>
      <c r="H671" s="31" t="s">
        <v>6</v>
      </c>
    </row>
    <row r="672" spans="1:8" ht="16.5">
      <c r="A672" s="33">
        <f>COUNTA($D$4:D672)</f>
        <v>579</v>
      </c>
      <c r="B672" s="40" t="str">
        <f t="shared" si="109"/>
        <v>Cung cấp dữ liệu Trung tâm TGPL nhà nước</v>
      </c>
      <c r="C672" s="35" t="s">
        <v>123</v>
      </c>
      <c r="D672" s="33" t="s">
        <v>28</v>
      </c>
      <c r="E672" s="35"/>
      <c r="F672" s="35"/>
      <c r="G672" s="33" t="s">
        <v>5</v>
      </c>
      <c r="H672" s="31" t="s">
        <v>6</v>
      </c>
    </row>
    <row r="673" spans="1:8" ht="16.5">
      <c r="A673" s="33">
        <f>COUNTA($D$4:D673)</f>
        <v>580</v>
      </c>
      <c r="B673" s="40" t="str">
        <f t="shared" ref="B673" si="110">"Cung cấp dữ liệu "&amp;C673</f>
        <v>Cung cấp dữ liệu Chi nhánh TGPL</v>
      </c>
      <c r="C673" s="47" t="s">
        <v>561</v>
      </c>
      <c r="D673" s="33" t="s">
        <v>28</v>
      </c>
      <c r="E673" s="35"/>
      <c r="F673" s="35"/>
      <c r="G673" s="33" t="s">
        <v>5</v>
      </c>
      <c r="H673" s="31" t="s">
        <v>6</v>
      </c>
    </row>
    <row r="674" spans="1:8" ht="16.5">
      <c r="A674" s="33">
        <f>COUNTA($D$4:D674)</f>
        <v>581</v>
      </c>
      <c r="B674" s="40" t="str">
        <f t="shared" si="109"/>
        <v>Cung cấp dữ liệu Người thực hiện TGPL</v>
      </c>
      <c r="C674" s="35" t="s">
        <v>29</v>
      </c>
      <c r="D674" s="33" t="s">
        <v>28</v>
      </c>
      <c r="E674" s="35"/>
      <c r="F674" s="35"/>
      <c r="G674" s="33" t="s">
        <v>5</v>
      </c>
      <c r="H674" s="31" t="s">
        <v>6</v>
      </c>
    </row>
    <row r="675" spans="1:8" ht="16.5">
      <c r="A675" s="38" t="s">
        <v>404</v>
      </c>
      <c r="B675" s="39" t="s">
        <v>521</v>
      </c>
      <c r="C675" s="39"/>
      <c r="D675" s="33"/>
      <c r="E675" s="35"/>
      <c r="F675" s="32"/>
      <c r="G675" s="33"/>
      <c r="H675" s="31"/>
    </row>
    <row r="676" spans="1:8" ht="16.5">
      <c r="A676" s="33">
        <f>COUNTA($D$4:D676)</f>
        <v>582</v>
      </c>
      <c r="B676" s="58" t="str">
        <f t="shared" si="109"/>
        <v>Cung cấp dữ liệu Báo cáo viên pháp luật</v>
      </c>
      <c r="C676" s="47" t="s">
        <v>427</v>
      </c>
      <c r="D676" s="33" t="s">
        <v>28</v>
      </c>
      <c r="E676" s="47"/>
      <c r="F676" s="35"/>
      <c r="G676" s="33" t="s">
        <v>5</v>
      </c>
      <c r="H676" s="31" t="s">
        <v>6</v>
      </c>
    </row>
    <row r="677" spans="1:8" ht="16.5">
      <c r="A677" s="33">
        <f>COUNTA($D$4:D677)</f>
        <v>583</v>
      </c>
      <c r="B677" s="58" t="str">
        <f t="shared" ref="B677:B691" si="111">"Cung cấp dữ liệu "&amp;C677</f>
        <v>Cung cấp dữ liệu Tuyên truyền viên pháp luật</v>
      </c>
      <c r="C677" s="35" t="s">
        <v>496</v>
      </c>
      <c r="D677" s="33" t="s">
        <v>28</v>
      </c>
      <c r="E677" s="47"/>
      <c r="F677" s="35"/>
      <c r="G677" s="33" t="s">
        <v>5</v>
      </c>
      <c r="H677" s="31" t="s">
        <v>6</v>
      </c>
    </row>
    <row r="678" spans="1:8" ht="33">
      <c r="A678" s="33">
        <f>COUNTA($D$4:D678)</f>
        <v>584</v>
      </c>
      <c r="B678" s="58" t="str">
        <f t="shared" si="111"/>
        <v>Cung cấp dữ liệu Chương trình, kế hoạch về phổ biến, giáo dục pháp luật</v>
      </c>
      <c r="C678" s="35" t="s">
        <v>497</v>
      </c>
      <c r="D678" s="33" t="s">
        <v>28</v>
      </c>
      <c r="E678" s="47"/>
      <c r="F678" s="35"/>
      <c r="G678" s="33" t="s">
        <v>5</v>
      </c>
      <c r="H678" s="31" t="s">
        <v>6</v>
      </c>
    </row>
    <row r="679" spans="1:8" ht="33">
      <c r="A679" s="33">
        <f>COUNTA($D$4:D679)</f>
        <v>585</v>
      </c>
      <c r="B679" s="58" t="str">
        <f t="shared" si="111"/>
        <v>Cung cấp dữ liệu Hội đồng phối hợp phổ biến, giáo dục pháp luật</v>
      </c>
      <c r="C679" s="35" t="s">
        <v>498</v>
      </c>
      <c r="D679" s="33" t="s">
        <v>28</v>
      </c>
      <c r="E679" s="47"/>
      <c r="F679" s="35"/>
      <c r="G679" s="33" t="s">
        <v>5</v>
      </c>
      <c r="H679" s="31" t="s">
        <v>6</v>
      </c>
    </row>
    <row r="680" spans="1:8" ht="16.5">
      <c r="A680" s="33">
        <f>COUNTA($D$4:D680)</f>
        <v>586</v>
      </c>
      <c r="B680" s="58" t="str">
        <f t="shared" si="111"/>
        <v>Cung cấp dữ liệu Đề án</v>
      </c>
      <c r="C680" s="35" t="s">
        <v>499</v>
      </c>
      <c r="D680" s="33" t="s">
        <v>28</v>
      </c>
      <c r="E680" s="47"/>
      <c r="F680" s="35"/>
      <c r="G680" s="33" t="s">
        <v>5</v>
      </c>
      <c r="H680" s="31" t="s">
        <v>6</v>
      </c>
    </row>
    <row r="681" spans="1:8" ht="33">
      <c r="A681" s="33">
        <f>COUNTA($D$4:D681)</f>
        <v>587</v>
      </c>
      <c r="B681" s="58" t="str">
        <f t="shared" si="111"/>
        <v>Cung cấp dữ liệu Hội nghị tập huấn (trực tuyến, trực tiếp)</v>
      </c>
      <c r="C681" s="35" t="s">
        <v>500</v>
      </c>
      <c r="D681" s="33" t="s">
        <v>28</v>
      </c>
      <c r="E681" s="47"/>
      <c r="F681" s="35"/>
      <c r="G681" s="33" t="s">
        <v>5</v>
      </c>
      <c r="H681" s="31" t="s">
        <v>6</v>
      </c>
    </row>
    <row r="682" spans="1:8" ht="16.5">
      <c r="A682" s="33">
        <f>COUNTA($D$4:D682)</f>
        <v>588</v>
      </c>
      <c r="B682" s="58" t="str">
        <f t="shared" si="111"/>
        <v>Cung cấp dữ liệu Hội thảo</v>
      </c>
      <c r="C682" s="35" t="s">
        <v>501</v>
      </c>
      <c r="D682" s="33" t="s">
        <v>28</v>
      </c>
      <c r="E682" s="47"/>
      <c r="F682" s="35"/>
      <c r="G682" s="33" t="s">
        <v>5</v>
      </c>
      <c r="H682" s="31" t="s">
        <v>6</v>
      </c>
    </row>
    <row r="683" spans="1:8" ht="16.5">
      <c r="A683" s="33">
        <f>COUNTA($D$4:D683)</f>
        <v>589</v>
      </c>
      <c r="B683" s="58" t="str">
        <f t="shared" si="111"/>
        <v>Cung cấp dữ liệu Tổ hoà giải</v>
      </c>
      <c r="C683" s="35" t="s">
        <v>502</v>
      </c>
      <c r="D683" s="33" t="s">
        <v>28</v>
      </c>
      <c r="E683" s="47"/>
      <c r="F683" s="35"/>
      <c r="G683" s="33" t="s">
        <v>5</v>
      </c>
      <c r="H683" s="31" t="s">
        <v>6</v>
      </c>
    </row>
    <row r="684" spans="1:8" ht="16.5">
      <c r="A684" s="33">
        <f>COUNTA($D$4:D684)</f>
        <v>590</v>
      </c>
      <c r="B684" s="58" t="str">
        <f t="shared" si="111"/>
        <v>Cung cấp dữ liệu Hoà giải viên</v>
      </c>
      <c r="C684" s="35" t="s">
        <v>503</v>
      </c>
      <c r="D684" s="33" t="s">
        <v>28</v>
      </c>
      <c r="E684" s="47"/>
      <c r="F684" s="35"/>
      <c r="G684" s="33" t="s">
        <v>5</v>
      </c>
      <c r="H684" s="31" t="s">
        <v>6</v>
      </c>
    </row>
    <row r="685" spans="1:8" ht="16.5">
      <c r="A685" s="33">
        <f>COUNTA($D$4:D685)</f>
        <v>591</v>
      </c>
      <c r="B685" s="58" t="str">
        <f t="shared" si="111"/>
        <v>Cung cấp dữ liệu Vụ việc hoà giải</v>
      </c>
      <c r="C685" s="35" t="s">
        <v>504</v>
      </c>
      <c r="D685" s="33" t="s">
        <v>28</v>
      </c>
      <c r="E685" s="47"/>
      <c r="F685" s="35"/>
      <c r="G685" s="33" t="s">
        <v>5</v>
      </c>
      <c r="H685" s="31" t="s">
        <v>6</v>
      </c>
    </row>
    <row r="686" spans="1:8" ht="16.5">
      <c r="A686" s="33">
        <f>COUNTA($D$4:D686)</f>
        <v>592</v>
      </c>
      <c r="B686" s="58" t="str">
        <f t="shared" si="111"/>
        <v>Cung cấp dữ liệu Tập huấn viên</v>
      </c>
      <c r="C686" s="35" t="s">
        <v>505</v>
      </c>
      <c r="D686" s="33" t="s">
        <v>28</v>
      </c>
      <c r="E686" s="47"/>
      <c r="F686" s="35"/>
      <c r="G686" s="33" t="s">
        <v>5</v>
      </c>
      <c r="H686" s="31" t="s">
        <v>6</v>
      </c>
    </row>
    <row r="687" spans="1:8" ht="33">
      <c r="A687" s="33">
        <f>COUNTA($D$4:D687)</f>
        <v>593</v>
      </c>
      <c r="B687" s="58" t="str">
        <f t="shared" si="111"/>
        <v>Cung cấp dữ liệu Kinh phí phổ biến giáo dục pháp luật</v>
      </c>
      <c r="C687" s="35" t="s">
        <v>506</v>
      </c>
      <c r="D687" s="33" t="s">
        <v>28</v>
      </c>
      <c r="E687" s="47"/>
      <c r="F687" s="35"/>
      <c r="G687" s="33" t="s">
        <v>5</v>
      </c>
      <c r="H687" s="31" t="s">
        <v>6</v>
      </c>
    </row>
    <row r="688" spans="1:8" ht="33">
      <c r="A688" s="33">
        <f>COUNTA($D$4:D688)</f>
        <v>594</v>
      </c>
      <c r="B688" s="58" t="str">
        <f t="shared" si="111"/>
        <v>Cung cấp dữ liệu Tiêu chí, chỉ tiêu tiếp cận pháp luật</v>
      </c>
      <c r="C688" s="35" t="s">
        <v>507</v>
      </c>
      <c r="D688" s="33" t="s">
        <v>28</v>
      </c>
      <c r="E688" s="47"/>
      <c r="F688" s="35"/>
      <c r="G688" s="33" t="s">
        <v>5</v>
      </c>
      <c r="H688" s="31" t="s">
        <v>6</v>
      </c>
    </row>
    <row r="689" spans="1:8" ht="33">
      <c r="A689" s="33">
        <f>COUNTA($D$4:D689)</f>
        <v>595</v>
      </c>
      <c r="B689" s="58" t="str">
        <f t="shared" si="111"/>
        <v>Cung cấp dữ liệu Đánh giá cấp xã đạt chuẩn tiếp cận pháp luật</v>
      </c>
      <c r="C689" s="35" t="s">
        <v>508</v>
      </c>
      <c r="D689" s="33" t="s">
        <v>28</v>
      </c>
      <c r="E689" s="47"/>
      <c r="F689" s="35"/>
      <c r="G689" s="33" t="s">
        <v>5</v>
      </c>
      <c r="H689" s="31" t="s">
        <v>6</v>
      </c>
    </row>
    <row r="690" spans="1:8" ht="16.5">
      <c r="A690" s="33">
        <f>COUNTA($D$4:D690)</f>
        <v>596</v>
      </c>
      <c r="B690" s="58" t="str">
        <f t="shared" si="111"/>
        <v>Cung cấp dữ liệu Cuộc PBGDPL</v>
      </c>
      <c r="C690" s="35" t="s">
        <v>509</v>
      </c>
      <c r="D690" s="33" t="s">
        <v>28</v>
      </c>
      <c r="E690" s="47"/>
      <c r="F690" s="35"/>
      <c r="G690" s="33" t="s">
        <v>5</v>
      </c>
      <c r="H690" s="31" t="s">
        <v>6</v>
      </c>
    </row>
    <row r="691" spans="1:8" ht="16.5">
      <c r="A691" s="33">
        <f>COUNTA($D$4:D691)</f>
        <v>597</v>
      </c>
      <c r="B691" s="58" t="str">
        <f t="shared" si="111"/>
        <v>Cung cấp dữ liệu Cuộc thi tìm hiểu về pháp luật</v>
      </c>
      <c r="C691" s="50" t="s">
        <v>510</v>
      </c>
      <c r="D691" s="33" t="s">
        <v>28</v>
      </c>
      <c r="E691" s="47"/>
      <c r="F691" s="35"/>
      <c r="G691" s="33" t="s">
        <v>5</v>
      </c>
      <c r="H691" s="31" t="s">
        <v>6</v>
      </c>
    </row>
    <row r="692" spans="1:8" ht="16.5">
      <c r="A692" s="38" t="s">
        <v>405</v>
      </c>
      <c r="B692" s="43" t="s">
        <v>125</v>
      </c>
      <c r="C692" s="43"/>
      <c r="D692" s="33"/>
      <c r="E692" s="35"/>
      <c r="F692" s="32"/>
      <c r="G692" s="33"/>
      <c r="H692" s="31"/>
    </row>
    <row r="693" spans="1:8" ht="16.5">
      <c r="A693" s="38" t="s">
        <v>406</v>
      </c>
      <c r="B693" s="39" t="s">
        <v>127</v>
      </c>
      <c r="C693" s="39"/>
      <c r="D693" s="33"/>
      <c r="E693" s="35"/>
      <c r="F693" s="32"/>
      <c r="G693" s="33"/>
      <c r="H693" s="31"/>
    </row>
    <row r="694" spans="1:8" ht="16.5">
      <c r="A694" s="33">
        <f>COUNTA($D$4:D694)</f>
        <v>598</v>
      </c>
      <c r="B694" s="40" t="str">
        <f t="shared" ref="B694:B718" si="112">"Cung cấp dữ liệu "&amp;C694</f>
        <v>Cung cấp dữ liệu Đấu giá viên</v>
      </c>
      <c r="C694" s="35" t="s">
        <v>128</v>
      </c>
      <c r="D694" s="33" t="s">
        <v>28</v>
      </c>
      <c r="E694" s="35"/>
      <c r="F694" s="35"/>
      <c r="G694" s="33" t="s">
        <v>5</v>
      </c>
      <c r="H694" s="31" t="s">
        <v>6</v>
      </c>
    </row>
    <row r="695" spans="1:8" ht="16.5">
      <c r="A695" s="33">
        <f>COUNTA($D$4:D695)</f>
        <v>599</v>
      </c>
      <c r="B695" s="40" t="str">
        <f t="shared" si="112"/>
        <v>Cung cấp dữ liệu Tổ chức hành nghề đấu giá</v>
      </c>
      <c r="C695" s="35" t="s">
        <v>130</v>
      </c>
      <c r="D695" s="33" t="s">
        <v>28</v>
      </c>
      <c r="E695" s="35"/>
      <c r="F695" s="35"/>
      <c r="G695" s="33" t="s">
        <v>5</v>
      </c>
      <c r="H695" s="31" t="s">
        <v>6</v>
      </c>
    </row>
    <row r="696" spans="1:8" ht="16.5">
      <c r="A696" s="33">
        <f>COUNTA($D$4:D696)</f>
        <v>600</v>
      </c>
      <c r="B696" s="40" t="str">
        <f t="shared" ref="B696:B698" si="113">"Cung cấp dữ liệu "&amp;C696</f>
        <v>Cung cấp dữ liệu Người có tài sản đấu giá</v>
      </c>
      <c r="C696" s="63" t="s">
        <v>562</v>
      </c>
      <c r="D696" s="33" t="s">
        <v>28</v>
      </c>
      <c r="E696" s="32"/>
      <c r="F696" s="35"/>
      <c r="G696" s="33" t="s">
        <v>5</v>
      </c>
      <c r="H696" s="31" t="s">
        <v>6</v>
      </c>
    </row>
    <row r="697" spans="1:8" ht="16.5">
      <c r="A697" s="33">
        <f>COUNTA($D$4:D697)</f>
        <v>601</v>
      </c>
      <c r="B697" s="40" t="str">
        <f t="shared" si="113"/>
        <v>Cung cấp dữ liệu Thông tin việc đấu giá</v>
      </c>
      <c r="C697" s="63" t="s">
        <v>563</v>
      </c>
      <c r="D697" s="33" t="s">
        <v>28</v>
      </c>
      <c r="E697" s="32"/>
      <c r="F697" s="35"/>
      <c r="G697" s="33" t="s">
        <v>5</v>
      </c>
      <c r="H697" s="31" t="s">
        <v>6</v>
      </c>
    </row>
    <row r="698" spans="1:8" ht="16.5">
      <c r="A698" s="33">
        <f>COUNTA($D$4:D698)</f>
        <v>602</v>
      </c>
      <c r="B698" s="40" t="str">
        <f t="shared" si="113"/>
        <v>Cung cấp dữ liệu Tài sản đấu giá</v>
      </c>
      <c r="C698" s="63" t="s">
        <v>564</v>
      </c>
      <c r="D698" s="33" t="s">
        <v>28</v>
      </c>
      <c r="E698" s="32"/>
      <c r="F698" s="35"/>
      <c r="G698" s="33" t="s">
        <v>5</v>
      </c>
      <c r="H698" s="31" t="s">
        <v>6</v>
      </c>
    </row>
    <row r="699" spans="1:8" ht="16.5">
      <c r="A699" s="33">
        <f>COUNTA($D$4:D699)</f>
        <v>603</v>
      </c>
      <c r="B699" s="40" t="str">
        <f t="shared" si="112"/>
        <v>Cung cấp dữ liệu Công chứng viên</v>
      </c>
      <c r="C699" s="35" t="s">
        <v>131</v>
      </c>
      <c r="D699" s="33" t="s">
        <v>28</v>
      </c>
      <c r="E699" s="35"/>
      <c r="F699" s="35"/>
      <c r="G699" s="33" t="s">
        <v>5</v>
      </c>
      <c r="H699" s="31" t="s">
        <v>6</v>
      </c>
    </row>
    <row r="700" spans="1:8" ht="16.5">
      <c r="A700" s="33">
        <f>COUNTA($D$4:D700)</f>
        <v>604</v>
      </c>
      <c r="B700" s="40" t="str">
        <f t="shared" si="112"/>
        <v>Cung cấp dữ liệu Thông tin ngăn chặn</v>
      </c>
      <c r="C700" s="35" t="s">
        <v>132</v>
      </c>
      <c r="D700" s="33" t="s">
        <v>28</v>
      </c>
      <c r="E700" s="35"/>
      <c r="F700" s="35"/>
      <c r="G700" s="33" t="s">
        <v>5</v>
      </c>
      <c r="H700" s="31" t="s">
        <v>6</v>
      </c>
    </row>
    <row r="701" spans="1:8" ht="33">
      <c r="A701" s="33">
        <f>COUNTA($D$4:D701)</f>
        <v>605</v>
      </c>
      <c r="B701" s="40" t="str">
        <f t="shared" si="112"/>
        <v>Cung cấp dữ liệu Tổ chức hành nghề công chứng</v>
      </c>
      <c r="C701" s="35" t="s">
        <v>133</v>
      </c>
      <c r="D701" s="33" t="s">
        <v>28</v>
      </c>
      <c r="E701" s="35"/>
      <c r="F701" s="35"/>
      <c r="G701" s="33" t="s">
        <v>5</v>
      </c>
      <c r="H701" s="31" t="s">
        <v>6</v>
      </c>
    </row>
    <row r="702" spans="1:8" ht="33">
      <c r="A702" s="33">
        <f>COUNTA($D$4:D702)</f>
        <v>606</v>
      </c>
      <c r="B702" s="40" t="str">
        <f t="shared" si="112"/>
        <v>Cung cấp dữ liệu Tài sản trong giao dịch công chứng</v>
      </c>
      <c r="C702" s="35" t="s">
        <v>134</v>
      </c>
      <c r="D702" s="33" t="s">
        <v>28</v>
      </c>
      <c r="E702" s="35"/>
      <c r="F702" s="35"/>
      <c r="G702" s="33" t="s">
        <v>5</v>
      </c>
      <c r="H702" s="31" t="s">
        <v>6</v>
      </c>
    </row>
    <row r="703" spans="1:8" ht="33">
      <c r="A703" s="33">
        <f>COUNTA($D$4:D703)</f>
        <v>607</v>
      </c>
      <c r="B703" s="40" t="str">
        <f t="shared" si="112"/>
        <v>Cung cấp dữ liệu Kết quả hoạt động công chứng</v>
      </c>
      <c r="C703" s="35" t="s">
        <v>135</v>
      </c>
      <c r="D703" s="33" t="s">
        <v>28</v>
      </c>
      <c r="E703" s="35"/>
      <c r="F703" s="35"/>
      <c r="G703" s="33" t="s">
        <v>5</v>
      </c>
      <c r="H703" s="31" t="s">
        <v>6</v>
      </c>
    </row>
    <row r="704" spans="1:8" ht="16.5">
      <c r="A704" s="33">
        <f>COUNTA($D$4:D704)</f>
        <v>608</v>
      </c>
      <c r="B704" s="40" t="str">
        <f t="shared" si="112"/>
        <v>Cung cấp dữ liệu Quản tài viên</v>
      </c>
      <c r="C704" s="47" t="s">
        <v>136</v>
      </c>
      <c r="D704" s="33" t="s">
        <v>28</v>
      </c>
      <c r="E704" s="35"/>
      <c r="F704" s="35"/>
      <c r="G704" s="33" t="s">
        <v>5</v>
      </c>
      <c r="H704" s="31" t="s">
        <v>6</v>
      </c>
    </row>
    <row r="705" spans="1:8" ht="33">
      <c r="A705" s="33">
        <f>COUNTA($D$4:D705)</f>
        <v>609</v>
      </c>
      <c r="B705" s="40" t="str">
        <f t="shared" si="112"/>
        <v>Cung cấp dữ liệu Doanh nghiệp quản lý, thanh lý tài sản</v>
      </c>
      <c r="C705" s="35" t="s">
        <v>137</v>
      </c>
      <c r="D705" s="33" t="s">
        <v>28</v>
      </c>
      <c r="E705" s="35"/>
      <c r="F705" s="35"/>
      <c r="G705" s="33" t="s">
        <v>5</v>
      </c>
      <c r="H705" s="31" t="s">
        <v>6</v>
      </c>
    </row>
    <row r="706" spans="1:8" ht="16.5">
      <c r="A706" s="33">
        <f>COUNTA($D$4:D706)</f>
        <v>610</v>
      </c>
      <c r="B706" s="40" t="str">
        <f t="shared" si="112"/>
        <v>Cung cấp dữ liệu Luật sư Việt Nam</v>
      </c>
      <c r="C706" s="35" t="s">
        <v>138</v>
      </c>
      <c r="D706" s="33" t="s">
        <v>28</v>
      </c>
      <c r="E706" s="35"/>
      <c r="F706" s="35"/>
      <c r="G706" s="33" t="s">
        <v>5</v>
      </c>
      <c r="H706" s="31" t="s">
        <v>6</v>
      </c>
    </row>
    <row r="707" spans="1:8" ht="33">
      <c r="A707" s="33">
        <f>COUNTA($D$4:D707)</f>
        <v>611</v>
      </c>
      <c r="B707" s="40" t="str">
        <f t="shared" si="112"/>
        <v>Cung cấp dữ liệu Người được cấp chứng chỉ hành nghề luật sư</v>
      </c>
      <c r="C707" s="35" t="s">
        <v>139</v>
      </c>
      <c r="D707" s="33" t="s">
        <v>28</v>
      </c>
      <c r="E707" s="35"/>
      <c r="F707" s="35"/>
      <c r="G707" s="33" t="s">
        <v>5</v>
      </c>
      <c r="H707" s="31" t="s">
        <v>6</v>
      </c>
    </row>
    <row r="708" spans="1:8" ht="33">
      <c r="A708" s="33">
        <f>COUNTA($D$4:D708)</f>
        <v>612</v>
      </c>
      <c r="B708" s="40" t="str">
        <f t="shared" si="112"/>
        <v>Cung cấp dữ liệu Tổ chức hành nghề luật sư Việt Nam</v>
      </c>
      <c r="C708" s="35" t="s">
        <v>140</v>
      </c>
      <c r="D708" s="33" t="s">
        <v>28</v>
      </c>
      <c r="E708" s="35"/>
      <c r="F708" s="35"/>
      <c r="G708" s="33" t="s">
        <v>5</v>
      </c>
      <c r="H708" s="31" t="s">
        <v>6</v>
      </c>
    </row>
    <row r="709" spans="1:8" ht="16.5">
      <c r="A709" s="33">
        <f>COUNTA($D$4:D709)</f>
        <v>613</v>
      </c>
      <c r="B709" s="40" t="str">
        <f t="shared" si="112"/>
        <v>Cung cấp dữ liệu Luật sư nước ngoài</v>
      </c>
      <c r="C709" s="35" t="s">
        <v>141</v>
      </c>
      <c r="D709" s="33" t="s">
        <v>28</v>
      </c>
      <c r="E709" s="35"/>
      <c r="F709" s="35"/>
      <c r="G709" s="33" t="s">
        <v>5</v>
      </c>
      <c r="H709" s="31" t="s">
        <v>6</v>
      </c>
    </row>
    <row r="710" spans="1:8" ht="33">
      <c r="A710" s="33">
        <f>COUNTA($D$4:D710)</f>
        <v>614</v>
      </c>
      <c r="B710" s="40" t="str">
        <f t="shared" si="112"/>
        <v>Cung cấp dữ liệu Tổ chức hành nghề luật sư nước ngoài</v>
      </c>
      <c r="C710" s="35" t="s">
        <v>142</v>
      </c>
      <c r="D710" s="33" t="s">
        <v>28</v>
      </c>
      <c r="E710" s="35"/>
      <c r="F710" s="35"/>
      <c r="G710" s="33" t="s">
        <v>5</v>
      </c>
      <c r="H710" s="31" t="s">
        <v>6</v>
      </c>
    </row>
    <row r="711" spans="1:8" ht="16.5">
      <c r="A711" s="33">
        <f>COUNTA($D$4:D711)</f>
        <v>615</v>
      </c>
      <c r="B711" s="40" t="str">
        <f t="shared" si="112"/>
        <v>Cung cấp dữ liệu Trọng tài viên</v>
      </c>
      <c r="C711" s="47" t="s">
        <v>143</v>
      </c>
      <c r="D711" s="33" t="s">
        <v>28</v>
      </c>
      <c r="E711" s="35"/>
      <c r="F711" s="35"/>
      <c r="G711" s="33" t="s">
        <v>5</v>
      </c>
      <c r="H711" s="31" t="s">
        <v>6</v>
      </c>
    </row>
    <row r="712" spans="1:8" ht="16.5">
      <c r="A712" s="33">
        <f>COUNTA($D$4:D712)</f>
        <v>616</v>
      </c>
      <c r="B712" s="40" t="str">
        <f t="shared" si="112"/>
        <v>Cung cấp dữ liệu Trung tâm trọng tài</v>
      </c>
      <c r="C712" s="47" t="s">
        <v>144</v>
      </c>
      <c r="D712" s="33" t="s">
        <v>28</v>
      </c>
      <c r="E712" s="35"/>
      <c r="F712" s="35"/>
      <c r="G712" s="33" t="s">
        <v>5</v>
      </c>
      <c r="H712" s="31" t="s">
        <v>6</v>
      </c>
    </row>
    <row r="713" spans="1:8" ht="33">
      <c r="A713" s="33">
        <f>COUNTA($D$4:D713)</f>
        <v>617</v>
      </c>
      <c r="B713" s="40" t="str">
        <f t="shared" si="112"/>
        <v>Cung cấp dữ liệu Chi nhánh của tổ chức trọng tài</v>
      </c>
      <c r="C713" s="47" t="s">
        <v>145</v>
      </c>
      <c r="D713" s="33" t="s">
        <v>28</v>
      </c>
      <c r="E713" s="35"/>
      <c r="F713" s="35"/>
      <c r="G713" s="33" t="s">
        <v>5</v>
      </c>
      <c r="H713" s="31" t="s">
        <v>6</v>
      </c>
    </row>
    <row r="714" spans="1:8" ht="33">
      <c r="A714" s="33">
        <f>COUNTA($D$4:D714)</f>
        <v>618</v>
      </c>
      <c r="B714" s="40" t="str">
        <f t="shared" si="112"/>
        <v>Cung cấp dữ liệu Văn phòng đại diện của trung tâm trọng tài</v>
      </c>
      <c r="C714" s="47" t="s">
        <v>146</v>
      </c>
      <c r="D714" s="33" t="s">
        <v>28</v>
      </c>
      <c r="E714" s="35"/>
      <c r="F714" s="35"/>
      <c r="G714" s="33" t="s">
        <v>5</v>
      </c>
      <c r="H714" s="31" t="s">
        <v>6</v>
      </c>
    </row>
    <row r="715" spans="1:8" ht="16.5">
      <c r="A715" s="33">
        <f>COUNTA($D$4:D715)</f>
        <v>619</v>
      </c>
      <c r="B715" s="40" t="str">
        <f t="shared" si="112"/>
        <v>Cung cấp dữ liệu Hòa giải viên thương mại</v>
      </c>
      <c r="C715" s="47" t="s">
        <v>147</v>
      </c>
      <c r="D715" s="33" t="s">
        <v>28</v>
      </c>
      <c r="E715" s="35"/>
      <c r="F715" s="35"/>
      <c r="G715" s="33" t="s">
        <v>5</v>
      </c>
      <c r="H715" s="31" t="s">
        <v>6</v>
      </c>
    </row>
    <row r="716" spans="1:8" ht="33">
      <c r="A716" s="33">
        <f>COUNTA($D$4:D716)</f>
        <v>620</v>
      </c>
      <c r="B716" s="40" t="str">
        <f t="shared" si="112"/>
        <v>Cung cấp dữ liệu Trung tâm hòa giải thương mại</v>
      </c>
      <c r="C716" s="47" t="s">
        <v>148</v>
      </c>
      <c r="D716" s="33" t="s">
        <v>28</v>
      </c>
      <c r="E716" s="35"/>
      <c r="F716" s="35"/>
      <c r="G716" s="33" t="s">
        <v>5</v>
      </c>
      <c r="H716" s="31" t="s">
        <v>6</v>
      </c>
    </row>
    <row r="717" spans="1:8" ht="16.5">
      <c r="A717" s="33">
        <f>COUNTA($D$4:D717)</f>
        <v>621</v>
      </c>
      <c r="B717" s="40" t="str">
        <f t="shared" si="112"/>
        <v>Cung cấp dữ liệu Giám định viên tư pháp</v>
      </c>
      <c r="C717" s="47" t="s">
        <v>149</v>
      </c>
      <c r="D717" s="33" t="s">
        <v>28</v>
      </c>
      <c r="E717" s="35"/>
      <c r="F717" s="35"/>
      <c r="G717" s="33" t="s">
        <v>5</v>
      </c>
      <c r="H717" s="31" t="s">
        <v>6</v>
      </c>
    </row>
    <row r="718" spans="1:8" ht="16.5">
      <c r="A718" s="33">
        <f>COUNTA($D$4:D718)</f>
        <v>622</v>
      </c>
      <c r="B718" s="40" t="str">
        <f t="shared" si="112"/>
        <v>Cung cấp dữ liệu Tổ chức giám định tư pháp</v>
      </c>
      <c r="C718" s="47" t="s">
        <v>150</v>
      </c>
      <c r="D718" s="33" t="s">
        <v>28</v>
      </c>
      <c r="E718" s="35"/>
      <c r="F718" s="35"/>
      <c r="G718" s="33" t="s">
        <v>5</v>
      </c>
      <c r="H718" s="31" t="s">
        <v>6</v>
      </c>
    </row>
    <row r="719" spans="1:8" ht="16.5">
      <c r="A719" s="38" t="s">
        <v>524</v>
      </c>
      <c r="B719" s="43" t="s">
        <v>511</v>
      </c>
      <c r="C719" s="43"/>
      <c r="D719" s="33"/>
      <c r="E719" s="35"/>
      <c r="F719" s="32"/>
      <c r="G719" s="33"/>
      <c r="H719" s="31"/>
    </row>
    <row r="720" spans="1:8" ht="16.5">
      <c r="A720" s="38" t="s">
        <v>406</v>
      </c>
      <c r="B720" s="39" t="s">
        <v>512</v>
      </c>
      <c r="C720" s="39"/>
      <c r="D720" s="33"/>
      <c r="E720" s="35"/>
      <c r="F720" s="32"/>
      <c r="G720" s="33"/>
      <c r="H720" s="31"/>
    </row>
    <row r="721" spans="1:8" ht="33">
      <c r="A721" s="33">
        <f>COUNTA($D$4:D721)</f>
        <v>623</v>
      </c>
      <c r="B721" s="40" t="str">
        <f t="shared" ref="B721:B726" si="114">"Cung cấp dữ liệu "&amp;C721</f>
        <v>Cung cấp dữ liệu Thông tin điều ước quốc tế, thỏa thuận quốc tế</v>
      </c>
      <c r="C721" s="47" t="s">
        <v>513</v>
      </c>
      <c r="D721" s="33" t="s">
        <v>28</v>
      </c>
      <c r="E721" s="35"/>
      <c r="F721" s="35"/>
      <c r="G721" s="33" t="s">
        <v>5</v>
      </c>
      <c r="H721" s="31" t="s">
        <v>6</v>
      </c>
    </row>
    <row r="722" spans="1:8" ht="16.5">
      <c r="A722" s="33">
        <f>COUNTA($D$4:D722)</f>
        <v>624</v>
      </c>
      <c r="B722" s="40" t="str">
        <f t="shared" si="114"/>
        <v>Cung cấp dữ liệu Thông tin chương trình dự án</v>
      </c>
      <c r="C722" s="47" t="s">
        <v>514</v>
      </c>
      <c r="D722" s="33" t="s">
        <v>28</v>
      </c>
      <c r="E722" s="35"/>
      <c r="F722" s="35"/>
      <c r="G722" s="33" t="s">
        <v>5</v>
      </c>
      <c r="H722" s="31" t="s">
        <v>6</v>
      </c>
    </row>
    <row r="723" spans="1:8" ht="16.5">
      <c r="A723" s="33">
        <f>COUNTA($D$4:D723)</f>
        <v>625</v>
      </c>
      <c r="B723" s="40" t="str">
        <f t="shared" si="114"/>
        <v>Cung cấp dữ liệu Danh sách chuyên gia</v>
      </c>
      <c r="C723" s="47" t="s">
        <v>515</v>
      </c>
      <c r="D723" s="33" t="s">
        <v>28</v>
      </c>
      <c r="E723" s="35"/>
      <c r="F723" s="35"/>
      <c r="G723" s="33" t="s">
        <v>5</v>
      </c>
      <c r="H723" s="31" t="s">
        <v>6</v>
      </c>
    </row>
    <row r="724" spans="1:8" ht="16.5">
      <c r="A724" s="33">
        <f>COUNTA($D$4:D724)</f>
        <v>626</v>
      </c>
      <c r="B724" s="40" t="str">
        <f t="shared" si="114"/>
        <v>Cung cấp dữ liệu Thông tin hội nghị, hội thảo</v>
      </c>
      <c r="C724" s="47" t="s">
        <v>516</v>
      </c>
      <c r="D724" s="33" t="s">
        <v>28</v>
      </c>
      <c r="E724" s="35"/>
      <c r="F724" s="35"/>
      <c r="G724" s="33" t="s">
        <v>5</v>
      </c>
      <c r="H724" s="31" t="s">
        <v>6</v>
      </c>
    </row>
    <row r="725" spans="1:8" ht="33">
      <c r="A725" s="33">
        <f>COUNTA($D$4:D725)</f>
        <v>627</v>
      </c>
      <c r="B725" s="40" t="str">
        <f t="shared" si="114"/>
        <v>Cung cấp dữ liệu Thông tin sản phẩm nghiên cứu, truyền thông</v>
      </c>
      <c r="C725" s="47" t="s">
        <v>517</v>
      </c>
      <c r="D725" s="33" t="s">
        <v>28</v>
      </c>
      <c r="E725" s="35"/>
      <c r="F725" s="35"/>
      <c r="G725" s="33" t="s">
        <v>5</v>
      </c>
      <c r="H725" s="31" t="s">
        <v>6</v>
      </c>
    </row>
    <row r="726" spans="1:8" ht="16.5">
      <c r="A726" s="33">
        <f>COUNTA($D$4:D726)</f>
        <v>628</v>
      </c>
      <c r="B726" s="40" t="str">
        <f t="shared" si="114"/>
        <v>Cung cấp dữ liệu Thông tin Đoàn</v>
      </c>
      <c r="C726" s="47" t="s">
        <v>518</v>
      </c>
      <c r="D726" s="33" t="s">
        <v>28</v>
      </c>
      <c r="E726" s="35"/>
      <c r="F726" s="35"/>
      <c r="G726" s="33" t="s">
        <v>5</v>
      </c>
      <c r="H726" s="31" t="s">
        <v>6</v>
      </c>
    </row>
    <row r="727" spans="1:8" ht="49.5">
      <c r="A727" s="38" t="s">
        <v>407</v>
      </c>
      <c r="B727" s="39" t="s">
        <v>372</v>
      </c>
      <c r="C727" s="39"/>
      <c r="D727" s="33"/>
      <c r="E727" s="35"/>
      <c r="F727" s="32"/>
      <c r="G727" s="33"/>
      <c r="H727" s="31"/>
    </row>
    <row r="728" spans="1:8" ht="33">
      <c r="A728" s="33">
        <f>COUNTA($D$4:D728)</f>
        <v>629</v>
      </c>
      <c r="B728" s="40" t="str">
        <f>"Cung cấp dữ liệu mở về "&amp;C728</f>
        <v>Cung cấp dữ liệu mở về Danh sách tổ chức thực hiện trợ giúp pháp lý</v>
      </c>
      <c r="C728" s="35" t="s">
        <v>373</v>
      </c>
      <c r="D728" s="33" t="s">
        <v>28</v>
      </c>
      <c r="E728" s="35"/>
      <c r="F728" s="35"/>
      <c r="G728" s="33" t="s">
        <v>5</v>
      </c>
      <c r="H728" s="31" t="s">
        <v>6</v>
      </c>
    </row>
    <row r="729" spans="1:8" ht="33">
      <c r="A729" s="33">
        <f>COUNTA($D$4:D729)</f>
        <v>630</v>
      </c>
      <c r="B729" s="40" t="str">
        <f t="shared" ref="B729:B738" si="115">"Cung cấp dữ liệu mở về "&amp;C729</f>
        <v>Cung cấp dữ liệu mở về Danh sách người thực hiện trợ giúp pháp lý</v>
      </c>
      <c r="C729" s="35" t="s">
        <v>374</v>
      </c>
      <c r="D729" s="33" t="s">
        <v>28</v>
      </c>
      <c r="E729" s="35"/>
      <c r="F729" s="35"/>
      <c r="G729" s="33" t="s">
        <v>5</v>
      </c>
      <c r="H729" s="31" t="s">
        <v>6</v>
      </c>
    </row>
    <row r="730" spans="1:8" ht="33">
      <c r="A730" s="33">
        <f>COUNTA($D$4:D730)</f>
        <v>631</v>
      </c>
      <c r="B730" s="40" t="str">
        <f t="shared" si="115"/>
        <v>Cung cấp dữ liệu mở về Danh sách tổ chức hành nghề công chứng</v>
      </c>
      <c r="C730" s="35" t="s">
        <v>383</v>
      </c>
      <c r="D730" s="33" t="s">
        <v>28</v>
      </c>
      <c r="E730" s="35"/>
      <c r="F730" s="35"/>
      <c r="G730" s="33" t="s">
        <v>5</v>
      </c>
      <c r="H730" s="31" t="s">
        <v>6</v>
      </c>
    </row>
    <row r="731" spans="1:8" ht="16.5">
      <c r="A731" s="33">
        <f>COUNTA($D$4:D731)</f>
        <v>632</v>
      </c>
      <c r="B731" s="40" t="str">
        <f t="shared" si="115"/>
        <v>Cung cấp dữ liệu mở về Danh sách công chứng viên</v>
      </c>
      <c r="C731" s="35" t="s">
        <v>382</v>
      </c>
      <c r="D731" s="33" t="s">
        <v>28</v>
      </c>
      <c r="E731" s="35"/>
      <c r="F731" s="35"/>
      <c r="G731" s="33" t="s">
        <v>5</v>
      </c>
      <c r="H731" s="31" t="s">
        <v>6</v>
      </c>
    </row>
    <row r="732" spans="1:8" ht="33">
      <c r="A732" s="33">
        <f>COUNTA($D$4:D732)</f>
        <v>633</v>
      </c>
      <c r="B732" s="40" t="str">
        <f t="shared" si="115"/>
        <v>Cung cấp dữ liệu mở về Danh sách tổ chức giám định tư pháp</v>
      </c>
      <c r="C732" s="35" t="s">
        <v>381</v>
      </c>
      <c r="D732" s="33" t="s">
        <v>28</v>
      </c>
      <c r="E732" s="35"/>
      <c r="F732" s="35"/>
      <c r="G732" s="33" t="s">
        <v>5</v>
      </c>
      <c r="H732" s="31" t="s">
        <v>6</v>
      </c>
    </row>
    <row r="733" spans="1:8" ht="33">
      <c r="A733" s="33">
        <f>COUNTA($D$4:D733)</f>
        <v>634</v>
      </c>
      <c r="B733" s="40" t="str">
        <f t="shared" si="115"/>
        <v>Cung cấp dữ liệu mở về Danh sách cá nhân giám định tư pháp</v>
      </c>
      <c r="C733" s="35" t="s">
        <v>380</v>
      </c>
      <c r="D733" s="33" t="s">
        <v>28</v>
      </c>
      <c r="E733" s="35"/>
      <c r="F733" s="35"/>
      <c r="G733" s="33" t="s">
        <v>5</v>
      </c>
      <c r="H733" s="31" t="s">
        <v>6</v>
      </c>
    </row>
    <row r="734" spans="1:8" ht="16.5">
      <c r="A734" s="33">
        <f>COUNTA($D$4:D734)</f>
        <v>635</v>
      </c>
      <c r="B734" s="40" t="str">
        <f t="shared" si="115"/>
        <v>Cung cấp dữ liệu mở về Danh sách luật sư Việt Nam</v>
      </c>
      <c r="C734" s="35" t="s">
        <v>379</v>
      </c>
      <c r="D734" s="33" t="s">
        <v>28</v>
      </c>
      <c r="E734" s="35"/>
      <c r="F734" s="35"/>
      <c r="G734" s="33" t="s">
        <v>5</v>
      </c>
      <c r="H734" s="31" t="s">
        <v>6</v>
      </c>
    </row>
    <row r="735" spans="1:8" ht="33">
      <c r="A735" s="33">
        <f>COUNTA($D$4:D735)</f>
        <v>636</v>
      </c>
      <c r="B735" s="40" t="str">
        <f t="shared" si="115"/>
        <v>Cung cấp dữ liệu mở về Danh sách tổ chức hành nghề luật sư Việt Nam</v>
      </c>
      <c r="C735" s="35" t="s">
        <v>378</v>
      </c>
      <c r="D735" s="33" t="s">
        <v>28</v>
      </c>
      <c r="E735" s="35"/>
      <c r="F735" s="35"/>
      <c r="G735" s="33" t="s">
        <v>5</v>
      </c>
      <c r="H735" s="31" t="s">
        <v>6</v>
      </c>
    </row>
    <row r="736" spans="1:8" ht="16.5">
      <c r="A736" s="33">
        <f>COUNTA($D$4:D736)</f>
        <v>637</v>
      </c>
      <c r="B736" s="40" t="str">
        <f t="shared" si="115"/>
        <v>Cung cấp dữ liệu mở về Danh sách luật sư nước ngoài</v>
      </c>
      <c r="C736" s="35" t="s">
        <v>377</v>
      </c>
      <c r="D736" s="33" t="s">
        <v>28</v>
      </c>
      <c r="E736" s="35"/>
      <c r="F736" s="35"/>
      <c r="G736" s="33" t="s">
        <v>5</v>
      </c>
      <c r="H736" s="31" t="s">
        <v>6</v>
      </c>
    </row>
    <row r="737" spans="1:8" ht="33">
      <c r="A737" s="33">
        <f>COUNTA($D$4:D737)</f>
        <v>638</v>
      </c>
      <c r="B737" s="40" t="str">
        <f t="shared" si="115"/>
        <v>Cung cấp dữ liệu mở về Danh sách tổ chức hành nghề luật sư nước ngoài</v>
      </c>
      <c r="C737" s="35" t="s">
        <v>376</v>
      </c>
      <c r="D737" s="33" t="s">
        <v>28</v>
      </c>
      <c r="E737" s="35"/>
      <c r="F737" s="35"/>
      <c r="G737" s="33" t="s">
        <v>5</v>
      </c>
      <c r="H737" s="31" t="s">
        <v>6</v>
      </c>
    </row>
    <row r="738" spans="1:8" ht="33">
      <c r="A738" s="33">
        <f>COUNTA($D$4:D738)</f>
        <v>639</v>
      </c>
      <c r="B738" s="40" t="str">
        <f t="shared" si="115"/>
        <v>Cung cấp dữ liệu mở về Danh sách Báo cáo viên pháp luật trung ương</v>
      </c>
      <c r="C738" s="35" t="s">
        <v>375</v>
      </c>
      <c r="D738" s="33" t="s">
        <v>28</v>
      </c>
      <c r="E738" s="35"/>
      <c r="F738" s="35"/>
      <c r="G738" s="33" t="s">
        <v>5</v>
      </c>
      <c r="H738" s="31" t="s">
        <v>6</v>
      </c>
    </row>
    <row r="739" spans="1:8" ht="33">
      <c r="A739" s="33">
        <f>COUNTA($D$4:D739)</f>
        <v>640</v>
      </c>
      <c r="B739" s="40" t="str">
        <f>"Cung cấp dữ liệu mở về số liệu thống kê trong lĩnh vực "&amp;C739</f>
        <v>Cung cấp dữ liệu mở về số liệu thống kê trong lĩnh vực Xây dựng văn bản quy phạm pháp luật</v>
      </c>
      <c r="C739" s="25" t="s">
        <v>346</v>
      </c>
      <c r="D739" s="33" t="s">
        <v>28</v>
      </c>
      <c r="E739" s="35"/>
      <c r="F739" s="35"/>
      <c r="G739" s="33" t="s">
        <v>5</v>
      </c>
      <c r="H739" s="31" t="s">
        <v>6</v>
      </c>
    </row>
    <row r="740" spans="1:8" ht="33">
      <c r="A740" s="33">
        <f>COUNTA($D$4:D740)</f>
        <v>641</v>
      </c>
      <c r="B740" s="40" t="str">
        <f t="shared" ref="B740:B759" si="116">"Cung cấp dữ liệu mở về số liệu thống kê trong lĩnh vực "&amp;C740</f>
        <v>Cung cấp dữ liệu mở về số liệu thống kê trong lĩnh vực Kiểm tra văn bản quy phạm pháp luật</v>
      </c>
      <c r="C740" s="25" t="s">
        <v>347</v>
      </c>
      <c r="D740" s="33" t="s">
        <v>28</v>
      </c>
      <c r="E740" s="35"/>
      <c r="F740" s="35"/>
      <c r="G740" s="33" t="s">
        <v>5</v>
      </c>
      <c r="H740" s="31" t="s">
        <v>6</v>
      </c>
    </row>
    <row r="741" spans="1:8" ht="33">
      <c r="A741" s="33">
        <f>COUNTA($D$4:D741)</f>
        <v>642</v>
      </c>
      <c r="B741" s="40" t="str">
        <f t="shared" si="116"/>
        <v>Cung cấp dữ liệu mở về số liệu thống kê trong lĩnh vực Rà soát văn bản quy phạm pháp luật</v>
      </c>
      <c r="C741" s="25" t="s">
        <v>348</v>
      </c>
      <c r="D741" s="33" t="s">
        <v>28</v>
      </c>
      <c r="E741" s="35"/>
      <c r="F741" s="35"/>
      <c r="G741" s="33" t="s">
        <v>5</v>
      </c>
      <c r="H741" s="31" t="s">
        <v>6</v>
      </c>
    </row>
    <row r="742" spans="1:8" ht="33">
      <c r="A742" s="33">
        <f>COUNTA($D$4:D742)</f>
        <v>643</v>
      </c>
      <c r="B742" s="40" t="str">
        <f t="shared" si="116"/>
        <v>Cung cấp dữ liệu mở về số liệu thống kê trong lĩnh vực Tổ chức và người làm công tác pháp chế</v>
      </c>
      <c r="C742" s="25" t="s">
        <v>349</v>
      </c>
      <c r="D742" s="33" t="s">
        <v>28</v>
      </c>
      <c r="E742" s="35"/>
      <c r="F742" s="35"/>
      <c r="G742" s="33" t="s">
        <v>5</v>
      </c>
      <c r="H742" s="31" t="s">
        <v>6</v>
      </c>
    </row>
    <row r="743" spans="1:8" ht="33">
      <c r="A743" s="33">
        <f>COUNTA($D$4:D743)</f>
        <v>644</v>
      </c>
      <c r="B743" s="40" t="str">
        <f t="shared" si="116"/>
        <v>Cung cấp dữ liệu mở về số liệu thống kê trong lĩnh vực Phổ biến, giáo dục pháp luật</v>
      </c>
      <c r="C743" s="25" t="s">
        <v>350</v>
      </c>
      <c r="D743" s="33" t="s">
        <v>28</v>
      </c>
      <c r="E743" s="35"/>
      <c r="F743" s="35"/>
      <c r="G743" s="33" t="s">
        <v>5</v>
      </c>
      <c r="H743" s="31" t="s">
        <v>6</v>
      </c>
    </row>
    <row r="744" spans="1:8" ht="33">
      <c r="A744" s="33">
        <f>COUNTA($D$4:D744)</f>
        <v>645</v>
      </c>
      <c r="B744" s="40" t="str">
        <f t="shared" si="116"/>
        <v>Cung cấp dữ liệu mở về số liệu thống kê trong lĩnh vực Hòa giải ở cơ sở</v>
      </c>
      <c r="C744" s="25" t="s">
        <v>351</v>
      </c>
      <c r="D744" s="33" t="s">
        <v>28</v>
      </c>
      <c r="E744" s="35"/>
      <c r="F744" s="35"/>
      <c r="G744" s="33" t="s">
        <v>5</v>
      </c>
      <c r="H744" s="31" t="s">
        <v>6</v>
      </c>
    </row>
    <row r="745" spans="1:8" ht="33">
      <c r="A745" s="33">
        <f>COUNTA($D$4:D745)</f>
        <v>646</v>
      </c>
      <c r="B745" s="40" t="str">
        <f t="shared" si="116"/>
        <v>Cung cấp dữ liệu mở về số liệu thống kê trong lĩnh vực Chuẩn tiếp cận pháp luật</v>
      </c>
      <c r="C745" s="25" t="s">
        <v>352</v>
      </c>
      <c r="D745" s="33" t="s">
        <v>28</v>
      </c>
      <c r="E745" s="35"/>
      <c r="F745" s="35"/>
      <c r="G745" s="33" t="s">
        <v>5</v>
      </c>
      <c r="H745" s="31" t="s">
        <v>6</v>
      </c>
    </row>
    <row r="746" spans="1:8" ht="16.5">
      <c r="A746" s="33">
        <f>COUNTA($D$4:D746)</f>
        <v>647</v>
      </c>
      <c r="B746" s="40" t="str">
        <f t="shared" si="116"/>
        <v>Cung cấp dữ liệu mở về số liệu thống kê trong lĩnh vực Hộ tịch</v>
      </c>
      <c r="C746" s="25" t="s">
        <v>353</v>
      </c>
      <c r="D746" s="33" t="s">
        <v>28</v>
      </c>
      <c r="E746" s="35"/>
      <c r="F746" s="35"/>
      <c r="G746" s="33" t="s">
        <v>5</v>
      </c>
      <c r="H746" s="31" t="s">
        <v>6</v>
      </c>
    </row>
    <row r="747" spans="1:8" ht="33">
      <c r="A747" s="33">
        <f>COUNTA($D$4:D747)</f>
        <v>648</v>
      </c>
      <c r="B747" s="40" t="str">
        <f t="shared" si="116"/>
        <v>Cung cấp dữ liệu mở về số liệu thống kê trong lĩnh vực Chứng thực</v>
      </c>
      <c r="C747" s="25" t="s">
        <v>354</v>
      </c>
      <c r="D747" s="33" t="s">
        <v>28</v>
      </c>
      <c r="E747" s="35"/>
      <c r="F747" s="35"/>
      <c r="G747" s="33" t="s">
        <v>5</v>
      </c>
      <c r="H747" s="31" t="s">
        <v>6</v>
      </c>
    </row>
    <row r="748" spans="1:8" ht="33">
      <c r="A748" s="33">
        <f>COUNTA($D$4:D748)</f>
        <v>649</v>
      </c>
      <c r="B748" s="40" t="str">
        <f t="shared" si="116"/>
        <v>Cung cấp dữ liệu mở về số liệu thống kê trong lĩnh vực Lý lịch tư pháp</v>
      </c>
      <c r="C748" s="25" t="s">
        <v>355</v>
      </c>
      <c r="D748" s="33" t="s">
        <v>28</v>
      </c>
      <c r="E748" s="35"/>
      <c r="F748" s="35"/>
      <c r="G748" s="33" t="s">
        <v>5</v>
      </c>
      <c r="H748" s="31" t="s">
        <v>6</v>
      </c>
    </row>
    <row r="749" spans="1:8" ht="33">
      <c r="A749" s="33">
        <f>COUNTA($D$4:D749)</f>
        <v>650</v>
      </c>
      <c r="B749" s="40" t="str">
        <f t="shared" si="116"/>
        <v>Cung cấp dữ liệu mở về số liệu thống kê trong lĩnh vực Nuôi con nuôi</v>
      </c>
      <c r="C749" s="25" t="s">
        <v>356</v>
      </c>
      <c r="D749" s="33" t="s">
        <v>28</v>
      </c>
      <c r="E749" s="35"/>
      <c r="F749" s="35"/>
      <c r="G749" s="33" t="s">
        <v>5</v>
      </c>
      <c r="H749" s="31" t="s">
        <v>6</v>
      </c>
    </row>
    <row r="750" spans="1:8" ht="33">
      <c r="A750" s="33">
        <f>COUNTA($D$4:D750)</f>
        <v>651</v>
      </c>
      <c r="B750" s="40" t="str">
        <f t="shared" si="116"/>
        <v>Cung cấp dữ liệu mở về số liệu thống kê trong lĩnh vực Trợ giúp pháp lý</v>
      </c>
      <c r="C750" s="25" t="s">
        <v>357</v>
      </c>
      <c r="D750" s="33" t="s">
        <v>28</v>
      </c>
      <c r="E750" s="35"/>
      <c r="F750" s="35"/>
      <c r="G750" s="33" t="s">
        <v>5</v>
      </c>
      <c r="H750" s="31" t="s">
        <v>6</v>
      </c>
    </row>
    <row r="751" spans="1:8" ht="33">
      <c r="A751" s="33">
        <f>COUNTA($D$4:D751)</f>
        <v>652</v>
      </c>
      <c r="B751" s="40" t="str">
        <f t="shared" si="116"/>
        <v>Cung cấp dữ liệu mở về số liệu thống kê trong lĩnh vực Đăng ký giao dịch bảo đảm</v>
      </c>
      <c r="C751" s="25" t="s">
        <v>358</v>
      </c>
      <c r="D751" s="33" t="s">
        <v>28</v>
      </c>
      <c r="E751" s="35"/>
      <c r="F751" s="35"/>
      <c r="G751" s="33" t="s">
        <v>5</v>
      </c>
      <c r="H751" s="31" t="s">
        <v>6</v>
      </c>
    </row>
    <row r="752" spans="1:8" ht="16.5">
      <c r="A752" s="33">
        <f>COUNTA($D$4:D752)</f>
        <v>653</v>
      </c>
      <c r="B752" s="40" t="str">
        <f t="shared" si="116"/>
        <v>Cung cấp dữ liệu mở về số liệu thống kê trong lĩnh vực Luật sư</v>
      </c>
      <c r="C752" s="25" t="s">
        <v>359</v>
      </c>
      <c r="D752" s="33" t="s">
        <v>28</v>
      </c>
      <c r="E752" s="35"/>
      <c r="F752" s="35"/>
      <c r="G752" s="33" t="s">
        <v>5</v>
      </c>
      <c r="H752" s="31" t="s">
        <v>6</v>
      </c>
    </row>
    <row r="753" spans="1:8" ht="33">
      <c r="A753" s="33">
        <f>COUNTA($D$4:D753)</f>
        <v>654</v>
      </c>
      <c r="B753" s="40" t="str">
        <f t="shared" si="116"/>
        <v>Cung cấp dữ liệu mở về số liệu thống kê trong lĩnh vực Công chứng</v>
      </c>
      <c r="C753" s="25" t="s">
        <v>360</v>
      </c>
      <c r="D753" s="33" t="s">
        <v>28</v>
      </c>
      <c r="E753" s="35"/>
      <c r="F753" s="35"/>
      <c r="G753" s="33" t="s">
        <v>5</v>
      </c>
      <c r="H753" s="31" t="s">
        <v>6</v>
      </c>
    </row>
    <row r="754" spans="1:8" ht="33">
      <c r="A754" s="33">
        <f>COUNTA($D$4:D754)</f>
        <v>655</v>
      </c>
      <c r="B754" s="40" t="str">
        <f t="shared" si="116"/>
        <v>Cung cấp dữ liệu mở về số liệu thống kê trong lĩnh vực Giám định tư pháp</v>
      </c>
      <c r="C754" s="25" t="s">
        <v>361</v>
      </c>
      <c r="D754" s="33" t="s">
        <v>28</v>
      </c>
      <c r="E754" s="35"/>
      <c r="F754" s="35"/>
      <c r="G754" s="33" t="s">
        <v>5</v>
      </c>
      <c r="H754" s="31" t="s">
        <v>6</v>
      </c>
    </row>
    <row r="755" spans="1:8" ht="33">
      <c r="A755" s="33">
        <f>COUNTA($D$4:D755)</f>
        <v>656</v>
      </c>
      <c r="B755" s="40" t="str">
        <f t="shared" si="116"/>
        <v>Cung cấp dữ liệu mở về số liệu thống kê trong lĩnh vực Đấu giá tài sản</v>
      </c>
      <c r="C755" s="25" t="s">
        <v>362</v>
      </c>
      <c r="D755" s="33" t="s">
        <v>28</v>
      </c>
      <c r="E755" s="35"/>
      <c r="F755" s="35"/>
      <c r="G755" s="33" t="s">
        <v>5</v>
      </c>
      <c r="H755" s="31" t="s">
        <v>6</v>
      </c>
    </row>
    <row r="756" spans="1:8" ht="33">
      <c r="A756" s="33">
        <f>COUNTA($D$4:D756)</f>
        <v>657</v>
      </c>
      <c r="B756" s="40" t="str">
        <f t="shared" si="116"/>
        <v>Cung cấp dữ liệu mở về số liệu thống kê trong lĩnh vực Trọng tài thương mại</v>
      </c>
      <c r="C756" s="25" t="s">
        <v>363</v>
      </c>
      <c r="D756" s="33" t="s">
        <v>28</v>
      </c>
      <c r="E756" s="35"/>
      <c r="F756" s="35"/>
      <c r="G756" s="33" t="s">
        <v>5</v>
      </c>
      <c r="H756" s="31" t="s">
        <v>6</v>
      </c>
    </row>
    <row r="757" spans="1:8" ht="33">
      <c r="A757" s="33">
        <f>COUNTA($D$4:D757)</f>
        <v>658</v>
      </c>
      <c r="B757" s="40" t="str">
        <f t="shared" si="116"/>
        <v>Cung cấp dữ liệu mở về số liệu thống kê trong lĩnh vực Hòa giải thương mại</v>
      </c>
      <c r="C757" s="25" t="s">
        <v>364</v>
      </c>
      <c r="D757" s="33" t="s">
        <v>28</v>
      </c>
      <c r="E757" s="35"/>
      <c r="F757" s="35"/>
      <c r="G757" s="33" t="s">
        <v>5</v>
      </c>
      <c r="H757" s="31" t="s">
        <v>6</v>
      </c>
    </row>
    <row r="758" spans="1:8" ht="33">
      <c r="A758" s="33">
        <f>COUNTA($D$4:D758)</f>
        <v>659</v>
      </c>
      <c r="B758" s="40" t="str">
        <f t="shared" si="116"/>
        <v>Cung cấp dữ liệu mở về số liệu thống kê trong lĩnh vực Quản lý thanh lý tài sản</v>
      </c>
      <c r="C758" s="25" t="s">
        <v>365</v>
      </c>
      <c r="D758" s="33" t="s">
        <v>28</v>
      </c>
      <c r="E758" s="35"/>
      <c r="F758" s="35"/>
      <c r="G758" s="33" t="s">
        <v>5</v>
      </c>
      <c r="H758" s="31" t="s">
        <v>6</v>
      </c>
    </row>
    <row r="759" spans="1:8" ht="33">
      <c r="A759" s="33">
        <f>COUNTA($D$4:D759)</f>
        <v>660</v>
      </c>
      <c r="B759" s="40" t="str">
        <f t="shared" si="116"/>
        <v>Cung cấp dữ liệu mở về số liệu thống kê trong lĩnh vực Tương trợ tư pháp</v>
      </c>
      <c r="C759" s="25" t="s">
        <v>366</v>
      </c>
      <c r="D759" s="33" t="s">
        <v>28</v>
      </c>
      <c r="E759" s="35"/>
      <c r="F759" s="35"/>
      <c r="G759" s="33" t="s">
        <v>5</v>
      </c>
      <c r="H759" s="31" t="s">
        <v>6</v>
      </c>
    </row>
    <row r="760" spans="1:8" ht="16.5">
      <c r="A760" s="38" t="s">
        <v>527</v>
      </c>
      <c r="B760" s="39" t="s">
        <v>528</v>
      </c>
      <c r="C760" s="39"/>
      <c r="D760" s="31"/>
      <c r="E760" s="32"/>
      <c r="F760" s="35"/>
      <c r="G760" s="33"/>
      <c r="H760" s="31"/>
    </row>
    <row r="761" spans="1:8" ht="16.5">
      <c r="A761" s="33">
        <f>COUNTA($D$4:D761)</f>
        <v>661</v>
      </c>
      <c r="B761" s="35" t="s">
        <v>529</v>
      </c>
      <c r="C761" s="35" t="s">
        <v>530</v>
      </c>
      <c r="D761" s="33" t="s">
        <v>28</v>
      </c>
      <c r="E761" s="35"/>
      <c r="F761" s="35"/>
      <c r="G761" s="33" t="s">
        <v>5</v>
      </c>
      <c r="H761" s="31" t="s">
        <v>6</v>
      </c>
    </row>
    <row r="762" spans="1:8" ht="16.5">
      <c r="A762" s="29" t="s">
        <v>323</v>
      </c>
      <c r="B762" s="30" t="s">
        <v>462</v>
      </c>
      <c r="C762" s="30"/>
      <c r="D762" s="31"/>
      <c r="E762" s="32"/>
      <c r="F762" s="32"/>
      <c r="G762" s="33"/>
      <c r="H762" s="33"/>
    </row>
    <row r="763" spans="1:8" ht="16.5">
      <c r="A763" s="37" t="s">
        <v>465</v>
      </c>
      <c r="B763" s="36" t="s">
        <v>464</v>
      </c>
      <c r="C763" s="36"/>
      <c r="D763" s="31"/>
      <c r="E763" s="32"/>
      <c r="F763" s="32"/>
      <c r="G763" s="33"/>
      <c r="H763" s="33"/>
    </row>
    <row r="764" spans="1:8" ht="33">
      <c r="A764" s="33">
        <f>COUNTA($D$4:D764)</f>
        <v>662</v>
      </c>
      <c r="B764" s="35" t="s">
        <v>466</v>
      </c>
      <c r="C764" s="35"/>
      <c r="D764" s="31" t="s">
        <v>322</v>
      </c>
      <c r="E764" s="32"/>
      <c r="F764" s="35"/>
      <c r="G764" s="33" t="s">
        <v>5</v>
      </c>
      <c r="H764" s="33" t="s">
        <v>6</v>
      </c>
    </row>
    <row r="765" spans="1:8" ht="16.5">
      <c r="A765" s="37" t="s">
        <v>467</v>
      </c>
      <c r="B765" s="36" t="s">
        <v>463</v>
      </c>
      <c r="C765" s="36"/>
      <c r="D765" s="31"/>
      <c r="E765" s="32"/>
      <c r="F765" s="32"/>
      <c r="G765" s="33"/>
      <c r="H765" s="33"/>
    </row>
    <row r="766" spans="1:8" ht="16.5">
      <c r="A766" s="38" t="s">
        <v>465</v>
      </c>
      <c r="B766" s="39" t="s">
        <v>51</v>
      </c>
      <c r="C766" s="39"/>
      <c r="D766" s="31"/>
      <c r="E766" s="32"/>
      <c r="F766" s="32"/>
      <c r="G766" s="33"/>
      <c r="H766" s="33"/>
    </row>
    <row r="767" spans="1:8" ht="33">
      <c r="A767" s="33">
        <f>COUNTA($D$4:D767)</f>
        <v>663</v>
      </c>
      <c r="B767" s="35" t="s">
        <v>534</v>
      </c>
      <c r="C767" s="35" t="s">
        <v>155</v>
      </c>
      <c r="D767" s="31" t="s">
        <v>322</v>
      </c>
      <c r="E767" s="32"/>
      <c r="F767" s="35"/>
      <c r="G767" s="33" t="s">
        <v>5</v>
      </c>
      <c r="H767" s="33" t="s">
        <v>6</v>
      </c>
    </row>
    <row r="768" spans="1:8" ht="16.5">
      <c r="A768" s="38" t="s">
        <v>467</v>
      </c>
      <c r="B768" s="41" t="s">
        <v>66</v>
      </c>
      <c r="C768" s="41"/>
      <c r="D768" s="31"/>
      <c r="E768" s="32"/>
      <c r="F768" s="32"/>
      <c r="G768" s="33"/>
      <c r="H768" s="33"/>
    </row>
    <row r="769" spans="1:8" ht="33">
      <c r="A769" s="33">
        <f>COUNTA($D$4:D769)</f>
        <v>664</v>
      </c>
      <c r="B769" s="51" t="s">
        <v>535</v>
      </c>
      <c r="C769" s="51" t="s">
        <v>156</v>
      </c>
      <c r="D769" s="31" t="s">
        <v>322</v>
      </c>
      <c r="E769" s="53"/>
      <c r="F769" s="54"/>
      <c r="G769" s="33" t="s">
        <v>5</v>
      </c>
      <c r="H769" s="55" t="s">
        <v>6</v>
      </c>
    </row>
    <row r="770" spans="1:8" ht="16.5">
      <c r="A770" s="38" t="s">
        <v>468</v>
      </c>
      <c r="B770" s="39" t="s">
        <v>74</v>
      </c>
      <c r="C770" s="39"/>
      <c r="D770" s="31"/>
      <c r="E770" s="32"/>
      <c r="F770" s="35"/>
      <c r="G770" s="33"/>
      <c r="H770" s="33"/>
    </row>
    <row r="771" spans="1:8" ht="33">
      <c r="A771" s="33">
        <f>COUNTA($D$4:D771)</f>
        <v>665</v>
      </c>
      <c r="B771" s="54" t="s">
        <v>536</v>
      </c>
      <c r="C771" s="54" t="s">
        <v>157</v>
      </c>
      <c r="D771" s="31" t="s">
        <v>322</v>
      </c>
      <c r="E771" s="53"/>
      <c r="F771" s="54"/>
      <c r="G771" s="33" t="s">
        <v>5</v>
      </c>
      <c r="H771" s="55" t="s">
        <v>6</v>
      </c>
    </row>
    <row r="772" spans="1:8" ht="16.5">
      <c r="A772" s="38" t="s">
        <v>469</v>
      </c>
      <c r="B772" s="39" t="s">
        <v>96</v>
      </c>
      <c r="C772" s="39"/>
      <c r="D772" s="31"/>
      <c r="E772" s="32"/>
      <c r="F772" s="32"/>
      <c r="G772" s="33"/>
      <c r="H772" s="33"/>
    </row>
    <row r="773" spans="1:8" ht="33">
      <c r="A773" s="33">
        <f>COUNTA($D$4:D773)</f>
        <v>666</v>
      </c>
      <c r="B773" s="54" t="s">
        <v>537</v>
      </c>
      <c r="C773" s="54" t="s">
        <v>158</v>
      </c>
      <c r="D773" s="31" t="s">
        <v>322</v>
      </c>
      <c r="E773" s="53"/>
      <c r="F773" s="54"/>
      <c r="G773" s="33" t="s">
        <v>5</v>
      </c>
      <c r="H773" s="55" t="s">
        <v>6</v>
      </c>
    </row>
    <row r="774" spans="1:8" ht="16.5">
      <c r="A774" s="38" t="s">
        <v>470</v>
      </c>
      <c r="B774" s="39" t="s">
        <v>105</v>
      </c>
      <c r="C774" s="39"/>
      <c r="D774" s="31"/>
      <c r="E774" s="32"/>
      <c r="F774" s="32"/>
      <c r="G774" s="33"/>
      <c r="H774" s="33"/>
    </row>
    <row r="775" spans="1:8" ht="33">
      <c r="A775" s="33">
        <f>COUNTA($D$4:D775)</f>
        <v>667</v>
      </c>
      <c r="B775" s="54" t="s">
        <v>538</v>
      </c>
      <c r="C775" s="54" t="s">
        <v>159</v>
      </c>
      <c r="D775" s="31" t="s">
        <v>322</v>
      </c>
      <c r="E775" s="53"/>
      <c r="F775" s="54"/>
      <c r="G775" s="33" t="s">
        <v>5</v>
      </c>
      <c r="H775" s="55" t="s">
        <v>6</v>
      </c>
    </row>
    <row r="776" spans="1:8" ht="16.5">
      <c r="A776" s="38" t="s">
        <v>471</v>
      </c>
      <c r="B776" s="39" t="s">
        <v>113</v>
      </c>
      <c r="C776" s="39"/>
      <c r="D776" s="31"/>
      <c r="E776" s="32"/>
      <c r="F776" s="32"/>
      <c r="G776" s="33"/>
      <c r="H776" s="33"/>
    </row>
    <row r="777" spans="1:8" ht="33">
      <c r="A777" s="33">
        <f>COUNTA($D$4:D777)</f>
        <v>668</v>
      </c>
      <c r="B777" s="54" t="s">
        <v>539</v>
      </c>
      <c r="C777" s="54" t="s">
        <v>160</v>
      </c>
      <c r="D777" s="31" t="s">
        <v>322</v>
      </c>
      <c r="E777" s="53"/>
      <c r="F777" s="54"/>
      <c r="G777" s="33" t="s">
        <v>5</v>
      </c>
      <c r="H777" s="55" t="s">
        <v>6</v>
      </c>
    </row>
    <row r="778" spans="1:8" ht="16.5">
      <c r="A778" s="38" t="s">
        <v>472</v>
      </c>
      <c r="B778" s="39" t="s">
        <v>118</v>
      </c>
      <c r="C778" s="39"/>
      <c r="D778" s="31"/>
      <c r="E778" s="32"/>
      <c r="F778" s="32"/>
      <c r="G778" s="33"/>
      <c r="H778" s="33"/>
    </row>
    <row r="779" spans="1:8" ht="33">
      <c r="A779" s="33">
        <f>COUNTA($D$4:D779)</f>
        <v>669</v>
      </c>
      <c r="B779" s="54" t="s">
        <v>540</v>
      </c>
      <c r="C779" s="54" t="s">
        <v>161</v>
      </c>
      <c r="D779" s="31" t="s">
        <v>322</v>
      </c>
      <c r="E779" s="53"/>
      <c r="F779" s="54"/>
      <c r="G779" s="33" t="s">
        <v>5</v>
      </c>
      <c r="H779" s="55" t="s">
        <v>6</v>
      </c>
    </row>
    <row r="780" spans="1:8" ht="16.5">
      <c r="A780" s="38" t="s">
        <v>473</v>
      </c>
      <c r="B780" s="39" t="s">
        <v>460</v>
      </c>
      <c r="C780" s="39"/>
      <c r="D780" s="31"/>
      <c r="E780" s="32"/>
      <c r="F780" s="32"/>
      <c r="G780" s="33"/>
      <c r="H780" s="33"/>
    </row>
    <row r="781" spans="1:8" ht="49.5">
      <c r="A781" s="33">
        <f>COUNTA($D$4:D781)</f>
        <v>670</v>
      </c>
      <c r="B781" s="54" t="s">
        <v>541</v>
      </c>
      <c r="C781" s="54" t="s">
        <v>542</v>
      </c>
      <c r="D781" s="31" t="s">
        <v>322</v>
      </c>
      <c r="E781" s="53"/>
      <c r="F781" s="54"/>
      <c r="G781" s="33" t="s">
        <v>5</v>
      </c>
      <c r="H781" s="55" t="s">
        <v>6</v>
      </c>
    </row>
    <row r="782" spans="1:8" ht="16.5">
      <c r="A782" s="38" t="s">
        <v>474</v>
      </c>
      <c r="B782" s="39" t="s">
        <v>127</v>
      </c>
      <c r="C782" s="39"/>
      <c r="D782" s="31"/>
      <c r="E782" s="32"/>
      <c r="F782" s="32"/>
      <c r="G782" s="33"/>
      <c r="H782" s="33"/>
    </row>
    <row r="783" spans="1:8" ht="33">
      <c r="A783" s="33">
        <f>COUNTA($D$4:D783)</f>
        <v>671</v>
      </c>
      <c r="B783" s="54" t="s">
        <v>543</v>
      </c>
      <c r="C783" s="54" t="s">
        <v>162</v>
      </c>
      <c r="D783" s="31" t="s">
        <v>322</v>
      </c>
      <c r="E783" s="53"/>
      <c r="F783" s="54"/>
      <c r="G783" s="33" t="s">
        <v>5</v>
      </c>
      <c r="H783" s="55" t="s">
        <v>6</v>
      </c>
    </row>
    <row r="784" spans="1:8" ht="16.5">
      <c r="A784" s="38" t="s">
        <v>475</v>
      </c>
      <c r="B784" s="39" t="s">
        <v>512</v>
      </c>
      <c r="C784" s="39"/>
      <c r="D784" s="31"/>
      <c r="E784" s="32"/>
      <c r="F784" s="32"/>
      <c r="G784" s="33"/>
      <c r="H784" s="33"/>
    </row>
    <row r="785" spans="1:8" ht="33">
      <c r="A785" s="33">
        <f>COUNTA($D$4:D785)</f>
        <v>672</v>
      </c>
      <c r="B785" s="54" t="s">
        <v>544</v>
      </c>
      <c r="C785" s="54" t="s">
        <v>526</v>
      </c>
      <c r="D785" s="31" t="s">
        <v>322</v>
      </c>
      <c r="E785" s="53"/>
      <c r="F785" s="54"/>
      <c r="G785" s="33" t="s">
        <v>5</v>
      </c>
      <c r="H785" s="55" t="s">
        <v>6</v>
      </c>
    </row>
    <row r="786" spans="1:8" ht="16.5">
      <c r="A786" s="38" t="s">
        <v>525</v>
      </c>
      <c r="B786" s="39" t="s">
        <v>476</v>
      </c>
      <c r="C786" s="39"/>
      <c r="D786" s="31"/>
      <c r="E786" s="35"/>
      <c r="F786" s="32"/>
      <c r="G786" s="33"/>
      <c r="H786" s="31"/>
    </row>
    <row r="787" spans="1:8" ht="33">
      <c r="A787" s="33">
        <f>COUNTA($D$4:D787)</f>
        <v>673</v>
      </c>
      <c r="B787" s="54" t="s">
        <v>545</v>
      </c>
      <c r="C787" s="54" t="s">
        <v>533</v>
      </c>
      <c r="D787" s="31" t="s">
        <v>322</v>
      </c>
      <c r="E787" s="32"/>
      <c r="F787" s="35"/>
      <c r="G787" s="33" t="s">
        <v>5</v>
      </c>
      <c r="H787" s="33" t="s">
        <v>6</v>
      </c>
    </row>
    <row r="788" spans="1:8" ht="16.5">
      <c r="A788" s="38" t="s">
        <v>525</v>
      </c>
      <c r="B788" s="39" t="s">
        <v>531</v>
      </c>
      <c r="C788" s="39"/>
      <c r="D788" s="31"/>
      <c r="E788" s="35"/>
      <c r="F788" s="32"/>
      <c r="G788" s="33"/>
      <c r="H788" s="31"/>
    </row>
    <row r="789" spans="1:8" ht="33">
      <c r="A789" s="33">
        <f>COUNTA($D$4:D789)</f>
        <v>674</v>
      </c>
      <c r="B789" s="54" t="s">
        <v>546</v>
      </c>
      <c r="C789" s="54" t="s">
        <v>532</v>
      </c>
      <c r="D789" s="31" t="s">
        <v>322</v>
      </c>
      <c r="E789" s="32"/>
      <c r="F789" s="35"/>
      <c r="G789" s="33" t="s">
        <v>5</v>
      </c>
      <c r="H789" s="33" t="s">
        <v>6</v>
      </c>
    </row>
    <row r="790" spans="1:8" ht="16.5">
      <c r="A790" s="29" t="s">
        <v>323</v>
      </c>
      <c r="B790" s="30" t="s">
        <v>324</v>
      </c>
      <c r="C790" s="30"/>
      <c r="D790" s="31"/>
      <c r="E790" s="32"/>
      <c r="F790" s="32"/>
      <c r="G790" s="33"/>
      <c r="H790" s="31"/>
    </row>
    <row r="791" spans="1:8" ht="99">
      <c r="A791" s="33">
        <f>COUNTA($D$4:D791)</f>
        <v>675</v>
      </c>
      <c r="B791" s="35" t="s">
        <v>411</v>
      </c>
      <c r="C791" s="35"/>
      <c r="D791" s="31" t="s">
        <v>28</v>
      </c>
      <c r="E791" s="32"/>
      <c r="F791" s="35" t="s">
        <v>417</v>
      </c>
      <c r="G791" s="33" t="s">
        <v>5</v>
      </c>
      <c r="H791" s="33" t="s">
        <v>7</v>
      </c>
    </row>
    <row r="792" spans="1:8" ht="99">
      <c r="A792" s="33">
        <f>COUNTA($D$4:D792)</f>
        <v>676</v>
      </c>
      <c r="B792" s="35" t="s">
        <v>325</v>
      </c>
      <c r="C792" s="35"/>
      <c r="D792" s="31" t="s">
        <v>28</v>
      </c>
      <c r="E792" s="32"/>
      <c r="F792" s="35" t="s">
        <v>416</v>
      </c>
      <c r="G792" s="33" t="s">
        <v>5</v>
      </c>
      <c r="H792" s="33" t="s">
        <v>7</v>
      </c>
    </row>
    <row r="793" spans="1:8" ht="82.5">
      <c r="A793" s="33">
        <f>COUNTA($D$4:D793)</f>
        <v>677</v>
      </c>
      <c r="B793" s="35" t="s">
        <v>326</v>
      </c>
      <c r="C793" s="35"/>
      <c r="D793" s="31" t="s">
        <v>28</v>
      </c>
      <c r="E793" s="32"/>
      <c r="F793" s="35" t="s">
        <v>415</v>
      </c>
      <c r="G793" s="33" t="s">
        <v>5</v>
      </c>
      <c r="H793" s="31" t="s">
        <v>6</v>
      </c>
    </row>
    <row r="794" spans="1:8" ht="82.5">
      <c r="A794" s="33">
        <f>COUNTA($D$4:D794)</f>
        <v>678</v>
      </c>
      <c r="B794" s="35" t="s">
        <v>327</v>
      </c>
      <c r="C794" s="35"/>
      <c r="D794" s="31" t="s">
        <v>28</v>
      </c>
      <c r="E794" s="32"/>
      <c r="F794" s="35" t="s">
        <v>418</v>
      </c>
      <c r="G794" s="33" t="s">
        <v>5</v>
      </c>
      <c r="H794" s="31" t="s">
        <v>6</v>
      </c>
    </row>
    <row r="795" spans="1:8" ht="99">
      <c r="A795" s="33">
        <f>COUNTA($D$4:D795)</f>
        <v>679</v>
      </c>
      <c r="B795" s="35" t="s">
        <v>412</v>
      </c>
      <c r="C795" s="34"/>
      <c r="D795" s="31" t="s">
        <v>28</v>
      </c>
      <c r="E795" s="32"/>
      <c r="F795" s="35" t="s">
        <v>419</v>
      </c>
      <c r="G795" s="33" t="s">
        <v>5</v>
      </c>
      <c r="H795" s="31" t="s">
        <v>6</v>
      </c>
    </row>
    <row r="796" spans="1:8" ht="66">
      <c r="A796" s="33">
        <f>COUNTA($D$4:D796)</f>
        <v>680</v>
      </c>
      <c r="B796" s="35" t="s">
        <v>389</v>
      </c>
      <c r="C796" s="35"/>
      <c r="D796" s="33" t="s">
        <v>28</v>
      </c>
      <c r="E796" s="32"/>
      <c r="F796" s="35" t="s">
        <v>420</v>
      </c>
      <c r="G796" s="33" t="s">
        <v>5</v>
      </c>
      <c r="H796" s="31" t="s">
        <v>6</v>
      </c>
    </row>
    <row r="797" spans="1:8" ht="99">
      <c r="A797" s="33">
        <f>COUNTA($D$4:D797)</f>
        <v>681</v>
      </c>
      <c r="B797" s="35" t="s">
        <v>414</v>
      </c>
      <c r="C797" s="35"/>
      <c r="D797" s="33" t="s">
        <v>28</v>
      </c>
      <c r="E797" s="32"/>
      <c r="F797" s="35" t="s">
        <v>478</v>
      </c>
      <c r="G797" s="33" t="s">
        <v>5</v>
      </c>
      <c r="H797" s="31" t="s">
        <v>7</v>
      </c>
    </row>
    <row r="798" spans="1:8" ht="33">
      <c r="A798" s="33">
        <f>COUNTA($D$4:D798)</f>
        <v>682</v>
      </c>
      <c r="B798" s="35" t="s">
        <v>484</v>
      </c>
      <c r="C798" s="35"/>
      <c r="D798" s="33" t="s">
        <v>28</v>
      </c>
      <c r="E798" s="32"/>
      <c r="F798" s="35" t="s">
        <v>421</v>
      </c>
      <c r="G798" s="33" t="s">
        <v>5</v>
      </c>
      <c r="H798" s="31" t="s">
        <v>7</v>
      </c>
    </row>
    <row r="799" spans="1:8" ht="33">
      <c r="A799" s="33">
        <f>COUNTA($D$4:D799)</f>
        <v>683</v>
      </c>
      <c r="B799" s="35" t="s">
        <v>485</v>
      </c>
      <c r="C799" s="35"/>
      <c r="D799" s="33" t="s">
        <v>28</v>
      </c>
      <c r="E799" s="32"/>
      <c r="F799" s="35" t="s">
        <v>421</v>
      </c>
      <c r="G799" s="33" t="s">
        <v>5</v>
      </c>
      <c r="H799" s="31" t="s">
        <v>6</v>
      </c>
    </row>
    <row r="800" spans="1:8" ht="33">
      <c r="A800" s="33">
        <f>COUNTA($D$4:D800)</f>
        <v>684</v>
      </c>
      <c r="B800" s="35" t="s">
        <v>486</v>
      </c>
      <c r="C800" s="35"/>
      <c r="D800" s="33" t="s">
        <v>28</v>
      </c>
      <c r="E800" s="32"/>
      <c r="F800" s="35" t="s">
        <v>421</v>
      </c>
      <c r="G800" s="33" t="s">
        <v>5</v>
      </c>
      <c r="H800" s="31" t="s">
        <v>6</v>
      </c>
    </row>
    <row r="801" spans="1:10" ht="33">
      <c r="A801" s="33">
        <f>COUNTA($D$4:D801)</f>
        <v>685</v>
      </c>
      <c r="B801" s="35" t="s">
        <v>487</v>
      </c>
      <c r="C801" s="35"/>
      <c r="D801" s="33" t="s">
        <v>28</v>
      </c>
      <c r="E801" s="32"/>
      <c r="F801" s="35" t="s">
        <v>413</v>
      </c>
      <c r="G801" s="33" t="s">
        <v>5</v>
      </c>
      <c r="H801" s="31" t="s">
        <v>6</v>
      </c>
    </row>
    <row r="802" spans="1:10" ht="33">
      <c r="A802" s="33">
        <f>COUNTA($D$4:D802)</f>
        <v>686</v>
      </c>
      <c r="B802" s="35" t="s">
        <v>488</v>
      </c>
      <c r="C802" s="35"/>
      <c r="D802" s="33" t="s">
        <v>28</v>
      </c>
      <c r="E802" s="32"/>
      <c r="F802" s="35" t="s">
        <v>413</v>
      </c>
      <c r="G802" s="33" t="s">
        <v>5</v>
      </c>
      <c r="H802" s="31" t="s">
        <v>6</v>
      </c>
    </row>
    <row r="803" spans="1:10" ht="16.5">
      <c r="A803" s="33">
        <f>COUNTA($D$4:D803)</f>
        <v>687</v>
      </c>
      <c r="B803" s="35" t="s">
        <v>492</v>
      </c>
      <c r="C803" s="35"/>
      <c r="D803" s="33" t="s">
        <v>28</v>
      </c>
      <c r="E803" s="32"/>
      <c r="F803" s="35"/>
      <c r="G803" s="33" t="s">
        <v>5</v>
      </c>
      <c r="H803" s="31" t="s">
        <v>6</v>
      </c>
    </row>
    <row r="804" spans="1:10" ht="33">
      <c r="A804" s="33">
        <f>COUNTA($D$4:D804)</f>
        <v>688</v>
      </c>
      <c r="B804" s="35" t="s">
        <v>489</v>
      </c>
      <c r="C804" s="35"/>
      <c r="D804" s="33" t="s">
        <v>28</v>
      </c>
      <c r="E804" s="32"/>
      <c r="F804" s="35" t="s">
        <v>413</v>
      </c>
      <c r="G804" s="33" t="s">
        <v>5</v>
      </c>
      <c r="H804" s="31" t="s">
        <v>6</v>
      </c>
    </row>
    <row r="805" spans="1:10" ht="33">
      <c r="A805" s="33">
        <f>COUNTA($D$4:D805)</f>
        <v>689</v>
      </c>
      <c r="B805" s="35" t="s">
        <v>490</v>
      </c>
      <c r="C805" s="35"/>
      <c r="D805" s="33" t="s">
        <v>28</v>
      </c>
      <c r="E805" s="32"/>
      <c r="F805" s="35" t="s">
        <v>413</v>
      </c>
      <c r="G805" s="33" t="s">
        <v>5</v>
      </c>
      <c r="H805" s="31" t="s">
        <v>7</v>
      </c>
    </row>
    <row r="806" spans="1:10" ht="33">
      <c r="A806" s="33">
        <f>COUNTA($D$4:D806)</f>
        <v>690</v>
      </c>
      <c r="B806" s="35" t="s">
        <v>491</v>
      </c>
      <c r="C806" s="35"/>
      <c r="D806" s="33" t="s">
        <v>28</v>
      </c>
      <c r="E806" s="32"/>
      <c r="F806" s="35" t="s">
        <v>413</v>
      </c>
      <c r="G806" s="33" t="s">
        <v>5</v>
      </c>
      <c r="H806" s="31" t="s">
        <v>7</v>
      </c>
    </row>
    <row r="807" spans="1:10" ht="66">
      <c r="A807" s="33">
        <f>COUNTA($D$4:D807)</f>
        <v>691</v>
      </c>
      <c r="B807" s="34" t="s">
        <v>493</v>
      </c>
      <c r="C807" s="35"/>
      <c r="D807" s="31" t="s">
        <v>28</v>
      </c>
      <c r="E807" s="32"/>
      <c r="F807" s="34" t="s">
        <v>328</v>
      </c>
      <c r="G807" s="33" t="s">
        <v>5</v>
      </c>
      <c r="H807" s="31" t="s">
        <v>8</v>
      </c>
    </row>
    <row r="808" spans="1:10" ht="16.5">
      <c r="A808" s="33">
        <f>COUNTA($D$4:D808)</f>
        <v>692</v>
      </c>
      <c r="B808" s="59" t="s">
        <v>481</v>
      </c>
      <c r="C808" s="25"/>
      <c r="D808" s="31" t="s">
        <v>483</v>
      </c>
      <c r="E808" s="32"/>
      <c r="F808" s="32"/>
      <c r="G808" s="33" t="s">
        <v>5</v>
      </c>
      <c r="H808" s="31" t="s">
        <v>6</v>
      </c>
    </row>
    <row r="809" spans="1:10" ht="16.5">
      <c r="A809" s="33">
        <f>COUNTA($D$4:D809)</f>
        <v>693</v>
      </c>
      <c r="B809" s="59" t="s">
        <v>482</v>
      </c>
      <c r="C809" s="32"/>
      <c r="D809" s="31" t="s">
        <v>483</v>
      </c>
      <c r="E809" s="32"/>
      <c r="F809" s="32"/>
      <c r="G809" s="33" t="s">
        <v>5</v>
      </c>
      <c r="H809" s="31" t="s">
        <v>6</v>
      </c>
    </row>
    <row r="810" spans="1:10" ht="16.5">
      <c r="A810" s="23"/>
      <c r="B810" s="24"/>
      <c r="D810" s="20"/>
      <c r="E810" s="15"/>
      <c r="F810" s="15"/>
      <c r="G810" s="12"/>
      <c r="H810" s="12"/>
    </row>
    <row r="811" spans="1:10" ht="16.5">
      <c r="A811" s="21"/>
      <c r="B811" s="22"/>
      <c r="D811" s="20"/>
      <c r="E811" s="15"/>
      <c r="F811" s="15"/>
    </row>
    <row r="812" spans="1:10" ht="15.75">
      <c r="A812" s="16"/>
      <c r="B812" s="17"/>
      <c r="C812" s="26"/>
      <c r="D812" s="18"/>
    </row>
    <row r="816" spans="1:10">
      <c r="H816" s="13" t="s">
        <v>5</v>
      </c>
      <c r="I816" s="12" t="s">
        <v>10</v>
      </c>
      <c r="J816" s="12" t="s">
        <v>12</v>
      </c>
    </row>
    <row r="817" spans="7:10" ht="15.75">
      <c r="G817" s="14" t="s">
        <v>8</v>
      </c>
      <c r="H817" s="13">
        <f>COUNTIFS($H$4:$H$815,G817,$G$4:$G$815,$H$816)</f>
        <v>3</v>
      </c>
      <c r="I817" s="13">
        <f>COUNTIFS($H$4:$H$815,G817,$G$4:$G$815,$I$816)</f>
        <v>0</v>
      </c>
      <c r="J817" s="13">
        <f>COUNTIFS($H$4:$H$815,G817,$G$4:$G$815,$J$816)</f>
        <v>0</v>
      </c>
    </row>
    <row r="818" spans="7:10" ht="15.75">
      <c r="G818" s="14" t="s">
        <v>7</v>
      </c>
      <c r="H818" s="13">
        <f>COUNTIFS($H$4:$H$815,G818,$G$4:$G$815,$H$816)</f>
        <v>134</v>
      </c>
      <c r="I818" s="13">
        <f>COUNTIFS($H$4:$H$815,G818,$G$4:$G$815,$I$816)</f>
        <v>0</v>
      </c>
      <c r="J818" s="13">
        <f>COUNTIFS($H$4:$H$815,G818,$G$4:$G$815,$J$816)</f>
        <v>0</v>
      </c>
    </row>
    <row r="819" spans="7:10" ht="15.75">
      <c r="G819" s="14" t="s">
        <v>6</v>
      </c>
      <c r="H819" s="13">
        <f>COUNTIFS($H$4:$H$815,G819,$G$4:$G$815,$H$816)</f>
        <v>556</v>
      </c>
      <c r="I819" s="13">
        <f>COUNTIFS($H$4:$H$815,G819,$G$4:$G$815,$I$816)</f>
        <v>0</v>
      </c>
      <c r="J819" s="13">
        <f>COUNTIFS($H$4:$H$815,G819,$G$4:$G$815,$J$816)</f>
        <v>0</v>
      </c>
    </row>
    <row r="820" spans="7:10">
      <c r="H820" s="13">
        <f>SUM(H817:H819)</f>
        <v>693</v>
      </c>
      <c r="I820" s="13">
        <f>SUM(I817:I819)</f>
        <v>0</v>
      </c>
      <c r="J820" s="13">
        <f>SUM(J817:J819)</f>
        <v>0</v>
      </c>
    </row>
  </sheetData>
  <autoFilter ref="A3:H809" xr:uid="{F81B8176-B68F-4DCF-AEE6-EBD7F557CB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B6A8-EF9D-40AB-A1FB-18FBAD360866}">
  <dimension ref="A1:G9"/>
  <sheetViews>
    <sheetView workbookViewId="0">
      <selection activeCell="C9" sqref="C9"/>
    </sheetView>
  </sheetViews>
  <sheetFormatPr defaultRowHeight="15.75"/>
  <cols>
    <col min="1" max="1" width="9.140625" style="10" customWidth="1"/>
    <col min="2" max="2" width="35.85546875" customWidth="1"/>
    <col min="3" max="3" width="11.42578125" customWidth="1"/>
    <col min="4" max="4" width="47.85546875" customWidth="1"/>
    <col min="7" max="7" width="12.140625" bestFit="1" customWidth="1"/>
  </cols>
  <sheetData>
    <row r="1" spans="1:7" ht="57" customHeight="1">
      <c r="A1" s="64" t="s">
        <v>15</v>
      </c>
      <c r="B1" s="64"/>
      <c r="C1" s="64"/>
      <c r="D1" s="64"/>
    </row>
    <row r="2" spans="1:7" ht="16.5">
      <c r="A2" s="65" t="s">
        <v>0</v>
      </c>
      <c r="B2" s="65"/>
      <c r="C2" s="65"/>
      <c r="D2" s="65"/>
    </row>
    <row r="3" spans="1:7" ht="47.25">
      <c r="A3" s="1" t="s">
        <v>1</v>
      </c>
      <c r="B3" s="1" t="s">
        <v>16</v>
      </c>
      <c r="C3" s="1" t="s">
        <v>17</v>
      </c>
      <c r="D3" s="1" t="s">
        <v>3</v>
      </c>
    </row>
    <row r="4" spans="1:7" ht="24" customHeight="1">
      <c r="A4" s="2">
        <v>1</v>
      </c>
      <c r="B4" s="3" t="s">
        <v>18</v>
      </c>
      <c r="C4" s="4" t="e">
        <f>#REF!</f>
        <v>#REF!</v>
      </c>
      <c r="D4" s="5" t="s">
        <v>19</v>
      </c>
      <c r="G4" s="6"/>
    </row>
    <row r="5" spans="1:7" ht="24" customHeight="1">
      <c r="A5" s="2">
        <f>A4+1</f>
        <v>2</v>
      </c>
      <c r="B5" s="3" t="s">
        <v>20</v>
      </c>
      <c r="C5" s="4" t="e">
        <f>#REF!</f>
        <v>#REF!</v>
      </c>
      <c r="D5" s="5" t="s">
        <v>21</v>
      </c>
    </row>
    <row r="6" spans="1:7" ht="24" customHeight="1">
      <c r="A6" s="2">
        <f>A5+1</f>
        <v>3</v>
      </c>
      <c r="B6" s="3" t="s">
        <v>22</v>
      </c>
      <c r="C6" s="4" t="e">
        <f>#REF!</f>
        <v>#REF!</v>
      </c>
      <c r="D6" s="5" t="s">
        <v>23</v>
      </c>
    </row>
    <row r="7" spans="1:7" ht="24" customHeight="1">
      <c r="A7" s="2">
        <f>A6+1</f>
        <v>4</v>
      </c>
      <c r="B7" s="3" t="s">
        <v>24</v>
      </c>
      <c r="C7" s="4" t="e">
        <f>#REF!</f>
        <v>#REF!</v>
      </c>
      <c r="D7" s="7" t="s">
        <v>25</v>
      </c>
    </row>
    <row r="8" spans="1:7" ht="36" customHeight="1">
      <c r="A8" s="2"/>
      <c r="B8" s="8" t="s">
        <v>26</v>
      </c>
      <c r="C8" s="4" t="e">
        <f>SUM(C4:C7)/4</f>
        <v>#REF!</v>
      </c>
      <c r="D8" s="9" t="s">
        <v>27</v>
      </c>
    </row>
    <row r="9" spans="1:7">
      <c r="B9" s="11"/>
      <c r="C9" s="11"/>
      <c r="D9" s="11"/>
    </row>
  </sheetData>
  <mergeCells count="2">
    <mergeCell ref="A1:D1"/>
    <mergeCell ref="A2:D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9E3F3D-9074-4B1E-9378-2C73AFA62194}">
  <ds:schemaRefs>
    <ds:schemaRef ds:uri="http://schemas.microsoft.com/office/2006/documentManagement/types"/>
    <ds:schemaRef ds:uri="http://schemas.microsoft.com/sharepoint/v3"/>
    <ds:schemaRef ds:uri="http://schemas.microsoft.com/office/infopath/2007/PartnerControls"/>
    <ds:schemaRef ds:uri="http://schemas.microsoft.com/office/2006/metadata/properties"/>
    <ds:schemaRef ds:uri="http://purl.org/dc/dcmitype/"/>
    <ds:schemaRef ds:uri="http://purl.org/dc/elements/1.1/"/>
    <ds:schemaRef ds:uri="http://www.w3.org/XML/1998/namespace"/>
    <ds:schemaRef ds:uri="5e7ce613-1760-4596-b379-a5179a135596"/>
    <ds:schemaRef ds:uri="http://purl.org/dc/terms/"/>
    <ds:schemaRef ds:uri="http://schemas.openxmlformats.org/package/2006/metadata/core-properties"/>
    <ds:schemaRef ds:uri="1eb1900c-4cbe-499d-a9fb-2e494b491ecf"/>
  </ds:schemaRefs>
</ds:datastoreItem>
</file>

<file path=customXml/itemProps2.xml><?xml version="1.0" encoding="utf-8"?>
<ds:datastoreItem xmlns:ds="http://schemas.openxmlformats.org/officeDocument/2006/customXml" ds:itemID="{6EF2FDC5-57CF-4351-ADCA-A6A159B1D365}"/>
</file>

<file path=customXml/itemProps3.xml><?xml version="1.0" encoding="utf-8"?>
<ds:datastoreItem xmlns:ds="http://schemas.openxmlformats.org/officeDocument/2006/customXml" ds:itemID="{86F1EF2C-9968-431B-89B0-A0E2A5A29AC9}">
  <ds:schemaRefs>
    <ds:schemaRef ds:uri="http://schemas.microsoft.com/sharepoint/v3/contenttype/form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 Chức năng</vt:lpstr>
      <vt:lpstr>4.6. Bảng lương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 Linh</dc:creator>
  <cp:keywords/>
  <dc:description/>
  <cp:lastModifiedBy>Tiến Đỗ Văn</cp:lastModifiedBy>
  <cp:revision/>
  <dcterms:created xsi:type="dcterms:W3CDTF">2008-09-17T02:30:34Z</dcterms:created>
  <dcterms:modified xsi:type="dcterms:W3CDTF">2026-02-26T09:11:26Z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y fmtid="{D5CDD505-2E9C-101B-9397-08002B2CF9AE}" pid="3" name="MediaServiceImageTags">
    <vt:lpwstr/>
  </property>
</Properties>
</file>