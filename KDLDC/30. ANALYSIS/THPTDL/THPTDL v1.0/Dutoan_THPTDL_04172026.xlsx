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xr:revisionPtr revIDLastSave="0" documentId="11_9B16ADFDBAD476C3C78618E1B6BD794E271D93B4" xr6:coauthVersionLast="47" xr6:coauthVersionMax="47" xr10:uidLastSave="{00000000-0000-0000-0000-000000000000}"/>
  <bookViews>
    <workbookView xWindow="132" yWindow="540" windowWidth="22716" windowHeight="10788" firstSheet="3" activeTab="3" xr2:uid="{00000000-000D-0000-FFFF-FFFF00000000}"/>
  </bookViews>
  <sheets>
    <sheet name="1. GTPM" sheetId="2" r:id="rId1"/>
    <sheet name="1.2.TAW" sheetId="3" r:id="rId2"/>
    <sheet name="1.3. TBF" sheetId="4" r:id="rId3"/>
    <sheet name="UseCase" sheetId="5" r:id="rId4"/>
    <sheet name="1.5. HSTDMT (EF)" sheetId="6" r:id="rId5"/>
    <sheet name="1.4.TCF moi" sheetId="7" r:id="rId6"/>
    <sheet name="1.5. EF moi" sheetId="8" r:id="rId7"/>
    <sheet name="2.Chi phí KT" sheetId="9" state="hidden" r:id="rId8"/>
    <sheet name="2.1.Giá trị KT" sheetId="10" state="hidden" r:id="rId9"/>
    <sheet name="2.2.UCW" sheetId="11" state="hidden" r:id="rId10"/>
    <sheet name="2.3.AW" sheetId="12" state="hidden" r:id="rId11"/>
    <sheet name="2.4.Hệ số phức tạp về KT- TCF" sheetId="13" state="hidden" r:id="rId12"/>
    <sheet name="2.5.Hệ số phức tạp về MT - ECF" sheetId="14" state="hidden" r:id="rId13"/>
    <sheet name="Bang luong" sheetId="15" r:id="rId14"/>
    <sheet name="1688" sheetId="16"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___a129">{"Offgrid",#N/A,FALSE,"OFFGRID";"Region",#N/A,FALSE,"REGION";"Offgrid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name="___lst1">[1]Ref!$A$1:$A$4</definedName>
    <definedName name="___lst2">[1]Ref!$B$1:$B$4</definedName>
    <definedName name="___lst3">[1]Ref!$C$1:$C$4</definedName>
    <definedName name="__a1">'[2]CP đàotạo'!__a1</definedName>
    <definedName name="__a129">{"Offgrid",#N/A,FALSE,"OFFGRID";"Region",#N/A,FALSE,"REGION";"Offgrid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a2">{"'Sheet1'!$L$16"}</definedName>
    <definedName name="__a3">{"'Sheet1'!$L$16"}</definedName>
    <definedName name="__bia5">'[2]CP đàotạo'!__bia5</definedName>
    <definedName name="__bia6">'[2]CP đàotạo'!__bia6</definedName>
    <definedName name="__BOT10">"Botón de opción 10"</definedName>
    <definedName name="__BOT9">"Botón de opción 9"</definedName>
    <definedName name="__cap1">'[2]CP đàotạo'!__cap1</definedName>
    <definedName name="__Cap2">'[2]CP đàotạo'!__Cap2</definedName>
    <definedName name="__D11">'[2]CP đàotạo'!__D11</definedName>
    <definedName name="__d1500">{"'Sheet1'!$L$16"}</definedName>
    <definedName name="__Goi8">{"'Sheet1'!$L$16"}</definedName>
    <definedName name="__h1">{"'Sheet1'!$L$16"}</definedName>
    <definedName name="__hsm2">1.1289</definedName>
    <definedName name="__IntlFixup">TRUE</definedName>
    <definedName name="__Lan1">{"'Sheet1'!$L$16"}</definedName>
    <definedName name="__LAN3">{"'Sheet1'!$L$16"}</definedName>
    <definedName name="__ne2">{"ÿÿÿÿÿ","DT cau tam Ha trinh 7.xls","DT cau tam Ha trinh 3.xls"}</definedName>
    <definedName name="__PA3">{"'Sheet1'!$L$16"}</definedName>
    <definedName name="__pd10">{"'Summary'!$A$1:$J$46"}</definedName>
    <definedName name="__PD11">{"'Summary'!$A$1:$J$46"}</definedName>
    <definedName name="__SD30">{"'Summary'!$A$1:$J$46"}</definedName>
    <definedName name="__t22">'[2]CP đàotạo'!__t22</definedName>
    <definedName name="__T7">{"Thuxm2.xls","Sheet1"}</definedName>
    <definedName name="__td1">{"'Sheet1'!$L$16"}</definedName>
    <definedName name="__TH1">'[2]CP đàotạo'!__TH1</definedName>
    <definedName name="__thu2">{"Thuxm2.xls","Sheet1"}</definedName>
    <definedName name="__tt3">{"'Sheet1'!$L$16"}</definedName>
    <definedName name="__xlcn.WorksheetConnection_App_totalC3J41">#REF!</definedName>
    <definedName name="_40x4">5100</definedName>
    <definedName name="_a129">{"Offgrid",#N/A,FALSE,"OFFGRID";"Region",#N/A,FALSE,"REGION";"Offgrid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4">{"'Sheet1'!$L$16"}</definedName>
    <definedName name="_Bia22">'[2]CP đàotạo'!_Bia22</definedName>
    <definedName name="_Bia3">'[2]CP đàotạo'!_Bia3</definedName>
    <definedName name="_bia5">'[2]CP đàotạo'!_bia5</definedName>
    <definedName name="_bia6">'[2]CP đàotạo'!_bia6</definedName>
    <definedName name="_BOT10">"Botón de opción 10"</definedName>
    <definedName name="_BOT9">"Botón de opción 9"</definedName>
    <definedName name="_cap1">'[2]CP đàotạo'!_cap1</definedName>
    <definedName name="_Cap2">'[2]CP đàotạo'!_Cap2</definedName>
    <definedName name="_D11">'[2]CP đàotạo'!_D11</definedName>
    <definedName name="_F1">{"'Sheet1'!$L$16"}</definedName>
    <definedName name="_Fill">#REF!</definedName>
    <definedName name="_xlnm._FilterDatabase" localSheetId="3" hidden="1">UseCase!$C$1:$C$1271</definedName>
    <definedName name="_GID1">'[3]LKVL-CK-HT-GD1'!$A$4</definedName>
    <definedName name="_Goi8">{"'Sheet1'!$L$16"}</definedName>
    <definedName name="_hsm2">1.1289</definedName>
    <definedName name="_huy1">{"'Sheet1'!$L$16"}</definedName>
    <definedName name="_Key1">#REF!</definedName>
    <definedName name="_Key2">#REF!</definedName>
    <definedName name="_Lan1">{"Thuxm2.xls","Sheet1"}</definedName>
    <definedName name="_ncb1">'[2]CP đàotạo'!_ncb1</definedName>
    <definedName name="_ne2">{"ÿÿÿÿÿ","DT cau tam Ha trinh 7.xls","DT cau tam Ha trinh 3.xls"}</definedName>
    <definedName name="_NSO2">{"'Sheet1'!$L$16"}</definedName>
    <definedName name="_NSO3">{"'Sheet1'!$L$16"}</definedName>
    <definedName name="_Order1">255</definedName>
    <definedName name="_Order2">255</definedName>
    <definedName name="_PA3">{"'Sheet1'!$L$16"}</definedName>
    <definedName name="_pd10">{"'Summary'!$A$1:$J$46"}</definedName>
    <definedName name="_PD11">{"'Summary'!$A$1:$J$46"}</definedName>
    <definedName name="_QLO7">#REF!</definedName>
    <definedName name="_SCL4">{"'Sheet1'!$L$16"}</definedName>
    <definedName name="_SD30">{"'Summary'!$A$1:$J$46"}</definedName>
    <definedName name="_Sort">#REF!</definedName>
    <definedName name="_Sortmoi">#REF!</definedName>
    <definedName name="_T01">#REF!</definedName>
    <definedName name="_t22">'[2]CP đàotạo'!_t22</definedName>
    <definedName name="_Table1_In1">#REF!</definedName>
    <definedName name="_Table1_Out">#REF!</definedName>
    <definedName name="_Table2_In1">#REF!</definedName>
    <definedName name="_Table2_In2">#REF!</definedName>
    <definedName name="_Table2_Out">#REF!</definedName>
    <definedName name="_TH1">'[2]CP đàotạo'!_TH1</definedName>
    <definedName name="_thu2">{"Thuxm2.xls","Sheet1"}</definedName>
    <definedName name="_TM2">{"'Sheet1'!$L$16"}</definedName>
    <definedName name="_tt3">{"'Sheet1'!$L$16"}</definedName>
    <definedName name="_v5">{"'Sheet1'!$L$16"}</definedName>
    <definedName name="â">{"'Sheet1'!$L$16"}</definedName>
    <definedName name="a1moi">{"'Sheet1'!$L$16"}</definedName>
    <definedName name="aaaaa">'[2]CP đàotạo'!aaaaa</definedName>
    <definedName name="aaaaaaaaa">{"'Sheet1'!$L$16"}</definedName>
    <definedName name="aaag">'[2]CP đàotạo'!aaag</definedName>
    <definedName name="abcc">'[2]CP đàotạo'!abcc</definedName>
    <definedName name="abcd">'[4]Tonghop theo Vendor'!$H$10</definedName>
    <definedName name="Access">[5]Validation!$E$2:$E$223</definedName>
    <definedName name="AccessCircuit">[5]Validation!$C$2:$C$29</definedName>
    <definedName name="AccessDatabase">"C:\My Documents\LeBinh\Xls\VP Cong ty\FORM.mdb"</definedName>
    <definedName name="ActiveDirectoryPMBuild">[6]ActiveDirectory!$E$65</definedName>
    <definedName name="ActiveDirectoryPMDeploy">[6]ActiveDirectory!$F$65</definedName>
    <definedName name="ActiveDirectoryPMEnvision">[6]ActiveDirectory!$C$65</definedName>
    <definedName name="ActiveDirectoryPMPlan">[6]ActiveDirectory!$D$65</definedName>
    <definedName name="ActiveDirectoryQABuild">[6]ActiveDirectory!$E$66</definedName>
    <definedName name="ActiveDirectoryQADeploy">[6]ActiveDirectory!$F$66</definedName>
    <definedName name="ActiveDirectoryQAEnvision">[6]ActiveDirectory!$C$66</definedName>
    <definedName name="ActiveDirectoryQAPlan">[6]ActiveDirectory!$D$66</definedName>
    <definedName name="ActorList">'[7]Param (I)'!$B$10:$B$14</definedName>
    <definedName name="ADComplexity">[6]CustomerProfile!$B$180</definedName>
    <definedName name="ADDeploy">[6]ActiveDirectory!$F$2</definedName>
    <definedName name="ADDevStabil">[6]ActiveDirectory!$E$2</definedName>
    <definedName name="ADEnv">[6]ActiveDirectory!$C$2</definedName>
    <definedName name="ADPlan">[6]ActiveDirectory!$D$2</definedName>
    <definedName name="ADScopeIncluded">[6]StartPage!$D$13</definedName>
    <definedName name="ADSL_Ứng_cứu">95000</definedName>
    <definedName name="âDXAdaD">#REF!</definedName>
    <definedName name="afasdf">'[2]CP đàotạo'!afasdf</definedName>
    <definedName name="ag">'[2]CP đàotạo'!ag</definedName>
    <definedName name="agfag">'[2]CP đàotạo'!agfag</definedName>
    <definedName name="agfdgadg">'[2]CP đàotạo'!agfdgadg</definedName>
    <definedName name="Analysis_Rate">'[8]Dinh muc PM'!$D$17</definedName>
    <definedName name="anscount">1</definedName>
    <definedName name="ApDungLuong">'[7]Param (I)'!$C$54:$F$54</definedName>
    <definedName name="AppStateAndRepackage">[6]CustomerProfile!$B$27</definedName>
    <definedName name="AS2DocOpenMode">"AS2DocumentEdit"</definedName>
    <definedName name="asdfafa">'[2]CP đàotạo'!asdfafa</definedName>
    <definedName name="ATGT">{"'Sheet1'!$L$16"}</definedName>
    <definedName name="AU">{"'Sheet1'!$L$16"}</definedName>
    <definedName name="AUCP">'[9]Du toan'!$D$11</definedName>
    <definedName name="B_VND">0.05</definedName>
    <definedName name="B_YEN">0.1</definedName>
    <definedName name="ba">"7/7/7"</definedName>
    <definedName name="banf">'[2]CP đàotạo'!banf</definedName>
    <definedName name="Bang7_THKL_HCM">{"'Sheet1'!$L$16"}</definedName>
    <definedName name="banQL">{"'Sheet1'!$L$16"}</definedName>
    <definedName name="Bao">{#N/A,#N/A,FALSE,"Chi tiÆt"}</definedName>
    <definedName name="BasicRemediation">[6]CustomerProfile!$B$25</definedName>
    <definedName name="bbb">{"'Sheet1'!$L$16"}</definedName>
    <definedName name="bdd">1.5</definedName>
    <definedName name="beta">20</definedName>
    <definedName name="bf">'[2]CP đàotạo'!bf</definedName>
    <definedName name="bia1BCKS">{"Book1","Tong du toan cap quang Gia lam.xls"}</definedName>
    <definedName name="BizTalkAdapter">[6]CustomerProfile!$B$86</definedName>
    <definedName name="BizTalkAdapterComplexityScore">[6]CustomerProfile!$B$288</definedName>
    <definedName name="BizTalkBAMParts">[6]CustomerProfile!$B$90</definedName>
    <definedName name="BizTalkBAMProf">[6]CustomerProfile!$B$77</definedName>
    <definedName name="BizTalkBizRuleComplexity">[6]CustomerProfile!$B$283</definedName>
    <definedName name="BizTalkComplexity">[6]CustomerProfile!$B$298</definedName>
    <definedName name="BizTalkDepl">[6]BizTalk!$F$2</definedName>
    <definedName name="BizTalkDevStabil">[6]BizTalk!$E$2</definedName>
    <definedName name="BizTalkEnv">[6]BizTalk!$C$2</definedName>
    <definedName name="BizTalkFuncComplexityScore">[6]CustomerProfile!$B$287</definedName>
    <definedName name="BizTalkFuncComponents">[6]CustomerProfile!$B$89</definedName>
    <definedName name="BizTalkLookupPointComplexity">[6]CustomerProfile!$B$284</definedName>
    <definedName name="BizTalkMaps">[6]CustomerProfile!$B$82</definedName>
    <definedName name="BizTalkMapsComplex">[6]CustomerProfile!$B$84</definedName>
    <definedName name="BizTalkMapsMed">[6]CustomerProfile!$B$83</definedName>
    <definedName name="BizTalkNETComplexityScore">[6]CustomerProfile!$B$285</definedName>
    <definedName name="BizTalkNETComponents">[6]CustomerProfile!$B$85</definedName>
    <definedName name="BizTalkNumLookups">[6]CustomerProfile!$B$73</definedName>
    <definedName name="BizTalkNumPortsRec">[6]CustomerProfile!$B$70</definedName>
    <definedName name="BizTalkNumPortsSend">[6]CustomerProfile!$B$69</definedName>
    <definedName name="BizTalkNumPortsSpec">[6]CustomerProfile!$B$71</definedName>
    <definedName name="BizTalkNumRules">[6]CustomerProfile!$B$72</definedName>
    <definedName name="BizTalkPipeComplexityScore">[6]CustomerProfile!$B$286</definedName>
    <definedName name="BizTalkPipeComponents">[6]CustomerProfile!$B$88</definedName>
    <definedName name="BizTalkPlan">[6]BizTalk!$D$2</definedName>
    <definedName name="BizTalkPMBuild">[6]BizTalk!$E$68</definedName>
    <definedName name="BizTalkPMDeploy">[6]BizTalk!$F$68</definedName>
    <definedName name="BizTalkPMEnvision">[6]BizTalk!$C$68</definedName>
    <definedName name="BizTalkPMPlan">[6]BizTalk!$D$68</definedName>
    <definedName name="BizTalkPortComplexity">[6]CustomerProfile!$B$282</definedName>
    <definedName name="BizTalkProc">[6]CustomerProfile!$B$74</definedName>
    <definedName name="BizTalkProcComplex">[6]CustomerProfile!$B$76</definedName>
    <definedName name="BizTalkProcMed">[6]CustomerProfile!$B$75</definedName>
    <definedName name="BizTalkQABuild">[6]BizTalk!$E$69</definedName>
    <definedName name="BizTalkQADeploy">[6]BizTalk!$F$69</definedName>
    <definedName name="BizTalkQAEnvision">[6]BizTalk!$C$69</definedName>
    <definedName name="BizTalkQAPlan">[6]BizTalk!$D$69</definedName>
    <definedName name="BizTalkSchema">[6]CustomerProfile!$B$78</definedName>
    <definedName name="BizTalkSchemaComplex">[6]CustomerProfile!$B$80</definedName>
    <definedName name="BizTalkSchemaFlat">[6]CustomerProfile!$B$81</definedName>
    <definedName name="BizTalkSchemaMed">[6]CustomerProfile!$B$79</definedName>
    <definedName name="BizTalkScopeIncluded">[6]StartPage!$D$21</definedName>
    <definedName name="BizTalkSSO">[6]CustomerProfile!$B$91</definedName>
    <definedName name="bk_dis">80%</definedName>
    <definedName name="btl">{"'Sheet1'!$L$16"}</definedName>
    <definedName name="bùc">{"Book1","Dt tonghop.xls"}</definedName>
    <definedName name="Bulongma">8700</definedName>
    <definedName name="Button_1">"FORM_Bao_cao_cong_no_List"</definedName>
    <definedName name="C_VND">0.03</definedName>
    <definedName name="C_YEN">0.1</definedName>
    <definedName name="CABLE2">'[10]MTO REV.0'!$A$1:$Q$570</definedName>
    <definedName name="CACAU">298161</definedName>
    <definedName name="CanCuDiaPhuong">'[7]Param (I)'!$B$126:$B$128</definedName>
    <definedName name="Cap_YS">'[2]CP đàotạo'!Cap_YS</definedName>
    <definedName name="cd">#REF!</definedName>
    <definedName name="Çd">'[2]CP đàotạo'!Çd</definedName>
    <definedName name="cddd1p">'[3]TONG HOP VL-NC'!$C$3</definedName>
    <definedName name="cddd3p">'[3]TONG HOP VL-NC'!$C$2</definedName>
    <definedName name="Çdsf">'[2]CP đàotạo'!Çdsf</definedName>
    <definedName name="Çggg">'[2]CP đàotạo'!Çggg</definedName>
    <definedName name="chitietbgiang2">{"'Sheet1'!$L$16"}</definedName>
    <definedName name="chl">{"'Sheet1'!$L$16"}</definedName>
    <definedName name="chung">66</definedName>
    <definedName name="chuyen">{"'Sheet1'!$L$16"}</definedName>
    <definedName name="chuyengia1">[11]rate_TT18!$H$4</definedName>
    <definedName name="ClusterComplexity">[6]CustomerProfile!$B$183</definedName>
    <definedName name="clvc1">[3]chitiet!$D$3</definedName>
    <definedName name="CLVC3">0.1</definedName>
    <definedName name="CN3p">'[3]TONGKE3p '!$X$295</definedName>
    <definedName name="Code">#REF!</definedName>
    <definedName name="code_price">[12]code_price!$A$4:$C$101</definedName>
    <definedName name="Coding_Rate">'[8]Dinh muc PM'!$F$17</definedName>
    <definedName name="CommentCRP">"Texte 1"</definedName>
    <definedName name="ComplexityBizRules">[6]CustomerProfile!$B$212</definedName>
    <definedName name="con_l1">[13]Phuluc_rate_CG!$E$6</definedName>
    <definedName name="con_l2">[13]Phuluc_rate_CG!$E$7</definedName>
    <definedName name="con_l3">[13]Phuluc_rate_CG!$E$8</definedName>
    <definedName name="con_L4">[13]Phuluc_rate_CG!$E$9</definedName>
    <definedName name="CoS">[5]Validation!$G$2:$G$47</definedName>
    <definedName name="COST.020">#REF!</definedName>
    <definedName name="COST.030">#REF!</definedName>
    <definedName name="COST.040">#REF!</definedName>
    <definedName name="COST.050">#REF!</definedName>
    <definedName name="COST.060">#REF!</definedName>
    <definedName name="COST.070">#REF!</definedName>
    <definedName name="COST.080">#REF!</definedName>
    <definedName name="COST.100">#REF!</definedName>
    <definedName name="COST.110">#REF!</definedName>
    <definedName name="COST.120">#REF!</definedName>
    <definedName name="COST.130">#REF!</definedName>
    <definedName name="COST.140">#REF!</definedName>
    <definedName name="COST.150">#REF!</definedName>
    <definedName name="COST.210">#REF!</definedName>
    <definedName name="COST.220">#REF!</definedName>
    <definedName name="COST.230">#REF!</definedName>
    <definedName name="COST.240">#REF!</definedName>
    <definedName name="COST.270">#REF!</definedName>
    <definedName name="COST.280">#REF!</definedName>
    <definedName name="COST.300">#REF!</definedName>
    <definedName name="COST.320">#REF!</definedName>
    <definedName name="COST.330">#REF!</definedName>
    <definedName name="COST.350">#REF!</definedName>
    <definedName name="COST.360">#REF!</definedName>
    <definedName name="COST.370">#REF!</definedName>
    <definedName name="COST.380">#REF!</definedName>
    <definedName name="COST.400">#REF!</definedName>
    <definedName name="COST290">#REF!</definedName>
    <definedName name="Cot_thep">[3]Du_lieu!$C$19</definedName>
    <definedName name="Cotsatma">9726</definedName>
    <definedName name="Cotthepma">9726</definedName>
    <definedName name="COTTUVAN_6">3</definedName>
    <definedName name="Countries">[5]Validation!$A$2:$A$301</definedName>
    <definedName name="CPU_ratio">70%</definedName>
    <definedName name="CPVC1KM">'[3]TH VL, NC, DDHT Thanhphuoc'!$J$19</definedName>
    <definedName name="CriticalApps">[6]CustomerProfile!$B$26</definedName>
    <definedName name="CTB">'[2]CP đàotạo'!CTB</definedName>
    <definedName name="ctbbt">{"'Sheet1'!$L$16"}</definedName>
    <definedName name="CTCT1">{"'Sheet1'!$L$16"}</definedName>
    <definedName name="ctieu">{"'Sheet1'!$L$16"}</definedName>
    <definedName name="CTPhi">'[14]Cau hinh'!$C$123</definedName>
    <definedName name="cuong">{"Thuxm2.xls","Sheet1"}</definedName>
    <definedName name="cut">{"Thuxm2.xls","Sheet1"}</definedName>
    <definedName name="cv">[15]gvl!$N$17</definedName>
    <definedName name="Đ">#REF!</definedName>
    <definedName name="DAD">#REF!</definedName>
    <definedName name="dam">78000</definedName>
    <definedName name="dasdadasd">'[2]CP đàotạo'!dasdadasd</definedName>
    <definedName name="DataFilter">[16]!DataFilter</definedName>
    <definedName name="DataSort">[16]!DataSort</definedName>
    <definedName name="DaysPerServerBuild">[6]CustomerProfile!$B$8</definedName>
    <definedName name="dbapp">200</definedName>
    <definedName name="dbdisc">0.8</definedName>
    <definedName name="DCL_22">12117600</definedName>
    <definedName name="DCL_35">25490000</definedName>
    <definedName name="dd1pnc">[3]chitiet!$G$404</definedName>
    <definedName name="dd1pvl">[3]chitiet!$G$383</definedName>
    <definedName name="dd1x2">[15]gvl!$N$9</definedName>
    <definedName name="ddd">{"'Sheet1'!$L$16"}</definedName>
    <definedName name="Design_Rate">'[8]Dinh muc PM'!$E$17</definedName>
    <definedName name="DesktopComplexity">[6]CustomerProfile!$B$209</definedName>
    <definedName name="DesktopDepl">[6]Desktop!$F$2</definedName>
    <definedName name="DesktopDevStabil">[6]Desktop!$E$2</definedName>
    <definedName name="DesktopEnv">[6]Desktop!$C$2</definedName>
    <definedName name="DesktopPlan">[6]Desktop!$D$2</definedName>
    <definedName name="DesktopPMBuild">[6]Desktop!$E$60</definedName>
    <definedName name="DesktopPMDeploy">[6]Desktop!$F$60</definedName>
    <definedName name="DesktopPMEnvision">[6]Desktop!$C$60</definedName>
    <definedName name="DesktopPMPlan">[6]Desktop!$D$60</definedName>
    <definedName name="DesktopQABuild">[6]Desktop!$E$61</definedName>
    <definedName name="DesktopQADeploy">[6]Desktop!$F$61</definedName>
    <definedName name="DesktopQAEnvision">[6]Desktop!$C$61</definedName>
    <definedName name="DesktopQAPlan">[6]Desktop!$D$61</definedName>
    <definedName name="DesktopScopeIncluded">[6]StartPage!$D$15</definedName>
    <definedName name="detail_omni">#REF!,#REF!,#REF!,#REF!,#REF!,#REF!,#REF!,#REF!,#REF!,#REF!,#REF!,#REF!</definedName>
    <definedName name="detail_sector">#REF!,#REF!,#REF!,#REF!,#REF!,#REF!,#REF!,#REF!,#REF!,#REF!,#REF!,#REF!,#REF!,#REF!,#REF!,#REF!,#REF!,#REF!,#REF!,#REF!,#REF!,#REF!,#REF!,#REF!,#REF!,#REF!,#REF!,#REF!,#REF!</definedName>
    <definedName name="dfdf">'[2]CP đàotạo'!dfdf</definedName>
    <definedName name="dfsdf">'[2]CP đàotạo'!dfsdf</definedName>
    <definedName name="DGKS">'[17]Phan tich-DGKS'!$A$5:$L$5734</definedName>
    <definedName name="DGM">[3]DONGIA!$A$453:$F$459</definedName>
    <definedName name="DGTH1">[3]DONGIA!$A$414:$G$452</definedName>
    <definedName name="dgth2">[3]DONGIA!$A$414:$G$439</definedName>
    <definedName name="DGTR">[3]DONGIA!$A$472:$I$521</definedName>
    <definedName name="DGVL1">[3]DONGIA!$A$5:$F$235</definedName>
    <definedName name="DGVT">'[3]DON GIA'!$C$5:$G$137</definedName>
    <definedName name="dh">'[2]CP đàotạo'!dh</definedName>
    <definedName name="DIALOG_6">FALSE</definedName>
    <definedName name="direct1">#REF!</definedName>
    <definedName name="DirectoryCleanliness">[6]CustomerProfile!$B$213</definedName>
    <definedName name="Dis_AV">0.15</definedName>
    <definedName name="Dis_Blue">0.1</definedName>
    <definedName name="Dis_Cisco">0.2</definedName>
    <definedName name="dis_CP">0.85</definedName>
    <definedName name="dis_f5">0.95</definedName>
    <definedName name="dis_f5_GTM">0.7</definedName>
    <definedName name="dis_F5_LTM">0.7</definedName>
    <definedName name="dis_hp_blade">0.9</definedName>
    <definedName name="dis_hp_server">0.8</definedName>
    <definedName name="dis_hp_store">0.8</definedName>
    <definedName name="Dis_HWMA">[18]Summary!$E$11</definedName>
    <definedName name="Dis_IBM">0.2</definedName>
    <definedName name="Dis_Mor">0.1</definedName>
    <definedName name="Dis_MS">0.1</definedName>
    <definedName name="dis_ora">0.95</definedName>
    <definedName name="Dis_PAN">0.2</definedName>
    <definedName name="Dis_PC">0.9</definedName>
    <definedName name="dis_power">0.9</definedName>
    <definedName name="dis_server">0</definedName>
    <definedName name="DIS_SPARC">0.85</definedName>
    <definedName name="dis_superdome">0.7</definedName>
    <definedName name="Dis_SYM">0.1</definedName>
    <definedName name="dis_unix">0.3</definedName>
    <definedName name="dis_UPS">0.1</definedName>
    <definedName name="Dis_VMw">0.1</definedName>
    <definedName name="dis_vtl">0.8</definedName>
    <definedName name="Disc_APC">'[19]Tonghop theo Vendor'!$H$8</definedName>
    <definedName name="Disc_CS">'[19]Tonghop theo Vendor'!$H$7</definedName>
    <definedName name="Disc_FJ">'[19]Tonghop theo Vendor'!$H$11</definedName>
    <definedName name="Disc_HP">'[19]Tonghop theo Vendor'!$H$6</definedName>
    <definedName name="Disc_IBM">'[19]Tonghop theo Vendor'!$H$5</definedName>
    <definedName name="Disc_MS">'[19]Tonghop theo Vendor'!$H$9</definedName>
    <definedName name="Disc_ORC">'[19]Tonghop theo Vendor'!$H$12</definedName>
    <definedName name="Disc_Other">'[19]Tonghop theo Vendor'!$H$14</definedName>
    <definedName name="disc_power">1</definedName>
    <definedName name="Disc_Redhat">'[19]Tonghop theo Vendor'!$H$10</definedName>
    <definedName name="Discount">#REF!</definedName>
    <definedName name="DM1.993">[20]DMQL!$C$3:$N$5</definedName>
    <definedName name="DM2.993">[20]DMQL!$C$9:$N$11</definedName>
    <definedName name="DM3.993">[20]DMQL!$C$15:$K$18</definedName>
    <definedName name="DM4.993">[20]DMQL!$C$22:$N$24</definedName>
    <definedName name="DM5.993">[20]DMQL!$C$28:$M$30</definedName>
    <definedName name="DM6.993">[20]DMQL!$C$34:$M$36</definedName>
    <definedName name="DM7.993">[20]DMQL!$C$40:$M$42</definedName>
    <definedName name="DM8.993">[20]DMQL!$C$46:$M$48</definedName>
    <definedName name="DM9.993">[20]DMQL!$C$52:$M$54</definedName>
    <definedName name="DMDT">[21]DMDT!$A$2:$C$165</definedName>
    <definedName name="DMLD">'[22]ĐM 2519'!$A$4:$H$449</definedName>
    <definedName name="DMTAIKHOAN">[21]DMTK!$A$2:$B$62</definedName>
    <definedName name="DMTT19">[23]DMQL!$C$73:$K$75</definedName>
    <definedName name="Document_array">{"Book1"}</definedName>
    <definedName name="Document_array_3">{"Book1","b¸o gi¸ pc.xls","baogia tyenquang.xls"}</definedName>
    <definedName name="DoDaiTruongDuLieu">[24]Param!$B$35:$B$37</definedName>
    <definedName name="dongia">[3]DG!$A$4:$I$567</definedName>
    <definedName name="dongia1">[3]DG!$A$4:$H$606</definedName>
    <definedName name="DONGTIEUDEBANG_6">40</definedName>
    <definedName name="DONGTUVAN_6">51</definedName>
    <definedName name="Drop_2">'[2]CP đàotạo'!Drop_2</definedName>
    <definedName name="Drop_3">'[2]CP đàotạo'!Drop_3</definedName>
    <definedName name="DS_MH">[25]PTDGCT!$D$4:$D$153</definedName>
    <definedName name="dsElements">'[20]PL II.4'!$B$106:$B$121</definedName>
    <definedName name="dsGab1">[23]DMQL!$C$3:$M$3</definedName>
    <definedName name="dsGab2">[23]DMQL!$C$6:$K$6</definedName>
    <definedName name="dsGab3">[23]DMQL!$C$73:$K$73</definedName>
    <definedName name="dsGab4">[20]DMQL!$C$22:$N$22</definedName>
    <definedName name="dsGab5">[20]DMQL!$C$28:$M$28</definedName>
    <definedName name="dsGab6">[20]DMQL!$C$34:$M$34</definedName>
    <definedName name="dsGab7">[20]DMQL!$C$40:$M$40</definedName>
    <definedName name="dsGab8">[20]DMQL!$C$46:$M$46</definedName>
    <definedName name="dsGab9">[20]DMQL!$C$52:$M$52</definedName>
    <definedName name="dsGTT19">[20]DMQL!$C$57:$K$57</definedName>
    <definedName name="DSLCheckService">[5]Validation!$H$2:$H$4</definedName>
    <definedName name="dsLoaiYC">[26]DMQL!$O$2:$O$6</definedName>
    <definedName name="DSNhom">[27]UC!$C$2:$C$79</definedName>
    <definedName name="dtcnnxi">{"Thuxm2.xls","Sheet1"}</definedName>
    <definedName name="Du">#REF!</definedName>
    <definedName name="DUCO">[21]SODU!$D$2:$D$105</definedName>
    <definedName name="DUNO">[21]SODU!$C$2:$C$105</definedName>
    <definedName name="EEPE">{"'Summary'!$A$1:$J$46"}</definedName>
    <definedName name="EEQ">{"'Summary'!$A$1:$J$46"}</definedName>
    <definedName name="Effort_LT_NCQLAHS">'[28]KP nang cap PM'!$C$20</definedName>
    <definedName name="EW">{"'Summary'!$A$1:$J$46"}</definedName>
    <definedName name="ex_rate">22500</definedName>
    <definedName name="ExactAddinConnection">"003"</definedName>
    <definedName name="ExactAddinConnection.002">"CPNT01;003;mengtalekk;1"</definedName>
    <definedName name="ExactAddinConnection.003">"CPNT01;006;mengtalekk;1"</definedName>
    <definedName name="ExactAddinReports">2</definedName>
    <definedName name="ExchangeAveMailboxSize">[6]CustomerProfile!$B$19</definedName>
    <definedName name="ExchangeComplexity">[6]CustomerProfile!$B$196</definedName>
    <definedName name="ExchangeDataMigrationRate">[6]CustomerProfile!$B$20</definedName>
    <definedName name="ExchangeFieldSites">[6]CustomerProfile!$B$16</definedName>
    <definedName name="ExchangeMajorServers">[6]CustomerProfile!$B$13</definedName>
    <definedName name="ExchangeMajorSites">[6]CustomerProfile!$B$12</definedName>
    <definedName name="ExchangePilotWeeks">[6]CustomerProfile!$B$21</definedName>
    <definedName name="ExchangePMBuild">[6]Exchange!$E$127</definedName>
    <definedName name="ExchangePMDeploy">[6]Exchange!$F$127</definedName>
    <definedName name="ExchangePMEnvision">[6]Exchange!$C$127</definedName>
    <definedName name="ExchangePMPlan">[6]Exchange!$D$127</definedName>
    <definedName name="ExchangeQABuild">[6]Exchange!$E$128</definedName>
    <definedName name="ExchangeQADeploy">[6]Exchange!$F$128</definedName>
    <definedName name="ExchangeQAEnvision">[6]Exchange!$C$128</definedName>
    <definedName name="ExchangeQAPlan">[6]Exchange!$D$128</definedName>
    <definedName name="ExchangeRangerBuild">[6]Exchange!$E$129</definedName>
    <definedName name="ExchangeRangerPlan">[6]Exchange!$D$129</definedName>
    <definedName name="ExchangeRegionalServers">[6]CustomerProfile!$B$15</definedName>
    <definedName name="ExchangeRegionalSites">[6]CustomerProfile!$B$14</definedName>
    <definedName name="ExchangeScopeIncluded">[6]StartPage!$D$14</definedName>
    <definedName name="ExchCurrentServerLocations">[6]CustomerProfile!$B$17</definedName>
    <definedName name="ExchDepl">[6]Exchange!$F$2</definedName>
    <definedName name="ExchDevStabil">[6]Exchange!$E$2</definedName>
    <definedName name="ExchEnv">[6]Exchange!$C$2</definedName>
    <definedName name="ExchPlan">[6]Exchange!$D$2</definedName>
    <definedName name="factor_sparc">0.5</definedName>
    <definedName name="factor_unix">1</definedName>
    <definedName name="factor_x86">0.5</definedName>
    <definedName name="fads">'[2]CP đàotạo'!fads</definedName>
    <definedName name="fasdfa">'[2]CP đàotạo'!fasdfa</definedName>
    <definedName name="fbsdggdsf">{"DZ-TDTB2.XLS","Dcksat.xls"}</definedName>
    <definedName name="fbsdggdsf_3">{"DZ-TDTB2.XLS","Dcksat.xls"}</definedName>
    <definedName name="FCode">#REF!</definedName>
    <definedName name="fdµ">'[2]CP đàotạo'!fdµ</definedName>
    <definedName name="fdf">{"'Sheet1'!$L$16"}</definedName>
    <definedName name="fds">{"Book1"}</definedName>
    <definedName name="ff">'[2]CP đàotạo'!ff</definedName>
    <definedName name="FFFF">"C:\2689\Q\??\00q3961????PTA3??\MyHTML.htm"</definedName>
    <definedName name="fgds">'[2]CP đàotạo'!fgds</definedName>
    <definedName name="fh">'[2]CP đàotạo'!fh</definedName>
    <definedName name="fhd">'[2]CP đàotạo'!fhd</definedName>
    <definedName name="FI_12">4820</definedName>
    <definedName name="FRFRFR">{"'Sheet1'!$L$16"}</definedName>
    <definedName name="fsdaf">'[2]CP đàotạo'!fsdaf</definedName>
    <definedName name="fsdfdsf">{"'Sheet1'!$L$16"}</definedName>
    <definedName name="fuyf">'[2]CP đàotạo'!fuyf</definedName>
    <definedName name="fyujif">'[2]CP đàotạo'!fyujif</definedName>
    <definedName name="G">#REF!</definedName>
    <definedName name="ga">'[2]CP đàotạo'!ga</definedName>
    <definedName name="gadfga">'[2]CP đàotạo'!gadfga</definedName>
    <definedName name="gadfgad">'[2]CP đàotạo'!gadfgad</definedName>
    <definedName name="gamatc">'[29]DO AM DT'!$AD$84</definedName>
    <definedName name="garbage">#REF!,#REF!,#REF!,#REF!,#REF!,#REF!,#REF!,#REF!,#REF!,#REF!,#REF!,#REF!,#REF!,#REF!,#REF!,#REF!,#REF!,#REF!,#REF!,#REF!,#REF!,#REF!,#REF!,#REF!,#REF!,#REF!,#REF!,#REF!,#REF!</definedName>
    <definedName name="gdf">'[2]CP đàotạo'!gdf</definedName>
    <definedName name="gdgfgd">'[2]CP đàotạo'!gdgfgd</definedName>
    <definedName name="gf">'[2]CP đàotạo'!gf</definedName>
    <definedName name="gfad">'[2]CP đàotạo'!gfad</definedName>
    <definedName name="ggg">{"'Sheet1'!$L$16"}</definedName>
    <definedName name="ggsf">#REF!</definedName>
    <definedName name="ghf">'[2]CP đàotạo'!ghf</definedName>
    <definedName name="gi">0.4</definedName>
    <definedName name="Gia_6">500</definedName>
    <definedName name="Gia_PhongDoi">'[14]Cau hinh'!$C$119</definedName>
    <definedName name="GIAIDOAN">#REF!,#REF!,#REF!</definedName>
    <definedName name="GiaTDMOI">'[2]CP đàotạo'!GiaTDMOI</definedName>
    <definedName name="GiaTon06">55000</definedName>
    <definedName name="GIATRITB_6">400</definedName>
    <definedName name="GIATRITUVAN_6">550</definedName>
    <definedName name="GIATRIXL_6">550</definedName>
    <definedName name="GIATRIXLTB_6">950</definedName>
    <definedName name="Gib_6">1000</definedName>
    <definedName name="GoBack">[16]Sheet1!GoBack</definedName>
    <definedName name="goithau">'[2]CP đàotạo'!goithau</definedName>
    <definedName name="Gpmht">'[30]4.Phan mem bản quyền'!$F$11</definedName>
    <definedName name="Gpmud">'[30]3. PM Ung dung'!$E$6</definedName>
    <definedName name="Gtbmc">'[30]2 May chu-thiet bi'!$E$26</definedName>
    <definedName name="GtHT">[31]CPTV!$E$9</definedName>
    <definedName name="GtHTXL">[32]DinhMuc2378!$E$10</definedName>
    <definedName name="Gtldcd">'[23]Các hệ số'!$E$8</definedName>
    <definedName name="GtPM">[31]CPTV!$E$10</definedName>
    <definedName name="Gttb1">'[23]Các hệ số'!$E$6</definedName>
    <definedName name="Gttb2">'[23]Các hệ số'!$E$7</definedName>
    <definedName name="Gxd">'[33]TH Kinh phi'!$G$42</definedName>
    <definedName name="hµd">'[2]CP đàotạo'!hµd</definedName>
    <definedName name="haa">'[2]CP đàotạo'!haa</definedName>
    <definedName name="hai">{"'Sheet1'!$L$16"}</definedName>
    <definedName name="hanh">{"'Sheet1'!$L$16"}</definedName>
    <definedName name="HCNA">{"'Sheet1'!$L$16"}</definedName>
    <definedName name="hddapp">200</definedName>
    <definedName name="Heä_soá_laép_xaø_H">1.7</definedName>
    <definedName name="Hesotang">1.05</definedName>
    <definedName name="Hesoton">1</definedName>
    <definedName name="hfh">'[2]CP đàotạo'!hfh</definedName>
    <definedName name="HiddenRows">#REF!</definedName>
    <definedName name="HinhThucCanCu">'[7]Param (I)'!$B$110:$B$123</definedName>
    <definedName name="hoc">55000</definedName>
    <definedName name="hp_cloud">0.7</definedName>
    <definedName name="hp_cloud_blade">0.75</definedName>
    <definedName name="hp_hw">0.82</definedName>
    <definedName name="hp_SAN_fabric">0.75</definedName>
    <definedName name="hp_sw">0.85</definedName>
    <definedName name="HSCT3">0.1</definedName>
    <definedName name="HSDN">2.5</definedName>
    <definedName name="HSG">1.1</definedName>
    <definedName name="hskk1">[3]chitiet!$D$4</definedName>
    <definedName name="HSLXH">1.7</definedName>
    <definedName name="hsn">0.5</definedName>
    <definedName name="HSNC">[34]Du_lieu!$C$6</definedName>
    <definedName name="hsnc_cau">1.626</definedName>
    <definedName name="hsnc_cau2">1.626</definedName>
    <definedName name="hsnc_d">1.6356</definedName>
    <definedName name="hsnc_d2">1.6356</definedName>
    <definedName name="hsvl">1</definedName>
    <definedName name="hsvl2">1</definedName>
    <definedName name="htlm">{"'Sheet1'!$L$16"}</definedName>
    <definedName name="HTML_CodePage">950</definedName>
    <definedName name="HTML_Control">{"'Sheet1'!$L$16"}</definedName>
    <definedName name="HTML_Control2">{"'Sheet1'!$L$16"}</definedName>
    <definedName name="HTMl_Control3">{"'Sheet1'!$L$16"}</definedName>
    <definedName name="HTML_Control4">{"'Sheet1'!$L$16"}</definedName>
    <definedName name="HTML_Controlmoi">{"'Sheet1'!$L$16"}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"C:\2689\Q\??\00q3961????PTA3??\MyHTML.htm"</definedName>
    <definedName name="HTML_PathFilemoi">"C:\2689\Q\國內\00q3961台化龍德PTA3建造\MyHTML.htm"</definedName>
    <definedName name="HTML_Title">"00Q3961-SUM"</definedName>
    <definedName name="huong">{"'Sheet1'!$L$16"}</definedName>
    <definedName name="huy">{"'Sheet1'!$L$16"}</definedName>
    <definedName name="huymoi">{"'Sheet1'!$L$16"}</definedName>
    <definedName name="hw_vat">0.1</definedName>
    <definedName name="IA">0.7</definedName>
    <definedName name="IDM_target">[35]list!$D$38:$D$40</definedName>
    <definedName name="Impact_Importance">[36]Taxonomy!$L$5:$L$12</definedName>
    <definedName name="INDIRECT_COST">#REF!</definedName>
    <definedName name="jgh">'[2]CP đàotạo'!jgh</definedName>
    <definedName name="jhhkjh">{"'Sheet1'!$L$16"}</definedName>
    <definedName name="jkjk">{"'Sheet1'!$L$16"}</definedName>
    <definedName name="juhkgh">'[2]CP đàotạo'!juhkgh</definedName>
    <definedName name="junk">#REF!,#REF!,#REF!,#REF!,#REF!,#REF!</definedName>
    <definedName name="khac">2</definedName>
    <definedName name="kho">"kh¶o"</definedName>
    <definedName name="khongtruotgia">{"'Sheet1'!$L$16"}</definedName>
    <definedName name="KHSX">{"'Sheet1'!$L$16"}</definedName>
    <definedName name="KhuyenmaiUPS">"AutoShape 264"</definedName>
    <definedName name="Kidc10">'[23]Các hệ số'!$J$34</definedName>
    <definedName name="Kidc11">'[23]Các hệ số'!$J$35</definedName>
    <definedName name="kiemtoan">#REF!+SUM(#REF!)</definedName>
    <definedName name="Kldocv">{"Thuxm2.xls","Sheet1"}</definedName>
    <definedName name="kljl">'[2]CP đàotạo'!kljl</definedName>
    <definedName name="KLTHNH">{"ÿÿÿÿÿ","DT cau tam Ha trinh 7.xls","DT cau tam Ha trinh 3.xls"}</definedName>
    <definedName name="ksbn">{"'Sheet1'!$L$16"}</definedName>
    <definedName name="KSDA">{"'Sheet1'!$L$16"}</definedName>
    <definedName name="kshn">{"'Sheet1'!$L$16"}</definedName>
    <definedName name="ksls">{"'Sheet1'!$L$16"}</definedName>
    <definedName name="L1_rate">650000</definedName>
    <definedName name="L2_rate">1350000</definedName>
    <definedName name="L63x6">5800</definedName>
    <definedName name="lam">{"'Sheet1'!$L$16"}</definedName>
    <definedName name="LBS_22">107800000</definedName>
    <definedName name="LCSClusterReady">[6]CustomerProfile!$B$250</definedName>
    <definedName name="LCSComplexity">[6]CustomerProfile!$B$260</definedName>
    <definedName name="LCSDepl">[6]LCS!$F$2</definedName>
    <definedName name="LCSDevStabil">[6]LCS!$E$2</definedName>
    <definedName name="LCSEnv">[6]LCS!$C$2</definedName>
    <definedName name="LCSPlan">[6]LCS!$D$2</definedName>
    <definedName name="LCSPMBuild">[6]LCS!$E$39</definedName>
    <definedName name="LCSPMDeploy">[6]LCS!$F$39</definedName>
    <definedName name="LCSPMEnvision">[6]LCS!$C$39</definedName>
    <definedName name="LCSPMPlan">[6]LCS!$D$39</definedName>
    <definedName name="LCSQABuild">[6]LCS!$E$40</definedName>
    <definedName name="LCSQADeploy">[6]LCS!$F$40</definedName>
    <definedName name="LCSQAEnvision">[6]LCS!$C$40</definedName>
    <definedName name="LCSQAPlan">[6]LCS!$D$40</definedName>
    <definedName name="LCSScopeIncluded">[6]StartPage!$D$19</definedName>
    <definedName name="license">[37]license!$E$2:$G$96</definedName>
    <definedName name="LINKAGE_FN">'[38]Linkage Quote'!$B$1</definedName>
    <definedName name="LoaiActor">[39]Param!$B$27:$B$29</definedName>
    <definedName name="location">[35]list!$G$6:$G$14</definedName>
    <definedName name="lón2">[40]Temp!$B$3</definedName>
    <definedName name="lón3">[40]Temp!$B$4</definedName>
    <definedName name="lón5">[40]Temp!$B$6</definedName>
    <definedName name="Mailboxes">[6]CustomerProfile!$B$11</definedName>
    <definedName name="ManagementPacks">[6]CustomerProfile!$B$44</definedName>
    <definedName name="Manday">200</definedName>
    <definedName name="Maykhoandung4.5KW">72334</definedName>
    <definedName name="MIISComplexity">[6]CustomerProfile!$B$222</definedName>
    <definedName name="MIISDepl">[6]MIIS!$F$2</definedName>
    <definedName name="MIISDevStabil">[6]MIIS!$E$2</definedName>
    <definedName name="MIISEnv">[6]MIIS!$C$2</definedName>
    <definedName name="MIISPlan">[6]MIIS!$D$2</definedName>
    <definedName name="MIISPMBuild">[6]MIIS!$E$31</definedName>
    <definedName name="MIISPMDeploy">[6]MIIS!$F$31</definedName>
    <definedName name="MIISPMEnvision">[6]MIIS!$C$31</definedName>
    <definedName name="MIISPMPlan">[6]MIIS!$D$31</definedName>
    <definedName name="MIISQABuild">[6]MIIS!$E$32</definedName>
    <definedName name="MIISQADeploy">[6]MIIS!$F$32</definedName>
    <definedName name="MIISQAEnvision">[6]MIIS!$C$32</definedName>
    <definedName name="MIISQAPlan">[6]MIIS!$D$32</definedName>
    <definedName name="MIISScopeIncluded">[6]StartPage!$D$16</definedName>
    <definedName name="mo">{"'Sheet1'!$L$16"}</definedName>
    <definedName name="moi">{"'Sheet1'!$L$16"}</definedName>
    <definedName name="MOMComplexity">[6]CustomerProfile!$B$247</definedName>
    <definedName name="MOMConnectors">[6]CustomerProfile!$B$45</definedName>
    <definedName name="MOMCustomManagementPacks">[6]CustomerProfile!$B$50</definedName>
    <definedName name="MOMCustomReports">[6]CustomerProfile!$B$49</definedName>
    <definedName name="MOMDepl">[6]SCOM!$F$2</definedName>
    <definedName name="MOMDevStabil">[6]SCOM!$E$2</definedName>
    <definedName name="MOMEndToEndApplications">[6]CustomerProfile!$B$48</definedName>
    <definedName name="MOMEnv">[6]SCOM!$C$2</definedName>
    <definedName name="MOMGateways">[6]CustomerProfile!$B$46</definedName>
    <definedName name="MOMMonitoredServers">[6]CustomerProfile!$B$42</definedName>
    <definedName name="MOMMonitoredWorkstations">[6]CustomerProfile!$B$43</definedName>
    <definedName name="MOMPlan">[6]SCOM!$D$2</definedName>
    <definedName name="MOMScopeIncluded">[6]StartPage!$D$18</definedName>
    <definedName name="MOMServers">[6]CustomerProfile!$B$47</definedName>
    <definedName name="months_nr">12</definedName>
    <definedName name="MOSSDevStabil">[6]MOSS!$E$2</definedName>
    <definedName name="MOSSEnv">[6]MOSS!$C$2</definedName>
    <definedName name="MOSSPlan">[6]MOSS!$D$2</definedName>
    <definedName name="MOSSPMBuild">[6]MOSS!$E$132</definedName>
    <definedName name="MOSSPMDeploy">[6]MOSS!$F$132</definedName>
    <definedName name="MOSSPMEnvision">[6]MOSS!$C$132</definedName>
    <definedName name="MOSSPMPlan">[6]MOSS!$D$132</definedName>
    <definedName name="MOSSQABuild">[6]MOSS!$E$133</definedName>
    <definedName name="MOSSQADeploy">[6]MOSS!$F$133</definedName>
    <definedName name="MOSSQAEnvision">[6]MOSS!$C$133</definedName>
    <definedName name="MOSSQAPlan">[6]MOSS!$D$133</definedName>
    <definedName name="mrn.inv._.budget">{"invbud-1",#N/A,FALSE,"A";"invbud-1CW",#N/A,FALSE,"A";"Desinvesteringen",#N/A,FALSE,"C"}</definedName>
    <definedName name="MTCHC">[3]TNHCHINH!$K$38</definedName>
    <definedName name="mucdo">[41]Cate!$A$27:$A$29</definedName>
    <definedName name="MucDoCanThiet">[39]Param!$B$22:$B$24</definedName>
    <definedName name="MucDoYeuCau">[39]Param!$B$17:$B$19</definedName>
    <definedName name="mvac">{"'Sheet1'!$L$16"}</definedName>
    <definedName name="N1IN">'[3]TONGKE3p '!$U$295</definedName>
    <definedName name="nam">{"'Sheet1'!$L$16"}</definedName>
    <definedName name="name3">'[2]CP đàotạo'!name3</definedName>
    <definedName name="NCHC">[3]TNHCHINH!$J$38</definedName>
    <definedName name="Ne">{"'Sheet1'!$L$16"}</definedName>
    <definedName name="ngay23">{"'Sheet1'!$L$16"}</definedName>
    <definedName name="ngu">{"'Sheet1'!$L$16"}</definedName>
    <definedName name="Nhan_xet_cua_dai">"Picture 1"</definedName>
    <definedName name="Nhap">'[2]CP đàotạo'!Nhap</definedName>
    <definedName name="nhapcap">'[2]CP đàotạo'!nhapcap</definedName>
    <definedName name="nhfffd">{"DZ-TDTB2.XLS","Dcksat.xls"}</definedName>
    <definedName name="nhfffd_3">{"DZ-TDTB2.XLS","Dcksat.xls"}</definedName>
    <definedName name="NhomCanCu">'[7]Param (I)'!$B$104:$B$107</definedName>
    <definedName name="NHOMCONGTRINH_6">1</definedName>
    <definedName name="Nia_6">0.0154</definedName>
    <definedName name="Nib_6">0.0105</definedName>
    <definedName name="NIG13p">'[3]TONGKE3p '!$T$295</definedName>
    <definedName name="nignc3p">'[3]CHITIET VL-NC'!$G$107</definedName>
    <definedName name="nigvl3p">'[3]CHITIET VL-NC'!$G$99</definedName>
    <definedName name="nlvl1">[3]chitiet!$G$302</definedName>
    <definedName name="NumberOfApplications">[6]CustomerProfile!$B$24</definedName>
    <definedName name="NumDirectories">[6]CustomerProfile!$B$32</definedName>
    <definedName name="NumForeignMailSystems">[6]CustomerProfile!$B$18</definedName>
    <definedName name="NumLCSLocations">[6]CustomerProfile!$B$53</definedName>
    <definedName name="nuoc">[15]gvl!$N$38</definedName>
    <definedName name="NUOCHKHOAN">{"'Sheet1'!$L$16"}</definedName>
    <definedName name="NUOCHKHOANMOI">{"'Sheet1'!$L$16"}</definedName>
    <definedName name="o">{"'Sheet1'!$L$16"}</definedName>
    <definedName name="ØÓ">'[2]CP đàotạo'!ØÓ</definedName>
    <definedName name="oracle_db">0.85</definedName>
    <definedName name="OrderTable">#REF!</definedName>
    <definedName name="osapp">200</definedName>
    <definedName name="Overhead_and_Profit">0</definedName>
    <definedName name="PAIII_">{"'Sheet1'!$L$16"}</definedName>
    <definedName name="PDO">{"'Summary'!$A$1:$J$46"}</definedName>
    <definedName name="phanloaiYC">[41]Cate!$B$33:$B$37</definedName>
    <definedName name="PhanLoaiYeuCau">[39]Param!$B$10:$B$14</definedName>
    <definedName name="PhanTramTangDA">'[42]Dữ liệu khảo sát'!$I$23</definedName>
    <definedName name="phuluc2">{"'Sheet1'!$L$16"}</definedName>
    <definedName name="PL">{"'Sheet1'!$L$16"}</definedName>
    <definedName name="PlucBcaoTD">{"'Sheet1'!$L$16"}</definedName>
    <definedName name="PM">[43]IBASE!$AH$16:$AV$110</definedName>
    <definedName name="PMNB">'[23]PL II.2'!$A$3</definedName>
    <definedName name="Port">[5]Validation!$F$2:$F$40</definedName>
    <definedName name="pr_nw">[44]Budget!$H$18</definedName>
    <definedName name="pr_sw">[44]Budget!$H$12</definedName>
    <definedName name="Prepare_Rate">'[8]Dinh muc PM'!$C$17</definedName>
    <definedName name="Prf_APC">'[19]Tonghop theo Vendor'!$I$8</definedName>
    <definedName name="Prf_CS">'[19]Tonghop theo Vendor'!$I$7</definedName>
    <definedName name="Prf_FJ">'[19]Tonghop theo Vendor'!$I$11</definedName>
    <definedName name="Prf_FPT">'[19]Tonghop theo Vendor'!$I$17</definedName>
    <definedName name="Prf_HP">'[19]Tonghop theo Vendor'!$I$6</definedName>
    <definedName name="Prf_IBM">'[19]Tonghop theo Vendor'!$I$5</definedName>
    <definedName name="Prf_MS">'[19]Tonghop theo Vendor'!$I$9</definedName>
    <definedName name="Prf_ORC">'[19]Tonghop theo Vendor'!$I$12</definedName>
    <definedName name="Prf_Other">'[19]Tonghop theo Vendor'!$I$14</definedName>
    <definedName name="Prf_Redhat">'[19]Tonghop theo Vendor'!$I$10</definedName>
    <definedName name="ProdForm">#REF!</definedName>
    <definedName name="PTDGCT1">[25]PTDGCT!$D$4:$I$152</definedName>
    <definedName name="PtichDTL">'[2]CP đàotạo'!_xludf.rate</definedName>
    <definedName name="PTNC">'[3]DON GIA'!$G$227</definedName>
    <definedName name="PTST">[45]sat!$A$6:$K$38</definedName>
    <definedName name="PTVT">[45]ptvt!$A$6:$X$128</definedName>
    <definedName name="Q__sè_721_Q__KH_T___27_5_03">'[2]CP đàotạo'!Tien</definedName>
    <definedName name="Quote">[46]PR!$A$1:$L$41</definedName>
    <definedName name="RAM_ratio">70%</definedName>
    <definedName name="rate">21000</definedName>
    <definedName name="ratio">70%</definedName>
    <definedName name="RCArea">#REF!</definedName>
    <definedName name="REPORT_LINES_TO_FORMAT">'[47]bk-EMC'!#REF!,'[47]bk-EMC'!#REF!</definedName>
    <definedName name="REPORT_TOTALS_TO_FORMAT">'[47]bk-EMC'!#REF!,'[47]bk-EMC'!#REF!,'[47]bk-EMC'!#REF!</definedName>
    <definedName name="Result21">{"'Sheet1'!$L$16"}</definedName>
    <definedName name="RH">{"'Sheet1'!$L$16"}</definedName>
    <definedName name="rnp">32</definedName>
    <definedName name="s">'[2]CP đàotạo'!s</definedName>
    <definedName name="Sâau">'[2]CP đàotạo'!Sâau</definedName>
    <definedName name="sadf">'[2]CP đàotạo'!sadf</definedName>
    <definedName name="SANComplexity">[6]CustomerProfile!$B$184</definedName>
    <definedName name="SAPBEXrevision">7</definedName>
    <definedName name="SAPBEXsysID">"P57"</definedName>
    <definedName name="SAPBEXwbID">"3JX5BV41R2KVEX9FV6LB6ZNYC"</definedName>
    <definedName name="SB">[43]IBASE!$AH$7:$AL$14</definedName>
    <definedName name="SCCMPMBuild">[6]SCCM!$E$65</definedName>
    <definedName name="SCCMPMDeploy">[6]SCCM!$F$65</definedName>
    <definedName name="SCCMPMEnvision">[6]SCCM!$C$65</definedName>
    <definedName name="SCCMPMPlan">[6]SCCM!$D$65</definedName>
    <definedName name="SCCMQABuild">[6]SCCM!$E$66</definedName>
    <definedName name="SCCMQADeploy">[6]SCCM!$F$66</definedName>
    <definedName name="SCCMQAEnvision">[6]SCCM!$C$66</definedName>
    <definedName name="SCCMQAPlan">[6]SCCM!$D$66</definedName>
    <definedName name="SCOMPMBuild">[6]SCOM!$E$63</definedName>
    <definedName name="SCOMPMDeploy">[6]SCOM!$F$63</definedName>
    <definedName name="SCOMPMEnvision">[6]SCOM!$C$63</definedName>
    <definedName name="SCOMPMPlan">[6]SCOM!$D$63</definedName>
    <definedName name="SCOMQABuild">[6]SCOM!$E$64</definedName>
    <definedName name="SCOMQADeploy">[6]SCOM!$F$64</definedName>
    <definedName name="SCOMQAEnvision">[6]SCOM!$C$64</definedName>
    <definedName name="SCOMQAPlan">[6]SCOM!$D$64</definedName>
    <definedName name="sdaf">'[2]CP đàotạo'!sdaf</definedName>
    <definedName name="sdas">'[2]CP đàotạo'!sdas</definedName>
    <definedName name="sdf">'[48]Tong gia tri phan mem'!$J$6</definedName>
    <definedName name="SDG">{"'Sheet1'!$L$16"}</definedName>
    <definedName name="sds">{"'Sheet1'!$L$16"}</definedName>
    <definedName name="sdz">{"'Sheet1'!$L$16"}</definedName>
    <definedName name="sencount">1</definedName>
    <definedName name="sfd">{"'Sheet1'!$L$16"}</definedName>
    <definedName name="sfds">'[2]CP đàotạo'!sfds</definedName>
    <definedName name="sff">{"'Sheet1'!$L$16"}</definedName>
    <definedName name="sfsd">{"'Sheet1'!$L$16"}</definedName>
    <definedName name="sgfnvb">#REF!,#REF!,#REF!,#REF!,#REF!,#REF!,#REF!,#REF!,#REF!,#REF!,#REF!,#REF!</definedName>
    <definedName name="SharePointScopeIncluded">[6]StartPage!$D$20</definedName>
    <definedName name="sheet">{"Book1"}</definedName>
    <definedName name="SITE_EXPENSE">#REF!</definedName>
    <definedName name="Sites">[6]CustomerProfile!$B$7</definedName>
    <definedName name="skadjf">'[2]CP đàotạo'!skadjf</definedName>
    <definedName name="SMSAppPackaging">[6]CustomerProfile!$B$28</definedName>
    <definedName name="SMSComplexity">[6]CustomerProfile!$B$235</definedName>
    <definedName name="SMSDevStabil">[6]SCCM!$E$2</definedName>
    <definedName name="SMSEnv">[6]SCCM!$C$2</definedName>
    <definedName name="SMSManagedDesktops">[6]CustomerProfile!$B$36</definedName>
    <definedName name="SMSManagedServers">[6]CustomerProfile!$B$37</definedName>
    <definedName name="SMSPlan">[6]SCCM!$D$2</definedName>
    <definedName name="SMSPrimarySites">[6]CustomerProfile!$B$35</definedName>
    <definedName name="SMSScopeIncluded">[6]StartPage!$D$17</definedName>
    <definedName name="Sõ_au">'[2]CP đàotạo'!Sõ_au</definedName>
    <definedName name="So_Xau">'[2]CP đàotạo'!So_Xau</definedName>
    <definedName name="SoftWarrantyRate">15%</definedName>
    <definedName name="SoHT">1</definedName>
    <definedName name="solver_lin">0</definedName>
    <definedName name="solver_num">0</definedName>
    <definedName name="solver_typ">1</definedName>
    <definedName name="solver_val">0</definedName>
    <definedName name="SORT_AREA">'[49]DI-ESTI'!$A$8:$R$489</definedName>
    <definedName name="SOTIEN">[21]PSTH!$F$2:$F$120</definedName>
    <definedName name="Spanner_Auto_File">"C:\My Documents\tinh cdo.x2a"</definedName>
    <definedName name="SpecialPrice">#REF!</definedName>
    <definedName name="SPSBizDataCatDefs">[6]CustomerProfile!$B$59</definedName>
    <definedName name="SPSClusterReady">[6]CustomerProfile!$B$263</definedName>
    <definedName name="SPSComplexity">[6]CustomerProfile!$B$279</definedName>
    <definedName name="SPSCustomSiteDefs">[6]CustomerProfile!$B$60</definedName>
    <definedName name="SPSCustomSiteFeatures">[6]CustomerProfile!$B$62</definedName>
    <definedName name="SPSCustomSiteTemplates">[6]CustomerProfile!$B$61</definedName>
    <definedName name="SPSCustomWebLink">[6]CustomerProfile!$B$57</definedName>
    <definedName name="SPSCustomWebPart">[6]CustomerProfile!$B$56</definedName>
    <definedName name="SPSFormsAuthComplexity">[6]CustomerProfile!$B$267</definedName>
    <definedName name="SPSFormsAuthProviders">[6]CustomerProfile!$B$64</definedName>
    <definedName name="SPSInfoPathForms">[6]CustomerProfile!$B$63</definedName>
    <definedName name="SPSLanguagePacks">[6]CustomerProfile!$B$66</definedName>
    <definedName name="SPSPhysicalSites">[6]CustomerProfile!$B$265</definedName>
    <definedName name="SPSSearchComplexity">[6]CustomerProfile!$B$266</definedName>
    <definedName name="SPSSitesFacingInternet">[6]CustomerProfile!$B$65</definedName>
    <definedName name="SPSTaxonomy">[6]CustomerProfile!$B$264</definedName>
    <definedName name="SPSWCMCustomFieldControls">[6]CustomerProfile!$B$58</definedName>
    <definedName name="srbn">{"Thuxm2.xls","Sheet1"}</definedName>
    <definedName name="ssau">'[2]CP đàotạo'!ssau</definedName>
    <definedName name="sssd">{#N/A,#N/A,FALSE,"Chi tiÆt"}</definedName>
    <definedName name="ST_TH2_131">3</definedName>
    <definedName name="store_b">1.1</definedName>
    <definedName name="store_dis">20%</definedName>
    <definedName name="Subbase">{"'Sheet1'!$L$16"}</definedName>
    <definedName name="SUM">#REF!,#REF!</definedName>
    <definedName name="sx">'[2]CP đàotạo'!sx</definedName>
    <definedName name="sxau">'[2]CP đàotạo'!sxau</definedName>
    <definedName name="T">{"'Sheet1'!$L$16"}</definedName>
    <definedName name="T.3">{"'Sheet1'!$L$16"}</definedName>
    <definedName name="t12nc3p">'[3]CHITIET VL-NC'!$G$38</definedName>
    <definedName name="t12vl3p">'[3]CHITIET VL-NC'!$G$34</definedName>
    <definedName name="Tæng_c_ng_suÊt_hiÖn_t_i">"THOP"</definedName>
    <definedName name="TAIKHOANSODU">[21]SODU!$A$2:$A$105</definedName>
    <definedName name="TAW">'[9]Appendix 3'!$F$8</definedName>
    <definedName name="TaxTV">10%</definedName>
    <definedName name="TaxXL">5%</definedName>
    <definedName name="tb">'[29]DO AM DT'!$B$100</definedName>
    <definedName name="TBCLS">'[2]CP đàotạo'!TBCLS</definedName>
    <definedName name="TBF">'[9]Appendix 4'!$E$18</definedName>
    <definedName name="tbl_ProdInfo">#REF!</definedName>
    <definedName name="tdnc3p">'[3]CHITIET VL-NC'!$G$28</definedName>
    <definedName name="tdvl3p">'[3]CHITIET VL-NC'!$G$23</definedName>
    <definedName name="Ten_cong_trinh">"Drop Down 29"</definedName>
    <definedName name="Ten_ngan">'[50]Đơn xin cấp phép'!$L1</definedName>
    <definedName name="Tenchiphi_6">"ThÈm ®Þnh tæng dù to¸n"</definedName>
    <definedName name="TenCT">'[51]Đầu vào'!$C$3&amp;'[51]Đầu vào'!$D$3</definedName>
    <definedName name="TenTan_1">{"'Sheet1'!$L$16"}</definedName>
    <definedName name="Test_Rate">'[8]Dinh muc PM'!$G$17</definedName>
    <definedName name="text">#REF!,#REF!,#REF!,#REF!,#REF!</definedName>
    <definedName name="th">'[2]Rate_1688_ThueDVCNTT_&lt;=15ty'!TLTH1</definedName>
    <definedName name="tha">{"'Sheet1'!$L$16"}</definedName>
    <definedName name="THAN">{"'Sheet1'!$L$16"}</definedName>
    <definedName name="Thang1">{"'Sheet1'!$L$16"}</definedName>
    <definedName name="thang10">'[52]Luong thang10-2000'!$A$5:$V$26</definedName>
    <definedName name="thau">'[2]CP đàotạo'!thau</definedName>
    <definedName name="THCPTB">[53]ThietBi!$F$6</definedName>
    <definedName name="the">'[2]CP đàotạo'!the</definedName>
    <definedName name="thepma">10500</definedName>
    <definedName name="THKP7YT">{"'Sheet1'!$L$16"}</definedName>
    <definedName name="Thop">{#N/A,#N/A,FALSE,"Chi tiÆt"}</definedName>
    <definedName name="THop2">#REF!</definedName>
    <definedName name="thue">6</definedName>
    <definedName name="thuy">{"'Sheet1'!$L$16"}</definedName>
    <definedName name="THUYETMINH">[54]ptvt!$A$6:$X$128</definedName>
    <definedName name="thvlmoi">{"'Sheet1'!$L$16"}</definedName>
    <definedName name="thvlmoimoi">{"'Sheet1'!$L$16"}</definedName>
    <definedName name="Tiepdia">[3]Tiepdia!$A:$IV</definedName>
    <definedName name="Tiepdiama">9500</definedName>
    <definedName name="tigia">[55]Sheet1!$J$2</definedName>
    <definedName name="TinhThanhLuong">'[7]Param (I)'!$B$56:$B$98</definedName>
    <definedName name="TKCO">[21]PSTH!$E$2:$E$120</definedName>
    <definedName name="TKNO">[21]PSTH!$D$2:$D$120</definedName>
    <definedName name="TKYB">"TKYB"</definedName>
    <definedName name="tlc">{"'Sheet1'!$L$16"}</definedName>
    <definedName name="TMDT_TamTinh_tydong">[32]DinhMuc2378!$M$8/10^9</definedName>
    <definedName name="TMDTdk">'[23]Các hệ số'!$C$11</definedName>
    <definedName name="TMM">'[2]CP đàotạo'!TMM</definedName>
    <definedName name="ton">'[29]DO AM DT'!$AC$84</definedName>
    <definedName name="TongDA2012">'[42]Sizing lưu trữ '!$E$11</definedName>
    <definedName name="Total_price_rows">#REF!,#REF!,#REF!,#REF!,#REF!,#REF!</definedName>
    <definedName name="trash">#REF!,#REF!,#REF!,#REF!,#REF!,#REF!,#REF!,#REF!,#REF!,#REF!,#REF!,#REF!</definedName>
    <definedName name="trertt">{"Thuxm2.xls","Sheet1"}</definedName>
    <definedName name="truc">{"'Sheet1'!$L$16"}</definedName>
    <definedName name="Truong">{#N/A,#N/A,FALSE,"Chi tiÆt"}</definedName>
    <definedName name="ttdb">1.2</definedName>
    <definedName name="TTDD">[3]TDTKP!$E$44+[3]TDTKP!$F$44+[3]TDTKP!$G$44</definedName>
    <definedName name="TTK3p">'[3]TONGKE3p '!$C$295</definedName>
    <definedName name="TUANKHANHTUYET12">'[2]CP đàotạo'!TUANKHANHTUYET12</definedName>
    <definedName name="tuyennhanh">{"'Sheet1'!$L$16"}</definedName>
    <definedName name="tygia">'[56]Khai toan chi tiet'!$H$2</definedName>
    <definedName name="Tygia_USD_VND">'[19]Tonghop theo Vendor'!$D$2</definedName>
    <definedName name="TyLeDuPhong">0.1</definedName>
    <definedName name="Ud">#REF!</definedName>
    <definedName name="UNIT">#REF!</definedName>
    <definedName name="UP">#REF!,#REF!,#REF!,#REF!,#REF!,#REF!,#REF!,#REF!,#REF!,#REF!,#REF!</definedName>
    <definedName name="UUCP">'[9]Du toan'!$D$8</definedName>
    <definedName name="Uy">#REF!</definedName>
    <definedName name="uyen">{#N/A,#N/A,TRUE,"BT M200 da 10x20"}</definedName>
    <definedName name="V_a_b__t_ng_M200____1x2">NA()</definedName>
    <definedName name="VAÄT_LIEÄU">"nhandongia"</definedName>
    <definedName name="van">{#N/A,#N/A,FALSE,"Chi tiÆt"}</definedName>
    <definedName name="VancoProducts">[5]Validation!$B$2:$B$4</definedName>
    <definedName name="VariabilityCurrentDesktop">[6]CustomerProfile!$B$199</definedName>
    <definedName name="vat">5</definedName>
    <definedName name="VAT_CHS">10%</definedName>
    <definedName name="VAT_DaoTao">10%</definedName>
    <definedName name="vat_dv">0.1</definedName>
    <definedName name="vat_hw">0.1</definedName>
    <definedName name="vat_sw">0</definedName>
    <definedName name="vat_sw_1">0.1</definedName>
    <definedName name="VAT_TuVan">10%</definedName>
    <definedName name="VAT_WAN">10%</definedName>
    <definedName name="VATM">{"'Sheet1'!$L$16"}</definedName>
    <definedName name="vcoto">{"'Sheet1'!$L$16"}</definedName>
    <definedName name="VCTdan">'[2]CP đàotạo'!_Sort</definedName>
    <definedName name="VCVBT1">'[3]VCV-BE-TONG'!$G$11</definedName>
    <definedName name="VCVBT2">'[3]VCV-BE-TONG'!$G$17</definedName>
    <definedName name="Viet">{"'Sheet1'!$L$16"}</definedName>
    <definedName name="vlct">{"'Sheet1'!$L$16"}</definedName>
    <definedName name="VLHC">[3]TNHCHINH!$I$38</definedName>
    <definedName name="vmware">0.8</definedName>
    <definedName name="VVVVVV">{"'Sheet1'!$L$16"}</definedName>
    <definedName name="WIRE1">5</definedName>
    <definedName name="working_day">22.5</definedName>
    <definedName name="Workstations">[6]CustomerProfile!$B$4</definedName>
    <definedName name="wrn.aaa.">{#N/A,#N/A,FALSE,"Sheet1";#N/A,#N/A,FALSE,"Sheet1";#N/A,#N/A,FALSE,"Sheet1"}</definedName>
    <definedName name="wrn.BAOCAO.">{#N/A,#N/A,FALSE,"sum";#N/A,#N/A,FALSE,"MARTV";#N/A,#N/A,FALSE,"APRTV"}</definedName>
    <definedName name="wrn.chi._.tiÆt.">{#N/A,#N/A,FALSE,"Chi tiÆt"}</definedName>
    <definedName name="wrn.cong.">{#N/A,#N/A,FALSE,"Sheet1"}</definedName>
    <definedName name="wrn.inv._.budget.">{"invbud-1",#N/A,FALSE,"A";"invbud-1CW",#N/A,FALSE,"A";"Desinvesteringen",#N/A,FALSE,"C"}</definedName>
    <definedName name="wrn.Report.">{"Offgrid",#N/A,FALSE,"OFFGRID";"Region",#N/A,FALSE,"REGION";"Offgrid -2",#N/A,FALSE,"OFFGRID";"WTP",#N/A,FALSE,"WTP";"WTP -2",#N/A,FALSE,"WTP";"Project",#N/A,FALSE,"PROJECT";"Summary -2",#N/A,FALSE,"SUMMARY"}</definedName>
    <definedName name="wrn.vd.">{#N/A,#N/A,TRUE,"BT M200 da 10x20"}</definedName>
    <definedName name="wrnf.report">{"Offgrid",#N/A,FALSE,"OFFGRID";"Region",#N/A,FALSE,"REGION";"Offgrid -2",#N/A,FALSE,"OFFGRID";"WTP",#N/A,FALSE,"WTP";"WTP -2",#N/A,FALSE,"WTP";"Project",#N/A,FALSE,"PROJECT";"Summary -2",#N/A,FALSE,"SUMMARY"}</definedName>
    <definedName name="ww">{"Thuxm2.xls","Sheet1"}</definedName>
    <definedName name="X255QTY">[57]xSeries255!$D$13:$D$42,[57]xSeries255!$D$45:$D$458</definedName>
    <definedName name="XCCT">0.5</definedName>
    <definedName name="XDPhanMem">[58]PMNB!$D$27</definedName>
    <definedName name="xfconc3p">'[3]CHITIET VL-NC'!$G$94</definedName>
    <definedName name="xfcovl3p">'[3]CHITIET VL-NC'!$G$90</definedName>
    <definedName name="xiggnc">'[3]CHITIET VL-NC'!$G$57</definedName>
    <definedName name="xiggvl">'[3]CHITIET VL-NC'!$G$53</definedName>
    <definedName name="xin190nc3p">'[3]CHITIET VL-NC'!$G$76</definedName>
    <definedName name="xin190vl3p">'[3]CHITIET VL-NC'!$G$72</definedName>
    <definedName name="xindnc3p">'[3]CHITIET VL-NC'!$G$85</definedName>
    <definedName name="xindvl3p">'[3]CHITIET VL-NC'!$G$80</definedName>
    <definedName name="xittnc">'[3]CHITIET VL-NC'!$G$48</definedName>
    <definedName name="xittvl">'[3]CHITIET VL-NC'!$G$44</definedName>
    <definedName name="xlttbninh">{"'Sheet1'!$L$16"}</definedName>
    <definedName name="xm">[15]gvl!$N$16</definedName>
    <definedName name="xoanhapk">#REF!,#REF!</definedName>
    <definedName name="xoanhapl">#REF!,#REF!</definedName>
    <definedName name="XSER255">[57]xSeries255!$A$13:$M$42,[57]xSeries255!$A$45:$M$458</definedName>
    <definedName name="xvxcvxc">{"'Sheet1'!$L$16"}</definedName>
    <definedName name="Yd">#REF!</definedName>
    <definedName name="Yu">#REF!</definedName>
    <definedName name="Z_B6D82DE0_6701_11DA_9820_00304F1E4471_.wvu.Cols">#REF!</definedName>
    <definedName name="zc">[2]!\h2o</definedName>
    <definedName name="zh">[2]!\j</definedName>
    <definedName name="zi">[2]!_b</definedName>
    <definedName name="zj">[2]!\l</definedName>
    <definedName name="zn">[2]!\p</definedName>
    <definedName name="zo">[2]!\t40</definedName>
    <definedName name="zq">[2]!\v</definedName>
    <definedName name="zv">[2]!_1BA1037</definedName>
    <definedName name="zx">[2]!_1BA1100</definedName>
    <definedName name="zy">[2]!_1BA3025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8" roundtripDataChecksum="wyt7RHqzArNI73TVivEl5XiRTO//25oTCF9seY9E0hk="/>
    </ext>
  </extLst>
</workbook>
</file>

<file path=xl/calcChain.xml><?xml version="1.0" encoding="utf-8"?>
<calcChain xmlns="http://schemas.openxmlformats.org/spreadsheetml/2006/main">
  <c r="M30" i="16" l="1"/>
  <c r="L30" i="16"/>
  <c r="K30" i="16"/>
  <c r="J30" i="16"/>
  <c r="I30" i="16"/>
  <c r="H30" i="16"/>
  <c r="G30" i="16"/>
  <c r="F30" i="16"/>
  <c r="E30" i="16"/>
  <c r="D30" i="16"/>
  <c r="M9" i="16"/>
  <c r="L9" i="16"/>
  <c r="K9" i="16"/>
  <c r="J9" i="16"/>
  <c r="I9" i="16"/>
  <c r="H9" i="16"/>
  <c r="G9" i="16"/>
  <c r="F9" i="16"/>
  <c r="E9" i="16"/>
  <c r="D9" i="16"/>
  <c r="I43" i="15"/>
  <c r="I45" i="15" s="1"/>
  <c r="H43" i="15"/>
  <c r="H45" i="15" s="1"/>
  <c r="G43" i="15"/>
  <c r="G45" i="15" s="1"/>
  <c r="F43" i="15"/>
  <c r="F45" i="15" s="1"/>
  <c r="E43" i="15"/>
  <c r="E45" i="15" s="1"/>
  <c r="D43" i="15"/>
  <c r="D45" i="15" s="1"/>
  <c r="C43" i="15"/>
  <c r="C45" i="15" s="1"/>
  <c r="J13" i="15"/>
  <c r="I13" i="15"/>
  <c r="H13" i="15"/>
  <c r="G13" i="15"/>
  <c r="F13" i="15"/>
  <c r="E13" i="15"/>
  <c r="D13" i="15"/>
  <c r="C13" i="15"/>
  <c r="K12" i="15"/>
  <c r="C4" i="15"/>
  <c r="C3" i="15"/>
  <c r="O11" i="14"/>
  <c r="P11" i="14" s="1"/>
  <c r="O10" i="14"/>
  <c r="P10" i="14" s="1"/>
  <c r="O9" i="14"/>
  <c r="P9" i="14" s="1"/>
  <c r="O8" i="14"/>
  <c r="P8" i="14" s="1"/>
  <c r="O7" i="14"/>
  <c r="P7" i="14" s="1"/>
  <c r="O6" i="14"/>
  <c r="P6" i="14" s="1"/>
  <c r="O5" i="14"/>
  <c r="P5" i="14" s="1"/>
  <c r="E10" i="13"/>
  <c r="E9" i="13"/>
  <c r="E8" i="13"/>
  <c r="D7" i="13"/>
  <c r="E7" i="13" s="1"/>
  <c r="E6" i="13"/>
  <c r="E5" i="13"/>
  <c r="E4" i="13"/>
  <c r="E12" i="8"/>
  <c r="F12" i="8" s="1"/>
  <c r="E11" i="8"/>
  <c r="F11" i="8" s="1"/>
  <c r="E10" i="8"/>
  <c r="F10" i="8" s="1"/>
  <c r="E9" i="8"/>
  <c r="F9" i="8" s="1"/>
  <c r="E8" i="8"/>
  <c r="E7" i="8"/>
  <c r="F7" i="8" s="1"/>
  <c r="E6" i="8"/>
  <c r="F6" i="8" s="1"/>
  <c r="E5" i="8"/>
  <c r="F5" i="8" s="1"/>
  <c r="E17" i="7"/>
  <c r="E16" i="7"/>
  <c r="E15" i="7"/>
  <c r="E14" i="7"/>
  <c r="E13" i="7"/>
  <c r="E12" i="7"/>
  <c r="E11" i="7"/>
  <c r="E10" i="7"/>
  <c r="E9" i="7"/>
  <c r="E8" i="7"/>
  <c r="E7" i="7"/>
  <c r="E6" i="7"/>
  <c r="A6" i="7"/>
  <c r="A7" i="7" s="1"/>
  <c r="A8" i="7" s="1"/>
  <c r="A9" i="7" s="1"/>
  <c r="A10" i="7" s="1"/>
  <c r="A11" i="7" s="1"/>
  <c r="A12" i="7" s="1"/>
  <c r="A13" i="7" s="1"/>
  <c r="A14" i="7" s="1"/>
  <c r="A15" i="7" s="1"/>
  <c r="A16" i="7" s="1"/>
  <c r="A17" i="7" s="1"/>
  <c r="E5" i="7"/>
  <c r="C47" i="6"/>
  <c r="C46" i="6"/>
  <c r="C45" i="6"/>
  <c r="C44" i="6"/>
  <c r="C43" i="6"/>
  <c r="F27" i="6"/>
  <c r="G27" i="6" s="1"/>
  <c r="F24" i="6"/>
  <c r="G24" i="6" s="1"/>
  <c r="F22" i="6"/>
  <c r="G22" i="6" s="1"/>
  <c r="F18" i="6"/>
  <c r="G18" i="6" s="1"/>
  <c r="F15" i="6"/>
  <c r="G15" i="6" s="1"/>
  <c r="F12" i="6"/>
  <c r="G12" i="6" s="1"/>
  <c r="F9" i="6"/>
  <c r="G9" i="6" s="1"/>
  <c r="F6" i="6"/>
  <c r="F30" i="6" s="1"/>
  <c r="F31" i="6" s="1"/>
  <c r="F1201" i="5"/>
  <c r="B1201" i="5"/>
  <c r="F1200" i="5"/>
  <c r="B1200" i="5"/>
  <c r="G1200" i="5" s="1"/>
  <c r="F1199" i="5"/>
  <c r="B1199" i="5"/>
  <c r="F1198" i="5"/>
  <c r="F1197" i="5"/>
  <c r="B1197" i="5"/>
  <c r="H1197" i="5" s="1"/>
  <c r="F1196" i="5"/>
  <c r="B1196" i="5"/>
  <c r="F1195" i="5"/>
  <c r="B1195" i="5"/>
  <c r="F1194" i="5"/>
  <c r="F1193" i="5"/>
  <c r="B1193" i="5"/>
  <c r="F1192" i="5"/>
  <c r="B1192" i="5"/>
  <c r="G1192" i="5" s="1"/>
  <c r="F1191" i="5"/>
  <c r="B1191" i="5"/>
  <c r="F1190" i="5"/>
  <c r="F1189" i="5"/>
  <c r="B1189" i="5"/>
  <c r="H1189" i="5" s="1"/>
  <c r="F1188" i="5"/>
  <c r="B1188" i="5"/>
  <c r="F1187" i="5"/>
  <c r="B1187" i="5"/>
  <c r="F1186" i="5"/>
  <c r="F1185" i="5"/>
  <c r="B1185" i="5"/>
  <c r="F1184" i="5"/>
  <c r="B1184" i="5"/>
  <c r="G1184" i="5" s="1"/>
  <c r="F1183" i="5"/>
  <c r="B1183" i="5"/>
  <c r="F1182" i="5"/>
  <c r="F1181" i="5"/>
  <c r="B1181" i="5"/>
  <c r="F1180" i="5"/>
  <c r="B1180" i="5"/>
  <c r="F1179" i="5"/>
  <c r="B1179" i="5"/>
  <c r="G1179" i="5" s="1"/>
  <c r="F1178" i="5"/>
  <c r="F1177" i="5"/>
  <c r="B1177" i="5"/>
  <c r="H1177" i="5" s="1"/>
  <c r="F1176" i="5"/>
  <c r="B1176" i="5"/>
  <c r="F1175" i="5"/>
  <c r="B1175" i="5"/>
  <c r="F1174" i="5"/>
  <c r="F1173" i="5"/>
  <c r="B1173" i="5"/>
  <c r="F1172" i="5"/>
  <c r="B1172" i="5"/>
  <c r="H1172" i="5" s="1"/>
  <c r="F1171" i="5"/>
  <c r="F1170" i="5"/>
  <c r="B1170" i="5"/>
  <c r="F1169" i="5"/>
  <c r="B1169" i="5"/>
  <c r="H1169" i="5" s="1"/>
  <c r="F1168" i="5"/>
  <c r="F1167" i="5"/>
  <c r="B1167" i="5"/>
  <c r="H1167" i="5" s="1"/>
  <c r="F1166" i="5"/>
  <c r="B1166" i="5"/>
  <c r="F1165" i="5"/>
  <c r="F1164" i="5"/>
  <c r="B1164" i="5"/>
  <c r="G1164" i="5" s="1"/>
  <c r="F1163" i="5"/>
  <c r="B1163" i="5"/>
  <c r="F1162" i="5"/>
  <c r="F1161" i="5"/>
  <c r="B1161" i="5"/>
  <c r="H1161" i="5" s="1"/>
  <c r="F1160" i="5"/>
  <c r="B1160" i="5"/>
  <c r="F1159" i="5"/>
  <c r="F1158" i="5"/>
  <c r="B1158" i="5"/>
  <c r="F1157" i="5"/>
  <c r="B1157" i="5"/>
  <c r="G1157" i="5" s="1"/>
  <c r="F1156" i="5"/>
  <c r="F1155" i="5"/>
  <c r="B1155" i="5"/>
  <c r="F1154" i="5"/>
  <c r="F1153" i="5"/>
  <c r="B1153" i="5"/>
  <c r="H1153" i="5" s="1"/>
  <c r="F1152" i="5"/>
  <c r="F1151" i="5"/>
  <c r="B1151" i="5"/>
  <c r="H1151" i="5" s="1"/>
  <c r="F1150" i="5"/>
  <c r="F1149" i="5"/>
  <c r="B1149" i="5"/>
  <c r="G1149" i="5" s="1"/>
  <c r="F1148" i="5"/>
  <c r="F1147" i="5"/>
  <c r="B1147" i="5"/>
  <c r="F1146" i="5"/>
  <c r="B1146" i="5"/>
  <c r="F1145" i="5"/>
  <c r="F1144" i="5"/>
  <c r="B1144" i="5"/>
  <c r="F1143" i="5"/>
  <c r="B1143" i="5"/>
  <c r="F1142" i="5"/>
  <c r="F1141" i="5"/>
  <c r="B1141" i="5"/>
  <c r="F1140" i="5"/>
  <c r="B1140" i="5"/>
  <c r="G1140" i="5" s="1"/>
  <c r="F1139" i="5"/>
  <c r="F1138" i="5"/>
  <c r="B1138" i="5"/>
  <c r="H1138" i="5" s="1"/>
  <c r="F1137" i="5"/>
  <c r="B1137" i="5"/>
  <c r="H1137" i="5" s="1"/>
  <c r="F1136" i="5"/>
  <c r="B1136" i="5"/>
  <c r="F1135" i="5"/>
  <c r="F1134" i="5"/>
  <c r="B1134" i="5"/>
  <c r="F1133" i="5"/>
  <c r="B1133" i="5"/>
  <c r="F1132" i="5"/>
  <c r="B1132" i="5"/>
  <c r="H1132" i="5" s="1"/>
  <c r="F1131" i="5"/>
  <c r="B1131" i="5"/>
  <c r="F1130" i="5"/>
  <c r="I1129" i="5"/>
  <c r="H1129" i="5"/>
  <c r="G1129" i="5"/>
  <c r="F1129" i="5"/>
  <c r="F1128" i="5"/>
  <c r="B1128" i="5"/>
  <c r="F1127" i="5"/>
  <c r="B1127" i="5"/>
  <c r="H1127" i="5" s="1"/>
  <c r="F1126" i="5"/>
  <c r="B1126" i="5"/>
  <c r="F1125" i="5"/>
  <c r="F1124" i="5"/>
  <c r="B1124" i="5"/>
  <c r="F1123" i="5"/>
  <c r="B1123" i="5"/>
  <c r="H1123" i="5" s="1"/>
  <c r="F1122" i="5"/>
  <c r="B1122" i="5"/>
  <c r="G1122" i="5" s="1"/>
  <c r="F1121" i="5"/>
  <c r="F1120" i="5"/>
  <c r="B1120" i="5"/>
  <c r="F1119" i="5"/>
  <c r="B1119" i="5"/>
  <c r="H1119" i="5" s="1"/>
  <c r="F1118" i="5"/>
  <c r="B1118" i="5"/>
  <c r="F1117" i="5"/>
  <c r="F1116" i="5"/>
  <c r="B1116" i="5"/>
  <c r="F1115" i="5"/>
  <c r="B1115" i="5"/>
  <c r="F1114" i="5"/>
  <c r="B1114" i="5"/>
  <c r="F1113" i="5"/>
  <c r="F1112" i="5"/>
  <c r="B1112" i="5"/>
  <c r="H1112" i="5" s="1"/>
  <c r="F1111" i="5"/>
  <c r="B1111" i="5"/>
  <c r="H1111" i="5" s="1"/>
  <c r="F1110" i="5"/>
  <c r="B1110" i="5"/>
  <c r="F1109" i="5"/>
  <c r="F1108" i="5"/>
  <c r="B1108" i="5"/>
  <c r="F1107" i="5"/>
  <c r="B1107" i="5"/>
  <c r="F1106" i="5"/>
  <c r="B1106" i="5"/>
  <c r="G1106" i="5" s="1"/>
  <c r="F1105" i="5"/>
  <c r="I1104" i="5"/>
  <c r="H1104" i="5"/>
  <c r="F1103" i="5"/>
  <c r="B1103" i="5"/>
  <c r="F1096" i="5"/>
  <c r="B1096" i="5"/>
  <c r="H1096" i="5" s="1"/>
  <c r="F1095" i="5"/>
  <c r="F1094" i="5"/>
  <c r="B1094" i="5"/>
  <c r="F1091" i="5"/>
  <c r="B1091" i="5"/>
  <c r="F1090" i="5"/>
  <c r="B1090" i="5"/>
  <c r="H1090" i="5" s="1"/>
  <c r="F1089" i="5"/>
  <c r="I1088" i="5"/>
  <c r="H1088" i="5"/>
  <c r="G1088" i="5"/>
  <c r="F1088" i="5"/>
  <c r="F1087" i="5"/>
  <c r="B1087" i="5"/>
  <c r="H1087" i="5" s="1"/>
  <c r="F1086" i="5"/>
  <c r="B1086" i="5"/>
  <c r="F1085" i="5"/>
  <c r="B1085" i="5"/>
  <c r="G1085" i="5" s="1"/>
  <c r="F1084" i="5"/>
  <c r="B1084" i="5"/>
  <c r="F1083" i="5"/>
  <c r="F1082" i="5"/>
  <c r="B1082" i="5"/>
  <c r="I1082" i="5" s="1"/>
  <c r="F1081" i="5"/>
  <c r="B1081" i="5"/>
  <c r="F1080" i="5"/>
  <c r="B1080" i="5"/>
  <c r="F1079" i="5"/>
  <c r="I1078" i="5"/>
  <c r="H1078" i="5"/>
  <c r="G1078" i="5"/>
  <c r="F1078" i="5"/>
  <c r="F1077" i="5"/>
  <c r="B1077" i="5"/>
  <c r="G1077" i="5" s="1"/>
  <c r="F1076" i="5"/>
  <c r="B1076" i="5"/>
  <c r="F1075" i="5"/>
  <c r="B1075" i="5"/>
  <c r="F1074" i="5"/>
  <c r="F1073" i="5"/>
  <c r="B1073" i="5"/>
  <c r="F1072" i="5"/>
  <c r="B1072" i="5"/>
  <c r="F1071" i="5"/>
  <c r="B1071" i="5"/>
  <c r="F1070" i="5"/>
  <c r="F1069" i="5"/>
  <c r="B1069" i="5"/>
  <c r="H1069" i="5" s="1"/>
  <c r="F1068" i="5"/>
  <c r="B1068" i="5"/>
  <c r="F1067" i="5"/>
  <c r="B1067" i="5"/>
  <c r="F1066" i="5"/>
  <c r="F1065" i="5"/>
  <c r="B1065" i="5"/>
  <c r="F1064" i="5"/>
  <c r="B1064" i="5"/>
  <c r="F1063" i="5"/>
  <c r="B1063" i="5"/>
  <c r="H1063" i="5" s="1"/>
  <c r="F1062" i="5"/>
  <c r="F1061" i="5"/>
  <c r="B1061" i="5"/>
  <c r="F1060" i="5"/>
  <c r="B1060" i="5"/>
  <c r="F1059" i="5"/>
  <c r="B1059" i="5"/>
  <c r="F1058" i="5"/>
  <c r="I1057" i="5"/>
  <c r="H1057" i="5"/>
  <c r="G1057" i="5"/>
  <c r="F1057" i="5"/>
  <c r="F1056" i="5"/>
  <c r="B1056" i="5"/>
  <c r="G1056" i="5" s="1"/>
  <c r="F1055" i="5"/>
  <c r="B1055" i="5"/>
  <c r="G1055" i="5" s="1"/>
  <c r="F1054" i="5"/>
  <c r="B1054" i="5"/>
  <c r="F1053" i="5"/>
  <c r="F1052" i="5"/>
  <c r="B1052" i="5"/>
  <c r="F1051" i="5"/>
  <c r="B1051" i="5"/>
  <c r="F1050" i="5"/>
  <c r="B1050" i="5"/>
  <c r="G1050" i="5" s="1"/>
  <c r="F1049" i="5"/>
  <c r="F1048" i="5"/>
  <c r="B1048" i="5"/>
  <c r="G1048" i="5" s="1"/>
  <c r="F1047" i="5"/>
  <c r="B1047" i="5"/>
  <c r="F1046" i="5"/>
  <c r="B1046" i="5"/>
  <c r="F1045" i="5"/>
  <c r="F1044" i="5"/>
  <c r="B1044" i="5"/>
  <c r="F1043" i="5"/>
  <c r="B1043" i="5"/>
  <c r="F1042" i="5"/>
  <c r="B1042" i="5"/>
  <c r="G1042" i="5" s="1"/>
  <c r="F1041" i="5"/>
  <c r="F1040" i="5"/>
  <c r="B1040" i="5"/>
  <c r="G1040" i="5" s="1"/>
  <c r="F1039" i="5"/>
  <c r="B1039" i="5"/>
  <c r="F1038" i="5"/>
  <c r="B1038" i="5"/>
  <c r="F1037" i="5"/>
  <c r="F1035" i="5"/>
  <c r="B1035" i="5"/>
  <c r="F1034" i="5"/>
  <c r="B1034" i="5"/>
  <c r="F1033" i="5"/>
  <c r="F1032" i="5"/>
  <c r="B1032" i="5"/>
  <c r="F1031" i="5"/>
  <c r="B1031" i="5"/>
  <c r="F1030" i="5"/>
  <c r="B1030" i="5"/>
  <c r="F1029" i="5"/>
  <c r="F1028" i="5"/>
  <c r="B1028" i="5"/>
  <c r="F1027" i="5"/>
  <c r="B1027" i="5"/>
  <c r="G1027" i="5" s="1"/>
  <c r="F1026" i="5"/>
  <c r="B1026" i="5"/>
  <c r="F1025" i="5"/>
  <c r="I1024" i="5"/>
  <c r="H1024" i="5"/>
  <c r="G1024" i="5"/>
  <c r="F1024" i="5"/>
  <c r="F1022" i="5"/>
  <c r="B1022" i="5"/>
  <c r="F1021" i="5"/>
  <c r="B1021" i="5"/>
  <c r="F1020" i="5"/>
  <c r="F1018" i="5"/>
  <c r="B1018" i="5"/>
  <c r="F1017" i="5"/>
  <c r="B1017" i="5"/>
  <c r="F1016" i="5"/>
  <c r="F1014" i="5"/>
  <c r="B1014" i="5"/>
  <c r="F1013" i="5"/>
  <c r="B1013" i="5"/>
  <c r="F1012" i="5"/>
  <c r="F1010" i="5"/>
  <c r="B1010" i="5"/>
  <c r="F1009" i="5"/>
  <c r="B1009" i="5"/>
  <c r="F1008" i="5"/>
  <c r="F1006" i="5"/>
  <c r="B1006" i="5"/>
  <c r="F1005" i="5"/>
  <c r="B1005" i="5"/>
  <c r="H1005" i="5" s="1"/>
  <c r="F1004" i="5"/>
  <c r="F1002" i="5"/>
  <c r="B1002" i="5"/>
  <c r="F1001" i="5"/>
  <c r="B1001" i="5"/>
  <c r="H1001" i="5" s="1"/>
  <c r="F1000" i="5"/>
  <c r="I999" i="5"/>
  <c r="H999" i="5"/>
  <c r="G999" i="5"/>
  <c r="F999" i="5"/>
  <c r="F996" i="5"/>
  <c r="B996" i="5"/>
  <c r="B995" i="5"/>
  <c r="F994" i="5"/>
  <c r="B994" i="5"/>
  <c r="F993" i="5"/>
  <c r="B993" i="5"/>
  <c r="F992" i="5"/>
  <c r="B992" i="5"/>
  <c r="F991" i="5"/>
  <c r="B991" i="5"/>
  <c r="F990" i="5"/>
  <c r="B990" i="5"/>
  <c r="H990" i="5" s="1"/>
  <c r="F989" i="5"/>
  <c r="B989" i="5"/>
  <c r="F988" i="5"/>
  <c r="F987" i="5"/>
  <c r="B987" i="5"/>
  <c r="F986" i="5"/>
  <c r="B986" i="5"/>
  <c r="H986" i="5" s="1"/>
  <c r="F985" i="5"/>
  <c r="B985" i="5"/>
  <c r="F984" i="5"/>
  <c r="B984" i="5"/>
  <c r="H984" i="5" s="1"/>
  <c r="F983" i="5"/>
  <c r="B983" i="5"/>
  <c r="F981" i="5"/>
  <c r="B981" i="5"/>
  <c r="F980" i="5"/>
  <c r="B980" i="5"/>
  <c r="H980" i="5" s="1"/>
  <c r="F979" i="5"/>
  <c r="F978" i="5"/>
  <c r="B978" i="5"/>
  <c r="H978" i="5" s="1"/>
  <c r="F977" i="5"/>
  <c r="B977" i="5"/>
  <c r="F976" i="5"/>
  <c r="B976" i="5"/>
  <c r="G976" i="5" s="1"/>
  <c r="F975" i="5"/>
  <c r="B975" i="5"/>
  <c r="F974" i="5"/>
  <c r="B974" i="5"/>
  <c r="F973" i="5"/>
  <c r="B973" i="5"/>
  <c r="F972" i="5"/>
  <c r="B972" i="5"/>
  <c r="F971" i="5"/>
  <c r="B971" i="5"/>
  <c r="G971" i="5" s="1"/>
  <c r="F970" i="5"/>
  <c r="F968" i="5"/>
  <c r="B968" i="5"/>
  <c r="H968" i="5" s="1"/>
  <c r="F967" i="5"/>
  <c r="B967" i="5"/>
  <c r="F966" i="5"/>
  <c r="F965" i="5"/>
  <c r="B965" i="5"/>
  <c r="F964" i="5"/>
  <c r="B964" i="5"/>
  <c r="G964" i="5" s="1"/>
  <c r="F963" i="5"/>
  <c r="F962" i="5"/>
  <c r="B962" i="5"/>
  <c r="F961" i="5"/>
  <c r="B961" i="5"/>
  <c r="H961" i="5" s="1"/>
  <c r="F960" i="5"/>
  <c r="F959" i="5"/>
  <c r="B959" i="5"/>
  <c r="F958" i="5"/>
  <c r="B958" i="5"/>
  <c r="F957" i="5"/>
  <c r="I956" i="5"/>
  <c r="H956" i="5"/>
  <c r="G956" i="5"/>
  <c r="F956" i="5"/>
  <c r="F955" i="5"/>
  <c r="B955" i="5"/>
  <c r="F954" i="5"/>
  <c r="B954" i="5"/>
  <c r="F953" i="5"/>
  <c r="F952" i="5"/>
  <c r="B952" i="5"/>
  <c r="F951" i="5"/>
  <c r="B951" i="5"/>
  <c r="F950" i="5"/>
  <c r="F949" i="5"/>
  <c r="B949" i="5"/>
  <c r="F948" i="5"/>
  <c r="B948" i="5"/>
  <c r="H948" i="5" s="1"/>
  <c r="F947" i="5"/>
  <c r="I946" i="5"/>
  <c r="H946" i="5"/>
  <c r="G946" i="5"/>
  <c r="F946" i="5"/>
  <c r="F945" i="5"/>
  <c r="B945" i="5"/>
  <c r="F944" i="5"/>
  <c r="B944" i="5"/>
  <c r="F943" i="5"/>
  <c r="B943" i="5"/>
  <c r="H943" i="5" s="1"/>
  <c r="F942" i="5"/>
  <c r="F941" i="5"/>
  <c r="B941" i="5"/>
  <c r="H941" i="5" s="1"/>
  <c r="F940" i="5"/>
  <c r="B940" i="5"/>
  <c r="F939" i="5"/>
  <c r="B939" i="5"/>
  <c r="H939" i="5" s="1"/>
  <c r="F938" i="5"/>
  <c r="F937" i="5"/>
  <c r="B937" i="5"/>
  <c r="H937" i="5" s="1"/>
  <c r="F936" i="5"/>
  <c r="B936" i="5"/>
  <c r="F935" i="5"/>
  <c r="B935" i="5"/>
  <c r="F934" i="5"/>
  <c r="F933" i="5"/>
  <c r="B933" i="5"/>
  <c r="F932" i="5"/>
  <c r="B932" i="5"/>
  <c r="F931" i="5"/>
  <c r="B931" i="5"/>
  <c r="F930" i="5"/>
  <c r="F929" i="5"/>
  <c r="B929" i="5"/>
  <c r="F928" i="5"/>
  <c r="B928" i="5"/>
  <c r="G928" i="5" s="1"/>
  <c r="F927" i="5"/>
  <c r="B927" i="5"/>
  <c r="F926" i="5"/>
  <c r="F925" i="5"/>
  <c r="B925" i="5"/>
  <c r="F924" i="5"/>
  <c r="B924" i="5"/>
  <c r="H924" i="5" s="1"/>
  <c r="F923" i="5"/>
  <c r="B923" i="5"/>
  <c r="F922" i="5"/>
  <c r="F921" i="5"/>
  <c r="B921" i="5"/>
  <c r="F920" i="5"/>
  <c r="B920" i="5"/>
  <c r="F919" i="5"/>
  <c r="B919" i="5"/>
  <c r="H919" i="5" s="1"/>
  <c r="F918" i="5"/>
  <c r="I917" i="5"/>
  <c r="H917" i="5"/>
  <c r="G917" i="5"/>
  <c r="F917" i="5"/>
  <c r="F916" i="5"/>
  <c r="B916" i="5"/>
  <c r="F915" i="5"/>
  <c r="B915" i="5"/>
  <c r="F914" i="5"/>
  <c r="B914" i="5"/>
  <c r="F913" i="5"/>
  <c r="F912" i="5"/>
  <c r="B912" i="5"/>
  <c r="H912" i="5" s="1"/>
  <c r="F911" i="5"/>
  <c r="B911" i="5"/>
  <c r="F910" i="5"/>
  <c r="B910" i="5"/>
  <c r="F909" i="5"/>
  <c r="F908" i="5"/>
  <c r="B908" i="5"/>
  <c r="F906" i="5"/>
  <c r="B906" i="5"/>
  <c r="F905" i="5"/>
  <c r="F904" i="5"/>
  <c r="B904" i="5"/>
  <c r="F903" i="5"/>
  <c r="B903" i="5"/>
  <c r="F902" i="5"/>
  <c r="B902" i="5"/>
  <c r="F901" i="5"/>
  <c r="I900" i="5"/>
  <c r="H900" i="5"/>
  <c r="G900" i="5"/>
  <c r="F900" i="5"/>
  <c r="F899" i="5"/>
  <c r="B899" i="5"/>
  <c r="F898" i="5"/>
  <c r="B898" i="5"/>
  <c r="F897" i="5"/>
  <c r="F896" i="5"/>
  <c r="B896" i="5"/>
  <c r="H896" i="5" s="1"/>
  <c r="F895" i="5"/>
  <c r="B895" i="5"/>
  <c r="F894" i="5"/>
  <c r="F893" i="5"/>
  <c r="B893" i="5"/>
  <c r="F892" i="5"/>
  <c r="B892" i="5"/>
  <c r="F891" i="5"/>
  <c r="F890" i="5"/>
  <c r="B890" i="5"/>
  <c r="F889" i="5"/>
  <c r="B889" i="5"/>
  <c r="F888" i="5"/>
  <c r="I887" i="5"/>
  <c r="H887" i="5"/>
  <c r="G887" i="5"/>
  <c r="F887" i="5"/>
  <c r="I886" i="5"/>
  <c r="H886" i="5"/>
  <c r="G886" i="5"/>
  <c r="F886" i="5"/>
  <c r="F885" i="5"/>
  <c r="B885" i="5"/>
  <c r="F884" i="5"/>
  <c r="B884" i="5"/>
  <c r="H884" i="5" s="1"/>
  <c r="F883" i="5"/>
  <c r="B883" i="5"/>
  <c r="G883" i="5" s="1"/>
  <c r="F882" i="5"/>
  <c r="F881" i="5"/>
  <c r="B881" i="5"/>
  <c r="F880" i="5"/>
  <c r="B880" i="5"/>
  <c r="F879" i="5"/>
  <c r="B879" i="5"/>
  <c r="F878" i="5"/>
  <c r="F877" i="5"/>
  <c r="B877" i="5"/>
  <c r="F876" i="5"/>
  <c r="B876" i="5"/>
  <c r="G876" i="5" s="1"/>
  <c r="F875" i="5"/>
  <c r="B875" i="5"/>
  <c r="F874" i="5"/>
  <c r="F873" i="5"/>
  <c r="B873" i="5"/>
  <c r="F872" i="5"/>
  <c r="B872" i="5"/>
  <c r="G872" i="5" s="1"/>
  <c r="F871" i="5"/>
  <c r="B871" i="5"/>
  <c r="G871" i="5" s="1"/>
  <c r="F870" i="5"/>
  <c r="F869" i="5"/>
  <c r="B869" i="5"/>
  <c r="H869" i="5" s="1"/>
  <c r="F868" i="5"/>
  <c r="B868" i="5"/>
  <c r="H868" i="5" s="1"/>
  <c r="F867" i="5"/>
  <c r="B867" i="5"/>
  <c r="F866" i="5"/>
  <c r="F865" i="5"/>
  <c r="B865" i="5"/>
  <c r="F864" i="5"/>
  <c r="B864" i="5"/>
  <c r="F863" i="5"/>
  <c r="B863" i="5"/>
  <c r="F862" i="5"/>
  <c r="F861" i="5"/>
  <c r="B861" i="5"/>
  <c r="H861" i="5" s="1"/>
  <c r="F860" i="5"/>
  <c r="B860" i="5"/>
  <c r="H860" i="5" s="1"/>
  <c r="F859" i="5"/>
  <c r="B859" i="5"/>
  <c r="F858" i="5"/>
  <c r="F857" i="5"/>
  <c r="B857" i="5"/>
  <c r="F856" i="5"/>
  <c r="B856" i="5"/>
  <c r="F855" i="5"/>
  <c r="B855" i="5"/>
  <c r="G855" i="5" s="1"/>
  <c r="F854" i="5"/>
  <c r="F853" i="5"/>
  <c r="B853" i="5"/>
  <c r="F852" i="5"/>
  <c r="B852" i="5"/>
  <c r="H852" i="5" s="1"/>
  <c r="F851" i="5"/>
  <c r="B851" i="5"/>
  <c r="F850" i="5"/>
  <c r="F849" i="5"/>
  <c r="B849" i="5"/>
  <c r="F848" i="5"/>
  <c r="B848" i="5"/>
  <c r="F847" i="5"/>
  <c r="B847" i="5"/>
  <c r="G847" i="5" s="1"/>
  <c r="F846" i="5"/>
  <c r="F845" i="5"/>
  <c r="B845" i="5"/>
  <c r="F844" i="5"/>
  <c r="B844" i="5"/>
  <c r="H844" i="5" s="1"/>
  <c r="F843" i="5"/>
  <c r="B843" i="5"/>
  <c r="F842" i="5"/>
  <c r="F841" i="5"/>
  <c r="B841" i="5"/>
  <c r="F840" i="5"/>
  <c r="B840" i="5"/>
  <c r="F839" i="5"/>
  <c r="B839" i="5"/>
  <c r="G839" i="5" s="1"/>
  <c r="F838" i="5"/>
  <c r="F837" i="5"/>
  <c r="B837" i="5"/>
  <c r="H837" i="5" s="1"/>
  <c r="F836" i="5"/>
  <c r="B836" i="5"/>
  <c r="H836" i="5" s="1"/>
  <c r="F835" i="5"/>
  <c r="B835" i="5"/>
  <c r="F834" i="5"/>
  <c r="F833" i="5"/>
  <c r="B833" i="5"/>
  <c r="F832" i="5"/>
  <c r="B832" i="5"/>
  <c r="F831" i="5"/>
  <c r="B831" i="5"/>
  <c r="F830" i="5"/>
  <c r="F829" i="5"/>
  <c r="B829" i="5"/>
  <c r="F828" i="5"/>
  <c r="B828" i="5"/>
  <c r="H828" i="5" s="1"/>
  <c r="F827" i="5"/>
  <c r="B827" i="5"/>
  <c r="F826" i="5"/>
  <c r="F825" i="5"/>
  <c r="B825" i="5"/>
  <c r="F824" i="5"/>
  <c r="B824" i="5"/>
  <c r="G824" i="5" s="1"/>
  <c r="F823" i="5"/>
  <c r="B823" i="5"/>
  <c r="F822" i="5"/>
  <c r="F821" i="5"/>
  <c r="B821" i="5"/>
  <c r="H821" i="5" s="1"/>
  <c r="F820" i="5"/>
  <c r="B820" i="5"/>
  <c r="H820" i="5" s="1"/>
  <c r="F819" i="5"/>
  <c r="B819" i="5"/>
  <c r="F818" i="5"/>
  <c r="F817" i="5"/>
  <c r="B817" i="5"/>
  <c r="G817" i="5" s="1"/>
  <c r="F816" i="5"/>
  <c r="B816" i="5"/>
  <c r="F815" i="5"/>
  <c r="B815" i="5"/>
  <c r="G815" i="5" s="1"/>
  <c r="F814" i="5"/>
  <c r="I813" i="5"/>
  <c r="H813" i="5"/>
  <c r="G813" i="5"/>
  <c r="F813" i="5"/>
  <c r="F812" i="5"/>
  <c r="B812" i="5"/>
  <c r="F811" i="5"/>
  <c r="F810" i="5"/>
  <c r="B810" i="5"/>
  <c r="G810" i="5" s="1"/>
  <c r="F809" i="5"/>
  <c r="F808" i="5"/>
  <c r="B808" i="5"/>
  <c r="F807" i="5"/>
  <c r="B807" i="5"/>
  <c r="H807" i="5" s="1"/>
  <c r="F806" i="5"/>
  <c r="F805" i="5"/>
  <c r="B805" i="5"/>
  <c r="H805" i="5" s="1"/>
  <c r="F804" i="5"/>
  <c r="B804" i="5"/>
  <c r="F803" i="5"/>
  <c r="F802" i="5"/>
  <c r="B802" i="5"/>
  <c r="G802" i="5" s="1"/>
  <c r="F801" i="5"/>
  <c r="B801" i="5"/>
  <c r="F800" i="5"/>
  <c r="B800" i="5"/>
  <c r="F799" i="5"/>
  <c r="B799" i="5"/>
  <c r="F798" i="5"/>
  <c r="B798" i="5"/>
  <c r="F797" i="5"/>
  <c r="B797" i="5"/>
  <c r="F796" i="5"/>
  <c r="F794" i="5"/>
  <c r="B794" i="5"/>
  <c r="F793" i="5"/>
  <c r="F791" i="5"/>
  <c r="B791" i="5"/>
  <c r="F790" i="5"/>
  <c r="F789" i="5"/>
  <c r="B789" i="5"/>
  <c r="G789" i="5" s="1"/>
  <c r="F788" i="5"/>
  <c r="B788" i="5"/>
  <c r="H788" i="5" s="1"/>
  <c r="F787" i="5"/>
  <c r="F786" i="5"/>
  <c r="B786" i="5"/>
  <c r="F785" i="5"/>
  <c r="B785" i="5"/>
  <c r="F784" i="5"/>
  <c r="F783" i="5"/>
  <c r="B783" i="5"/>
  <c r="F782" i="5"/>
  <c r="B782" i="5"/>
  <c r="F781" i="5"/>
  <c r="B781" i="5"/>
  <c r="H781" i="5" s="1"/>
  <c r="F780" i="5"/>
  <c r="B780" i="5"/>
  <c r="F779" i="5"/>
  <c r="F778" i="5"/>
  <c r="B778" i="5"/>
  <c r="G778" i="5" s="1"/>
  <c r="F777" i="5"/>
  <c r="B777" i="5"/>
  <c r="F776" i="5"/>
  <c r="B776" i="5"/>
  <c r="F775" i="5"/>
  <c r="B775" i="5"/>
  <c r="F774" i="5"/>
  <c r="F773" i="5"/>
  <c r="B773" i="5"/>
  <c r="F772" i="5"/>
  <c r="B772" i="5"/>
  <c r="F771" i="5"/>
  <c r="B771" i="5"/>
  <c r="G771" i="5" s="1"/>
  <c r="F770" i="5"/>
  <c r="B770" i="5"/>
  <c r="F769" i="5"/>
  <c r="B769" i="5"/>
  <c r="F768" i="5"/>
  <c r="I767" i="5"/>
  <c r="H767" i="5"/>
  <c r="G767" i="5"/>
  <c r="F767" i="5"/>
  <c r="F766" i="5"/>
  <c r="B766" i="5"/>
  <c r="G766" i="5" s="1"/>
  <c r="F765" i="5"/>
  <c r="B765" i="5"/>
  <c r="G765" i="5" s="1"/>
  <c r="F764" i="5"/>
  <c r="B764" i="5"/>
  <c r="F763" i="5"/>
  <c r="F762" i="5"/>
  <c r="B762" i="5"/>
  <c r="F761" i="5"/>
  <c r="B761" i="5"/>
  <c r="F760" i="5"/>
  <c r="B760" i="5"/>
  <c r="F759" i="5"/>
  <c r="F758" i="5"/>
  <c r="B758" i="5"/>
  <c r="G758" i="5" s="1"/>
  <c r="F757" i="5"/>
  <c r="B757" i="5"/>
  <c r="F756" i="5"/>
  <c r="B756" i="5"/>
  <c r="F755" i="5"/>
  <c r="I754" i="5"/>
  <c r="H754" i="5"/>
  <c r="G754" i="5"/>
  <c r="F754" i="5"/>
  <c r="F753" i="5"/>
  <c r="B753" i="5"/>
  <c r="G753" i="5" s="1"/>
  <c r="F752" i="5"/>
  <c r="B752" i="5"/>
  <c r="G752" i="5" s="1"/>
  <c r="F751" i="5"/>
  <c r="B751" i="5"/>
  <c r="F750" i="5"/>
  <c r="B750" i="5"/>
  <c r="G750" i="5" s="1"/>
  <c r="F749" i="5"/>
  <c r="F748" i="5"/>
  <c r="B748" i="5"/>
  <c r="F747" i="5"/>
  <c r="B747" i="5"/>
  <c r="F746" i="5"/>
  <c r="B746" i="5"/>
  <c r="F745" i="5"/>
  <c r="B745" i="5"/>
  <c r="G745" i="5" s="1"/>
  <c r="F744" i="5"/>
  <c r="F743" i="5"/>
  <c r="B743" i="5"/>
  <c r="F742" i="5"/>
  <c r="B742" i="5"/>
  <c r="F741" i="5"/>
  <c r="B741" i="5"/>
  <c r="F740" i="5"/>
  <c r="F739" i="5"/>
  <c r="B739" i="5"/>
  <c r="G739" i="5" s="1"/>
  <c r="F738" i="5"/>
  <c r="B738" i="5"/>
  <c r="F737" i="5"/>
  <c r="F736" i="5"/>
  <c r="B736" i="5"/>
  <c r="G736" i="5" s="1"/>
  <c r="F735" i="5"/>
  <c r="B735" i="5"/>
  <c r="F734" i="5"/>
  <c r="F733" i="5"/>
  <c r="B733" i="5"/>
  <c r="F732" i="5"/>
  <c r="B732" i="5"/>
  <c r="F731" i="5"/>
  <c r="B731" i="5"/>
  <c r="F730" i="5"/>
  <c r="F729" i="5"/>
  <c r="B729" i="5"/>
  <c r="F728" i="5"/>
  <c r="B728" i="5"/>
  <c r="F727" i="5"/>
  <c r="F726" i="5"/>
  <c r="B726" i="5"/>
  <c r="H726" i="5" s="1"/>
  <c r="F725" i="5"/>
  <c r="B725" i="5"/>
  <c r="F724" i="5"/>
  <c r="F723" i="5"/>
  <c r="B723" i="5"/>
  <c r="F722" i="5"/>
  <c r="B722" i="5"/>
  <c r="F721" i="5"/>
  <c r="B721" i="5"/>
  <c r="G721" i="5" s="1"/>
  <c r="F720" i="5"/>
  <c r="B720" i="5"/>
  <c r="F719" i="5"/>
  <c r="F718" i="5"/>
  <c r="B718" i="5"/>
  <c r="H718" i="5" s="1"/>
  <c r="F717" i="5"/>
  <c r="B717" i="5"/>
  <c r="F716" i="5"/>
  <c r="B716" i="5"/>
  <c r="F715" i="5"/>
  <c r="F714" i="5"/>
  <c r="B714" i="5"/>
  <c r="H714" i="5" s="1"/>
  <c r="F713" i="5"/>
  <c r="B713" i="5"/>
  <c r="F712" i="5"/>
  <c r="B712" i="5"/>
  <c r="G712" i="5" s="1"/>
  <c r="F711" i="5"/>
  <c r="B711" i="5"/>
  <c r="F710" i="5"/>
  <c r="F709" i="5"/>
  <c r="B709" i="5"/>
  <c r="F708" i="5"/>
  <c r="B708" i="5"/>
  <c r="F707" i="5"/>
  <c r="B707" i="5"/>
  <c r="F706" i="5"/>
  <c r="F705" i="5"/>
  <c r="B705" i="5"/>
  <c r="F704" i="5"/>
  <c r="B704" i="5"/>
  <c r="G704" i="5" s="1"/>
  <c r="F703" i="5"/>
  <c r="B703" i="5"/>
  <c r="F702" i="5"/>
  <c r="F701" i="5"/>
  <c r="B701" i="5"/>
  <c r="F700" i="5"/>
  <c r="B700" i="5"/>
  <c r="F699" i="5"/>
  <c r="B699" i="5"/>
  <c r="F698" i="5"/>
  <c r="F697" i="5"/>
  <c r="B697" i="5"/>
  <c r="F696" i="5"/>
  <c r="B696" i="5"/>
  <c r="F695" i="5"/>
  <c r="B695" i="5"/>
  <c r="F694" i="5"/>
  <c r="F693" i="5"/>
  <c r="B693" i="5"/>
  <c r="F692" i="5"/>
  <c r="B692" i="5"/>
  <c r="F691" i="5"/>
  <c r="F690" i="5"/>
  <c r="B690" i="5"/>
  <c r="G690" i="5" s="1"/>
  <c r="F689" i="5"/>
  <c r="B689" i="5"/>
  <c r="F688" i="5"/>
  <c r="B688" i="5"/>
  <c r="G688" i="5" s="1"/>
  <c r="F687" i="5"/>
  <c r="F686" i="5"/>
  <c r="B686" i="5"/>
  <c r="G686" i="5" s="1"/>
  <c r="F685" i="5"/>
  <c r="B685" i="5"/>
  <c r="F684" i="5"/>
  <c r="B684" i="5"/>
  <c r="F683" i="5"/>
  <c r="F682" i="5"/>
  <c r="B682" i="5"/>
  <c r="F681" i="5"/>
  <c r="B681" i="5"/>
  <c r="F680" i="5"/>
  <c r="F679" i="5"/>
  <c r="B679" i="5"/>
  <c r="F678" i="5"/>
  <c r="B678" i="5"/>
  <c r="G678" i="5" s="1"/>
  <c r="F677" i="5"/>
  <c r="B677" i="5"/>
  <c r="F676" i="5"/>
  <c r="F675" i="5"/>
  <c r="B675" i="5"/>
  <c r="H675" i="5" s="1"/>
  <c r="F674" i="5"/>
  <c r="B674" i="5"/>
  <c r="F673" i="5"/>
  <c r="B673" i="5"/>
  <c r="F672" i="5"/>
  <c r="F671" i="5"/>
  <c r="B671" i="5"/>
  <c r="F670" i="5"/>
  <c r="B670" i="5"/>
  <c r="F669" i="5"/>
  <c r="B669" i="5"/>
  <c r="F668" i="5"/>
  <c r="I667" i="5"/>
  <c r="H667" i="5"/>
  <c r="G667" i="5"/>
  <c r="F667" i="5"/>
  <c r="F666" i="5"/>
  <c r="B666" i="5"/>
  <c r="F665" i="5"/>
  <c r="B665" i="5"/>
  <c r="F664" i="5"/>
  <c r="B664" i="5"/>
  <c r="F663" i="5"/>
  <c r="F662" i="5"/>
  <c r="B662" i="5"/>
  <c r="F661" i="5"/>
  <c r="B661" i="5"/>
  <c r="F660" i="5"/>
  <c r="B660" i="5"/>
  <c r="G660" i="5" s="1"/>
  <c r="F659" i="5"/>
  <c r="F658" i="5"/>
  <c r="B658" i="5"/>
  <c r="F657" i="5"/>
  <c r="B657" i="5"/>
  <c r="H657" i="5" s="1"/>
  <c r="F656" i="5"/>
  <c r="B656" i="5"/>
  <c r="H656" i="5" s="1"/>
  <c r="F655" i="5"/>
  <c r="F654" i="5"/>
  <c r="B654" i="5"/>
  <c r="H654" i="5" s="1"/>
  <c r="F653" i="5"/>
  <c r="B653" i="5"/>
  <c r="F652" i="5"/>
  <c r="B652" i="5"/>
  <c r="F651" i="5"/>
  <c r="F650" i="5"/>
  <c r="B650" i="5"/>
  <c r="F649" i="5"/>
  <c r="B649" i="5"/>
  <c r="F648" i="5"/>
  <c r="B648" i="5"/>
  <c r="F647" i="5"/>
  <c r="F646" i="5"/>
  <c r="B646" i="5"/>
  <c r="F645" i="5"/>
  <c r="B645" i="5"/>
  <c r="F644" i="5"/>
  <c r="F643" i="5"/>
  <c r="B643" i="5"/>
  <c r="G643" i="5" s="1"/>
  <c r="F642" i="5"/>
  <c r="B642" i="5"/>
  <c r="F641" i="5"/>
  <c r="F640" i="5"/>
  <c r="B640" i="5"/>
  <c r="F639" i="5"/>
  <c r="B639" i="5"/>
  <c r="G639" i="5" s="1"/>
  <c r="F638" i="5"/>
  <c r="B638" i="5"/>
  <c r="H638" i="5" s="1"/>
  <c r="F637" i="5"/>
  <c r="F636" i="5"/>
  <c r="B636" i="5"/>
  <c r="F635" i="5"/>
  <c r="B635" i="5"/>
  <c r="G635" i="5" s="1"/>
  <c r="F634" i="5"/>
  <c r="B634" i="5"/>
  <c r="G634" i="5" s="1"/>
  <c r="F633" i="5"/>
  <c r="B633" i="5"/>
  <c r="H633" i="5" s="1"/>
  <c r="F632" i="5"/>
  <c r="F631" i="5"/>
  <c r="B631" i="5"/>
  <c r="H631" i="5" s="1"/>
  <c r="F630" i="5"/>
  <c r="B630" i="5"/>
  <c r="F629" i="5"/>
  <c r="B629" i="5"/>
  <c r="F628" i="5"/>
  <c r="B628" i="5"/>
  <c r="F627" i="5"/>
  <c r="F626" i="5"/>
  <c r="B626" i="5"/>
  <c r="F625" i="5"/>
  <c r="B625" i="5"/>
  <c r="F624" i="5"/>
  <c r="F623" i="5"/>
  <c r="B623" i="5"/>
  <c r="F622" i="5"/>
  <c r="B622" i="5"/>
  <c r="H622" i="5" s="1"/>
  <c r="F621" i="5"/>
  <c r="F620" i="5"/>
  <c r="B620" i="5"/>
  <c r="F619" i="5"/>
  <c r="B619" i="5"/>
  <c r="F618" i="5"/>
  <c r="F617" i="5"/>
  <c r="B617" i="5"/>
  <c r="F616" i="5"/>
  <c r="B616" i="5"/>
  <c r="H616" i="5" s="1"/>
  <c r="F615" i="5"/>
  <c r="F614" i="5"/>
  <c r="B614" i="5"/>
  <c r="F613" i="5"/>
  <c r="B613" i="5"/>
  <c r="F612" i="5"/>
  <c r="F611" i="5"/>
  <c r="B611" i="5"/>
  <c r="F610" i="5"/>
  <c r="B610" i="5"/>
  <c r="F609" i="5"/>
  <c r="F608" i="5"/>
  <c r="B608" i="5"/>
  <c r="F607" i="5"/>
  <c r="B607" i="5"/>
  <c r="F606" i="5"/>
  <c r="B606" i="5"/>
  <c r="F605" i="5"/>
  <c r="F604" i="5"/>
  <c r="B604" i="5"/>
  <c r="F603" i="5"/>
  <c r="B603" i="5"/>
  <c r="F602" i="5"/>
  <c r="B602" i="5"/>
  <c r="F601" i="5"/>
  <c r="F600" i="5"/>
  <c r="B600" i="5"/>
  <c r="F599" i="5"/>
  <c r="B599" i="5"/>
  <c r="F598" i="5"/>
  <c r="B598" i="5"/>
  <c r="F597" i="5"/>
  <c r="F596" i="5"/>
  <c r="B596" i="5"/>
  <c r="F595" i="5"/>
  <c r="B595" i="5"/>
  <c r="F594" i="5"/>
  <c r="B594" i="5"/>
  <c r="F593" i="5"/>
  <c r="F592" i="5"/>
  <c r="B592" i="5"/>
  <c r="G592" i="5" s="1"/>
  <c r="F591" i="5"/>
  <c r="B591" i="5"/>
  <c r="F590" i="5"/>
  <c r="B590" i="5"/>
  <c r="F589" i="5"/>
  <c r="F588" i="5"/>
  <c r="B588" i="5"/>
  <c r="F587" i="5"/>
  <c r="B587" i="5"/>
  <c r="F586" i="5"/>
  <c r="B586" i="5"/>
  <c r="H586" i="5" s="1"/>
  <c r="F585" i="5"/>
  <c r="F584" i="5"/>
  <c r="B584" i="5"/>
  <c r="F583" i="5"/>
  <c r="B583" i="5"/>
  <c r="F582" i="5"/>
  <c r="B582" i="5"/>
  <c r="F581" i="5"/>
  <c r="F580" i="5"/>
  <c r="B580" i="5"/>
  <c r="F579" i="5"/>
  <c r="B579" i="5"/>
  <c r="F578" i="5"/>
  <c r="B578" i="5"/>
  <c r="F577" i="5"/>
  <c r="B577" i="5"/>
  <c r="G577" i="5" s="1"/>
  <c r="F576" i="5"/>
  <c r="F575" i="5"/>
  <c r="B575" i="5"/>
  <c r="F574" i="5"/>
  <c r="B574" i="5"/>
  <c r="F573" i="5"/>
  <c r="F572" i="5"/>
  <c r="B572" i="5"/>
  <c r="F571" i="5"/>
  <c r="B571" i="5"/>
  <c r="F570" i="5"/>
  <c r="B570" i="5"/>
  <c r="F569" i="5"/>
  <c r="F568" i="5"/>
  <c r="B568" i="5"/>
  <c r="F567" i="5"/>
  <c r="B567" i="5"/>
  <c r="F566" i="5"/>
  <c r="B566" i="5"/>
  <c r="F565" i="5"/>
  <c r="B565" i="5"/>
  <c r="F564" i="5"/>
  <c r="F563" i="5"/>
  <c r="B563" i="5"/>
  <c r="F562" i="5"/>
  <c r="B562" i="5"/>
  <c r="G562" i="5" s="1"/>
  <c r="F561" i="5"/>
  <c r="B561" i="5"/>
  <c r="G561" i="5" s="1"/>
  <c r="F560" i="5"/>
  <c r="B560" i="5"/>
  <c r="G560" i="5" s="1"/>
  <c r="F559" i="5"/>
  <c r="F558" i="5"/>
  <c r="B558" i="5"/>
  <c r="F557" i="5"/>
  <c r="B557" i="5"/>
  <c r="F556" i="5"/>
  <c r="B556" i="5"/>
  <c r="F555" i="5"/>
  <c r="F554" i="5"/>
  <c r="B554" i="5"/>
  <c r="G554" i="5" s="1"/>
  <c r="F553" i="5"/>
  <c r="B553" i="5"/>
  <c r="F552" i="5"/>
  <c r="B552" i="5"/>
  <c r="G552" i="5" s="1"/>
  <c r="F551" i="5"/>
  <c r="F550" i="5"/>
  <c r="B550" i="5"/>
  <c r="G550" i="5" s="1"/>
  <c r="F549" i="5"/>
  <c r="B549" i="5"/>
  <c r="F548" i="5"/>
  <c r="B548" i="5"/>
  <c r="F547" i="5"/>
  <c r="F546" i="5"/>
  <c r="B546" i="5"/>
  <c r="G546" i="5" s="1"/>
  <c r="F545" i="5"/>
  <c r="B545" i="5"/>
  <c r="G545" i="5" s="1"/>
  <c r="F544" i="5"/>
  <c r="B544" i="5"/>
  <c r="G544" i="5" s="1"/>
  <c r="F543" i="5"/>
  <c r="F542" i="5"/>
  <c r="B542" i="5"/>
  <c r="H542" i="5" s="1"/>
  <c r="F541" i="5"/>
  <c r="B541" i="5"/>
  <c r="F540" i="5"/>
  <c r="B540" i="5"/>
  <c r="F539" i="5"/>
  <c r="F538" i="5"/>
  <c r="B538" i="5"/>
  <c r="F537" i="5"/>
  <c r="B537" i="5"/>
  <c r="G537" i="5" s="1"/>
  <c r="F536" i="5"/>
  <c r="B536" i="5"/>
  <c r="F535" i="5"/>
  <c r="F534" i="5"/>
  <c r="B534" i="5"/>
  <c r="F533" i="5"/>
  <c r="B533" i="5"/>
  <c r="F532" i="5"/>
  <c r="B532" i="5"/>
  <c r="F531" i="5"/>
  <c r="F530" i="5"/>
  <c r="B530" i="5"/>
  <c r="G530" i="5" s="1"/>
  <c r="F529" i="5"/>
  <c r="B529" i="5"/>
  <c r="G529" i="5" s="1"/>
  <c r="F528" i="5"/>
  <c r="B528" i="5"/>
  <c r="G528" i="5" s="1"/>
  <c r="F527" i="5"/>
  <c r="B527" i="5"/>
  <c r="F526" i="5"/>
  <c r="F525" i="5"/>
  <c r="B525" i="5"/>
  <c r="F524" i="5"/>
  <c r="B524" i="5"/>
  <c r="F523" i="5"/>
  <c r="F522" i="5"/>
  <c r="B522" i="5"/>
  <c r="F521" i="5"/>
  <c r="B521" i="5"/>
  <c r="G521" i="5" s="1"/>
  <c r="F520" i="5"/>
  <c r="F519" i="5"/>
  <c r="B519" i="5"/>
  <c r="F518" i="5"/>
  <c r="B518" i="5"/>
  <c r="F517" i="5"/>
  <c r="B517" i="5"/>
  <c r="F516" i="5"/>
  <c r="B516" i="5"/>
  <c r="F515" i="5"/>
  <c r="F514" i="5"/>
  <c r="B514" i="5"/>
  <c r="G514" i="5" s="1"/>
  <c r="F513" i="5"/>
  <c r="B513" i="5"/>
  <c r="F512" i="5"/>
  <c r="B512" i="5"/>
  <c r="G512" i="5" s="1"/>
  <c r="F511" i="5"/>
  <c r="B511" i="5"/>
  <c r="F510" i="5"/>
  <c r="B510" i="5"/>
  <c r="F509" i="5"/>
  <c r="B509" i="5"/>
  <c r="F508" i="5"/>
  <c r="F507" i="5"/>
  <c r="B507" i="5"/>
  <c r="F506" i="5"/>
  <c r="B506" i="5"/>
  <c r="G506" i="5" s="1"/>
  <c r="F505" i="5"/>
  <c r="B505" i="5"/>
  <c r="G505" i="5" s="1"/>
  <c r="F504" i="5"/>
  <c r="B504" i="5"/>
  <c r="G504" i="5" s="1"/>
  <c r="F503" i="5"/>
  <c r="B503" i="5"/>
  <c r="F502" i="5"/>
  <c r="B502" i="5"/>
  <c r="H502" i="5" s="1"/>
  <c r="F501" i="5"/>
  <c r="F498" i="5"/>
  <c r="B498" i="5"/>
  <c r="F497" i="5"/>
  <c r="B497" i="5"/>
  <c r="F496" i="5"/>
  <c r="B496" i="5"/>
  <c r="F495" i="5"/>
  <c r="B495" i="5"/>
  <c r="F494" i="5"/>
  <c r="B494" i="5"/>
  <c r="F493" i="5"/>
  <c r="F492" i="5"/>
  <c r="B492" i="5"/>
  <c r="F491" i="5"/>
  <c r="B491" i="5"/>
  <c r="H491" i="5" s="1"/>
  <c r="F490" i="5"/>
  <c r="B490" i="5"/>
  <c r="F489" i="5"/>
  <c r="B489" i="5"/>
  <c r="F488" i="5"/>
  <c r="F487" i="5"/>
  <c r="B487" i="5"/>
  <c r="F486" i="5"/>
  <c r="B486" i="5"/>
  <c r="H486" i="5" s="1"/>
  <c r="F485" i="5"/>
  <c r="B485" i="5"/>
  <c r="F484" i="5"/>
  <c r="B484" i="5"/>
  <c r="F483" i="5"/>
  <c r="B483" i="5"/>
  <c r="F482" i="5"/>
  <c r="B482" i="5"/>
  <c r="F481" i="5"/>
  <c r="B481" i="5"/>
  <c r="F480" i="5"/>
  <c r="B480" i="5"/>
  <c r="G480" i="5" s="1"/>
  <c r="F479" i="5"/>
  <c r="F478" i="5"/>
  <c r="B478" i="5"/>
  <c r="H478" i="5" s="1"/>
  <c r="F477" i="5"/>
  <c r="B477" i="5"/>
  <c r="F476" i="5"/>
  <c r="B476" i="5"/>
  <c r="G476" i="5" s="1"/>
  <c r="F475" i="5"/>
  <c r="B475" i="5"/>
  <c r="H475" i="5" s="1"/>
  <c r="F474" i="5"/>
  <c r="B474" i="5"/>
  <c r="F473" i="5"/>
  <c r="B473" i="5"/>
  <c r="F472" i="5"/>
  <c r="I471" i="5"/>
  <c r="H471" i="5"/>
  <c r="G471" i="5"/>
  <c r="F471" i="5"/>
  <c r="F470" i="5"/>
  <c r="B470" i="5"/>
  <c r="F469" i="5"/>
  <c r="B469" i="5"/>
  <c r="F468" i="5"/>
  <c r="B468" i="5"/>
  <c r="F467" i="5"/>
  <c r="B467" i="5"/>
  <c r="F466" i="5"/>
  <c r="B466" i="5"/>
  <c r="G466" i="5" s="1"/>
  <c r="F465" i="5"/>
  <c r="B465" i="5"/>
  <c r="F464" i="5"/>
  <c r="B464" i="5"/>
  <c r="H464" i="5" s="1"/>
  <c r="F463" i="5"/>
  <c r="B463" i="5"/>
  <c r="F462" i="5"/>
  <c r="B462" i="5"/>
  <c r="F461" i="5"/>
  <c r="B461" i="5"/>
  <c r="F460" i="5"/>
  <c r="B460" i="5"/>
  <c r="F459" i="5"/>
  <c r="B459" i="5"/>
  <c r="G459" i="5" s="1"/>
  <c r="F458" i="5"/>
  <c r="F457" i="5"/>
  <c r="B457" i="5"/>
  <c r="F456" i="5"/>
  <c r="B456" i="5"/>
  <c r="H456" i="5" s="1"/>
  <c r="F455" i="5"/>
  <c r="B455" i="5"/>
  <c r="F454" i="5"/>
  <c r="B454" i="5"/>
  <c r="F453" i="5"/>
  <c r="B453" i="5"/>
  <c r="F452" i="5"/>
  <c r="B452" i="5"/>
  <c r="F451" i="5"/>
  <c r="B451" i="5"/>
  <c r="G451" i="5" s="1"/>
  <c r="F450" i="5"/>
  <c r="B450" i="5"/>
  <c r="F449" i="5"/>
  <c r="B449" i="5"/>
  <c r="F448" i="5"/>
  <c r="B448" i="5"/>
  <c r="F447" i="5"/>
  <c r="F446" i="5"/>
  <c r="B446" i="5"/>
  <c r="H446" i="5" s="1"/>
  <c r="F445" i="5"/>
  <c r="B445" i="5"/>
  <c r="F444" i="5"/>
  <c r="B444" i="5"/>
  <c r="F443" i="5"/>
  <c r="B443" i="5"/>
  <c r="F442" i="5"/>
  <c r="B442" i="5"/>
  <c r="F441" i="5"/>
  <c r="B441" i="5"/>
  <c r="F440" i="5"/>
  <c r="B440" i="5"/>
  <c r="G440" i="5" s="1"/>
  <c r="F439" i="5"/>
  <c r="B439" i="5"/>
  <c r="F438" i="5"/>
  <c r="B438" i="5"/>
  <c r="H438" i="5" s="1"/>
  <c r="F437" i="5"/>
  <c r="B437" i="5"/>
  <c r="F436" i="5"/>
  <c r="B436" i="5"/>
  <c r="F435" i="5"/>
  <c r="B435" i="5"/>
  <c r="G435" i="5" s="1"/>
  <c r="F434" i="5"/>
  <c r="B434" i="5"/>
  <c r="F433" i="5"/>
  <c r="F432" i="5"/>
  <c r="B432" i="5"/>
  <c r="F431" i="5"/>
  <c r="B431" i="5"/>
  <c r="F430" i="5"/>
  <c r="B430" i="5"/>
  <c r="F429" i="5"/>
  <c r="B429" i="5"/>
  <c r="F428" i="5"/>
  <c r="B428" i="5"/>
  <c r="F427" i="5"/>
  <c r="B427" i="5"/>
  <c r="G427" i="5" s="1"/>
  <c r="F426" i="5"/>
  <c r="B426" i="5"/>
  <c r="F425" i="5"/>
  <c r="B425" i="5"/>
  <c r="F424" i="5"/>
  <c r="B424" i="5"/>
  <c r="F423" i="5"/>
  <c r="B423" i="5"/>
  <c r="F422" i="5"/>
  <c r="B422" i="5"/>
  <c r="H422" i="5" s="1"/>
  <c r="F421" i="5"/>
  <c r="B421" i="5"/>
  <c r="F420" i="5"/>
  <c r="B420" i="5"/>
  <c r="G420" i="5" s="1"/>
  <c r="F419" i="5"/>
  <c r="F418" i="5"/>
  <c r="B418" i="5"/>
  <c r="F417" i="5"/>
  <c r="B417" i="5"/>
  <c r="G417" i="5" s="1"/>
  <c r="F416" i="5"/>
  <c r="B416" i="5"/>
  <c r="F415" i="5"/>
  <c r="B415" i="5"/>
  <c r="H415" i="5" s="1"/>
  <c r="F414" i="5"/>
  <c r="B414" i="5"/>
  <c r="F413" i="5"/>
  <c r="B413" i="5"/>
  <c r="F412" i="5"/>
  <c r="B412" i="5"/>
  <c r="F411" i="5"/>
  <c r="B411" i="5"/>
  <c r="F410" i="5"/>
  <c r="B410" i="5"/>
  <c r="H410" i="5" s="1"/>
  <c r="F409" i="5"/>
  <c r="B409" i="5"/>
  <c r="F408" i="5"/>
  <c r="B408" i="5"/>
  <c r="H408" i="5" s="1"/>
  <c r="F407" i="5"/>
  <c r="B407" i="5"/>
  <c r="F406" i="5"/>
  <c r="B406" i="5"/>
  <c r="G406" i="5" s="1"/>
  <c r="F405" i="5"/>
  <c r="F404" i="5"/>
  <c r="B404" i="5"/>
  <c r="F403" i="5"/>
  <c r="B403" i="5"/>
  <c r="F402" i="5"/>
  <c r="B402" i="5"/>
  <c r="F401" i="5"/>
  <c r="B401" i="5"/>
  <c r="F400" i="5"/>
  <c r="B400" i="5"/>
  <c r="F399" i="5"/>
  <c r="B399" i="5"/>
  <c r="G399" i="5" s="1"/>
  <c r="F398" i="5"/>
  <c r="B398" i="5"/>
  <c r="F397" i="5"/>
  <c r="B397" i="5"/>
  <c r="F396" i="5"/>
  <c r="B396" i="5"/>
  <c r="H396" i="5" s="1"/>
  <c r="B395" i="5"/>
  <c r="H395" i="5" s="1"/>
  <c r="F394" i="5"/>
  <c r="B394" i="5"/>
  <c r="H394" i="5" s="1"/>
  <c r="F393" i="5"/>
  <c r="B393" i="5"/>
  <c r="F392" i="5"/>
  <c r="B392" i="5"/>
  <c r="F391" i="5"/>
  <c r="F390" i="5"/>
  <c r="B390" i="5"/>
  <c r="F389" i="5"/>
  <c r="B389" i="5"/>
  <c r="G389" i="5" s="1"/>
  <c r="F388" i="5"/>
  <c r="B388" i="5"/>
  <c r="F387" i="5"/>
  <c r="B387" i="5"/>
  <c r="F386" i="5"/>
  <c r="B386" i="5"/>
  <c r="H386" i="5" s="1"/>
  <c r="F385" i="5"/>
  <c r="B385" i="5"/>
  <c r="F384" i="5"/>
  <c r="B384" i="5"/>
  <c r="F383" i="5"/>
  <c r="B383" i="5"/>
  <c r="H383" i="5" s="1"/>
  <c r="F382" i="5"/>
  <c r="B382" i="5"/>
  <c r="F381" i="5"/>
  <c r="B381" i="5"/>
  <c r="G381" i="5" s="1"/>
  <c r="F380" i="5"/>
  <c r="B380" i="5"/>
  <c r="F379" i="5"/>
  <c r="B379" i="5"/>
  <c r="F378" i="5"/>
  <c r="B378" i="5"/>
  <c r="F377" i="5"/>
  <c r="F376" i="5"/>
  <c r="B376" i="5"/>
  <c r="F375" i="5"/>
  <c r="B375" i="5"/>
  <c r="F374" i="5"/>
  <c r="B374" i="5"/>
  <c r="F373" i="5"/>
  <c r="B373" i="5"/>
  <c r="G373" i="5" s="1"/>
  <c r="F372" i="5"/>
  <c r="B372" i="5"/>
  <c r="F371" i="5"/>
  <c r="B371" i="5"/>
  <c r="F370" i="5"/>
  <c r="B370" i="5"/>
  <c r="F369" i="5"/>
  <c r="B369" i="5"/>
  <c r="F368" i="5"/>
  <c r="B368" i="5"/>
  <c r="F367" i="5"/>
  <c r="B367" i="5"/>
  <c r="F366" i="5"/>
  <c r="B366" i="5"/>
  <c r="F365" i="5"/>
  <c r="B365" i="5"/>
  <c r="G365" i="5" s="1"/>
  <c r="F364" i="5"/>
  <c r="B364" i="5"/>
  <c r="G364" i="5" s="1"/>
  <c r="F363" i="5"/>
  <c r="F362" i="5"/>
  <c r="B362" i="5"/>
  <c r="G362" i="5" s="1"/>
  <c r="F361" i="5"/>
  <c r="B361" i="5"/>
  <c r="F360" i="5"/>
  <c r="B360" i="5"/>
  <c r="H360" i="5" s="1"/>
  <c r="F359" i="5"/>
  <c r="B359" i="5"/>
  <c r="G359" i="5" s="1"/>
  <c r="F358" i="5"/>
  <c r="B358" i="5"/>
  <c r="G358" i="5" s="1"/>
  <c r="F357" i="5"/>
  <c r="B357" i="5"/>
  <c r="F356" i="5"/>
  <c r="B356" i="5"/>
  <c r="F355" i="5"/>
  <c r="B355" i="5"/>
  <c r="F354" i="5"/>
  <c r="B354" i="5"/>
  <c r="F353" i="5"/>
  <c r="B353" i="5"/>
  <c r="F352" i="5"/>
  <c r="B352" i="5"/>
  <c r="H352" i="5" s="1"/>
  <c r="F351" i="5"/>
  <c r="B351" i="5"/>
  <c r="F350" i="5"/>
  <c r="B350" i="5"/>
  <c r="G350" i="5" s="1"/>
  <c r="F349" i="5"/>
  <c r="F348" i="5"/>
  <c r="B348" i="5"/>
  <c r="F347" i="5"/>
  <c r="B347" i="5"/>
  <c r="F346" i="5"/>
  <c r="B346" i="5"/>
  <c r="F345" i="5"/>
  <c r="B345" i="5"/>
  <c r="F344" i="5"/>
  <c r="B344" i="5"/>
  <c r="F343" i="5"/>
  <c r="B343" i="5"/>
  <c r="F342" i="5"/>
  <c r="B342" i="5"/>
  <c r="F341" i="5"/>
  <c r="B341" i="5"/>
  <c r="F340" i="5"/>
  <c r="B340" i="5"/>
  <c r="F339" i="5"/>
  <c r="B339" i="5"/>
  <c r="F338" i="5"/>
  <c r="F337" i="5"/>
  <c r="B337" i="5"/>
  <c r="F336" i="5"/>
  <c r="B336" i="5"/>
  <c r="F335" i="5"/>
  <c r="B335" i="5"/>
  <c r="F334" i="5"/>
  <c r="B334" i="5"/>
  <c r="F333" i="5"/>
  <c r="B333" i="5"/>
  <c r="F332" i="5"/>
  <c r="B332" i="5"/>
  <c r="F331" i="5"/>
  <c r="B331" i="5"/>
  <c r="F330" i="5"/>
  <c r="B330" i="5"/>
  <c r="F329" i="5"/>
  <c r="B329" i="5"/>
  <c r="F328" i="5"/>
  <c r="B328" i="5"/>
  <c r="H328" i="5" s="1"/>
  <c r="F327" i="5"/>
  <c r="F326" i="5"/>
  <c r="B326" i="5"/>
  <c r="G326" i="5" s="1"/>
  <c r="F325" i="5"/>
  <c r="B325" i="5"/>
  <c r="B324" i="5"/>
  <c r="F323" i="5"/>
  <c r="B323" i="5"/>
  <c r="F322" i="5"/>
  <c r="B322" i="5"/>
  <c r="F321" i="5"/>
  <c r="B321" i="5"/>
  <c r="G321" i="5" s="1"/>
  <c r="F320" i="5"/>
  <c r="B320" i="5"/>
  <c r="G320" i="5" s="1"/>
  <c r="F319" i="5"/>
  <c r="B319" i="5"/>
  <c r="G319" i="5" s="1"/>
  <c r="F318" i="5"/>
  <c r="B318" i="5"/>
  <c r="G318" i="5" s="1"/>
  <c r="F317" i="5"/>
  <c r="B317" i="5"/>
  <c r="G317" i="5" s="1"/>
  <c r="F316" i="5"/>
  <c r="B316" i="5"/>
  <c r="F315" i="5"/>
  <c r="B315" i="5"/>
  <c r="G315" i="5" s="1"/>
  <c r="F314" i="5"/>
  <c r="F313" i="5"/>
  <c r="B313" i="5"/>
  <c r="F312" i="5"/>
  <c r="B312" i="5"/>
  <c r="F311" i="5"/>
  <c r="B311" i="5"/>
  <c r="F310" i="5"/>
  <c r="B310" i="5"/>
  <c r="H310" i="5" s="1"/>
  <c r="F309" i="5"/>
  <c r="B309" i="5"/>
  <c r="G309" i="5" s="1"/>
  <c r="F308" i="5"/>
  <c r="F307" i="5"/>
  <c r="B307" i="5"/>
  <c r="G307" i="5" s="1"/>
  <c r="F306" i="5"/>
  <c r="B306" i="5"/>
  <c r="G306" i="5" s="1"/>
  <c r="F305" i="5"/>
  <c r="B305" i="5"/>
  <c r="F304" i="5"/>
  <c r="B304" i="5"/>
  <c r="F303" i="5"/>
  <c r="B303" i="5"/>
  <c r="F302" i="5"/>
  <c r="B302" i="5"/>
  <c r="F301" i="5"/>
  <c r="B301" i="5"/>
  <c r="F300" i="5"/>
  <c r="B300" i="5"/>
  <c r="H300" i="5" s="1"/>
  <c r="F299" i="5"/>
  <c r="I298" i="5"/>
  <c r="H298" i="5"/>
  <c r="G298" i="5"/>
  <c r="F298" i="5"/>
  <c r="F297" i="5"/>
  <c r="B297" i="5"/>
  <c r="F296" i="5"/>
  <c r="B296" i="5"/>
  <c r="F295" i="5"/>
  <c r="B295" i="5"/>
  <c r="F294" i="5"/>
  <c r="B294" i="5"/>
  <c r="F293" i="5"/>
  <c r="B293" i="5"/>
  <c r="F292" i="5"/>
  <c r="B292" i="5"/>
  <c r="F291" i="5"/>
  <c r="B291" i="5"/>
  <c r="F290" i="5"/>
  <c r="B290" i="5"/>
  <c r="F289" i="5"/>
  <c r="B289" i="5"/>
  <c r="F288" i="5"/>
  <c r="F287" i="5"/>
  <c r="B287" i="5"/>
  <c r="F286" i="5"/>
  <c r="B286" i="5"/>
  <c r="F285" i="5"/>
  <c r="B285" i="5"/>
  <c r="F284" i="5"/>
  <c r="B284" i="5"/>
  <c r="F283" i="5"/>
  <c r="F282" i="5"/>
  <c r="B282" i="5"/>
  <c r="F281" i="5"/>
  <c r="B281" i="5"/>
  <c r="F280" i="5"/>
  <c r="B280" i="5"/>
  <c r="G280" i="5" s="1"/>
  <c r="F279" i="5"/>
  <c r="B279" i="5"/>
  <c r="H279" i="5" s="1"/>
  <c r="F278" i="5"/>
  <c r="F277" i="5"/>
  <c r="B277" i="5"/>
  <c r="G277" i="5" s="1"/>
  <c r="F276" i="5"/>
  <c r="B276" i="5"/>
  <c r="F275" i="5"/>
  <c r="F274" i="5"/>
  <c r="B274" i="5"/>
  <c r="G274" i="5" s="1"/>
  <c r="F273" i="5"/>
  <c r="B273" i="5"/>
  <c r="F272" i="5"/>
  <c r="B272" i="5"/>
  <c r="F271" i="5"/>
  <c r="B271" i="5"/>
  <c r="F270" i="5"/>
  <c r="F269" i="5"/>
  <c r="B269" i="5"/>
  <c r="F268" i="5"/>
  <c r="B268" i="5"/>
  <c r="F267" i="5"/>
  <c r="B267" i="5"/>
  <c r="F266" i="5"/>
  <c r="B266" i="5"/>
  <c r="F265" i="5"/>
  <c r="B265" i="5"/>
  <c r="G265" i="5" s="1"/>
  <c r="F264" i="5"/>
  <c r="F263" i="5"/>
  <c r="B263" i="5"/>
  <c r="H263" i="5" s="1"/>
  <c r="F262" i="5"/>
  <c r="B262" i="5"/>
  <c r="F261" i="5"/>
  <c r="B261" i="5"/>
  <c r="H261" i="5" s="1"/>
  <c r="F260" i="5"/>
  <c r="B260" i="5"/>
  <c r="F259" i="5"/>
  <c r="I258" i="5"/>
  <c r="H258" i="5"/>
  <c r="G258" i="5"/>
  <c r="F258" i="5"/>
  <c r="I257" i="5"/>
  <c r="H257" i="5"/>
  <c r="G257" i="5"/>
  <c r="F257" i="5"/>
  <c r="F256" i="5"/>
  <c r="B256" i="5"/>
  <c r="F255" i="5"/>
  <c r="B255" i="5"/>
  <c r="G255" i="5" s="1"/>
  <c r="F254" i="5"/>
  <c r="B254" i="5"/>
  <c r="F253" i="5"/>
  <c r="B253" i="5"/>
  <c r="F252" i="5"/>
  <c r="B252" i="5"/>
  <c r="F251" i="5"/>
  <c r="B251" i="5"/>
  <c r="H251" i="5" s="1"/>
  <c r="F250" i="5"/>
  <c r="B250" i="5"/>
  <c r="F249" i="5"/>
  <c r="B249" i="5"/>
  <c r="F248" i="5"/>
  <c r="F247" i="5"/>
  <c r="B247" i="5"/>
  <c r="G247" i="5" s="1"/>
  <c r="F246" i="5"/>
  <c r="B246" i="5"/>
  <c r="F245" i="5"/>
  <c r="B245" i="5"/>
  <c r="F244" i="5"/>
  <c r="B244" i="5"/>
  <c r="F243" i="5"/>
  <c r="B243" i="5"/>
  <c r="F242" i="5"/>
  <c r="B242" i="5"/>
  <c r="F241" i="5"/>
  <c r="B241" i="5"/>
  <c r="F240" i="5"/>
  <c r="B240" i="5"/>
  <c r="G240" i="5" s="1"/>
  <c r="F239" i="5"/>
  <c r="F238" i="5"/>
  <c r="B238" i="5"/>
  <c r="F237" i="5"/>
  <c r="B237" i="5"/>
  <c r="F236" i="5"/>
  <c r="B236" i="5"/>
  <c r="F235" i="5"/>
  <c r="B235" i="5"/>
  <c r="F234" i="5"/>
  <c r="B234" i="5"/>
  <c r="F233" i="5"/>
  <c r="B233" i="5"/>
  <c r="F232" i="5"/>
  <c r="F231" i="5"/>
  <c r="B231" i="5"/>
  <c r="F230" i="5"/>
  <c r="B230" i="5"/>
  <c r="F229" i="5"/>
  <c r="B229" i="5"/>
  <c r="F228" i="5"/>
  <c r="B228" i="5"/>
  <c r="F227" i="5"/>
  <c r="B227" i="5"/>
  <c r="H227" i="5" s="1"/>
  <c r="F226" i="5"/>
  <c r="F225" i="5"/>
  <c r="B225" i="5"/>
  <c r="F224" i="5"/>
  <c r="B224" i="5"/>
  <c r="G224" i="5" s="1"/>
  <c r="F223" i="5"/>
  <c r="B223" i="5"/>
  <c r="G223" i="5" s="1"/>
  <c r="F222" i="5"/>
  <c r="B222" i="5"/>
  <c r="H222" i="5" s="1"/>
  <c r="F221" i="5"/>
  <c r="B221" i="5"/>
  <c r="H221" i="5" s="1"/>
  <c r="F220" i="5"/>
  <c r="I219" i="5"/>
  <c r="H219" i="5"/>
  <c r="G219" i="5"/>
  <c r="F219" i="5"/>
  <c r="F218" i="5"/>
  <c r="B218" i="5"/>
  <c r="F217" i="5"/>
  <c r="B217" i="5"/>
  <c r="F216" i="5"/>
  <c r="B216" i="5"/>
  <c r="F215" i="5"/>
  <c r="B215" i="5"/>
  <c r="F214" i="5"/>
  <c r="F213" i="5"/>
  <c r="B213" i="5"/>
  <c r="F212" i="5"/>
  <c r="B212" i="5"/>
  <c r="F211" i="5"/>
  <c r="B211" i="5"/>
  <c r="F210" i="5"/>
  <c r="B210" i="5"/>
  <c r="F209" i="5"/>
  <c r="F208" i="5"/>
  <c r="B208" i="5"/>
  <c r="F207" i="5"/>
  <c r="B207" i="5"/>
  <c r="F206" i="5"/>
  <c r="F205" i="5"/>
  <c r="B205" i="5"/>
  <c r="F204" i="5"/>
  <c r="B204" i="5"/>
  <c r="F203" i="5"/>
  <c r="B203" i="5"/>
  <c r="F202" i="5"/>
  <c r="B202" i="5"/>
  <c r="G202" i="5" s="1"/>
  <c r="F201" i="5"/>
  <c r="F200" i="5"/>
  <c r="B200" i="5"/>
  <c r="F199" i="5"/>
  <c r="B199" i="5"/>
  <c r="F198" i="5"/>
  <c r="B198" i="5"/>
  <c r="H198" i="5" s="1"/>
  <c r="F197" i="5"/>
  <c r="B197" i="5"/>
  <c r="F196" i="5"/>
  <c r="I195" i="5"/>
  <c r="H195" i="5"/>
  <c r="G195" i="5"/>
  <c r="F195" i="5"/>
  <c r="F194" i="5"/>
  <c r="B194" i="5"/>
  <c r="F193" i="5"/>
  <c r="B193" i="5"/>
  <c r="F192" i="5"/>
  <c r="B192" i="5"/>
  <c r="F191" i="5"/>
  <c r="B191" i="5"/>
  <c r="F190" i="5"/>
  <c r="F189" i="5"/>
  <c r="B189" i="5"/>
  <c r="G189" i="5" s="1"/>
  <c r="F188" i="5"/>
  <c r="B188" i="5"/>
  <c r="F187" i="5"/>
  <c r="B187" i="5"/>
  <c r="H187" i="5" s="1"/>
  <c r="F186" i="5"/>
  <c r="F185" i="5"/>
  <c r="B185" i="5"/>
  <c r="H185" i="5" s="1"/>
  <c r="F184" i="5"/>
  <c r="B184" i="5"/>
  <c r="F183" i="5"/>
  <c r="B183" i="5"/>
  <c r="F182" i="5"/>
  <c r="F181" i="5"/>
  <c r="B181" i="5"/>
  <c r="G181" i="5" s="1"/>
  <c r="F180" i="5"/>
  <c r="B180" i="5"/>
  <c r="F179" i="5"/>
  <c r="B179" i="5"/>
  <c r="F178" i="5"/>
  <c r="B178" i="5"/>
  <c r="F177" i="5"/>
  <c r="B177" i="5"/>
  <c r="G177" i="5" s="1"/>
  <c r="F176" i="5"/>
  <c r="F175" i="5"/>
  <c r="B175" i="5"/>
  <c r="F174" i="5"/>
  <c r="B174" i="5"/>
  <c r="F173" i="5"/>
  <c r="B173" i="5"/>
  <c r="F172" i="5"/>
  <c r="B172" i="5"/>
  <c r="F171" i="5"/>
  <c r="F170" i="5"/>
  <c r="B170" i="5"/>
  <c r="F169" i="5"/>
  <c r="B169" i="5"/>
  <c r="F168" i="5"/>
  <c r="B168" i="5"/>
  <c r="F167" i="5"/>
  <c r="B167" i="5"/>
  <c r="F166" i="5"/>
  <c r="F165" i="5"/>
  <c r="B165" i="5"/>
  <c r="F164" i="5"/>
  <c r="B164" i="5"/>
  <c r="F163" i="5"/>
  <c r="F162" i="5"/>
  <c r="B162" i="5"/>
  <c r="F161" i="5"/>
  <c r="B161" i="5"/>
  <c r="F160" i="5"/>
  <c r="B160" i="5"/>
  <c r="F159" i="5"/>
  <c r="B159" i="5"/>
  <c r="F158" i="5"/>
  <c r="I157" i="5"/>
  <c r="H157" i="5"/>
  <c r="G157" i="5"/>
  <c r="F157" i="5"/>
  <c r="F156" i="5"/>
  <c r="B156" i="5"/>
  <c r="G156" i="5" s="1"/>
  <c r="F155" i="5"/>
  <c r="B155" i="5"/>
  <c r="F154" i="5"/>
  <c r="B154" i="5"/>
  <c r="F153" i="5"/>
  <c r="B153" i="5"/>
  <c r="G153" i="5" s="1"/>
  <c r="F152" i="5"/>
  <c r="F151" i="5"/>
  <c r="B151" i="5"/>
  <c r="H151" i="5" s="1"/>
  <c r="F150" i="5"/>
  <c r="B150" i="5"/>
  <c r="F149" i="5"/>
  <c r="B149" i="5"/>
  <c r="F148" i="5"/>
  <c r="B148" i="5"/>
  <c r="F147" i="5"/>
  <c r="I146" i="5"/>
  <c r="H146" i="5"/>
  <c r="G146" i="5"/>
  <c r="F146" i="5"/>
  <c r="F145" i="5"/>
  <c r="B145" i="5"/>
  <c r="H145" i="5" s="1"/>
  <c r="F144" i="5"/>
  <c r="B144" i="5"/>
  <c r="F143" i="5"/>
  <c r="F140" i="5"/>
  <c r="B140" i="5"/>
  <c r="F139" i="5"/>
  <c r="B139" i="5"/>
  <c r="F138" i="5"/>
  <c r="F137" i="5"/>
  <c r="B137" i="5"/>
  <c r="G137" i="5" s="1"/>
  <c r="F136" i="5"/>
  <c r="B136" i="5"/>
  <c r="F135" i="5"/>
  <c r="B135" i="5"/>
  <c r="H135" i="5" s="1"/>
  <c r="F134" i="5"/>
  <c r="B134" i="5"/>
  <c r="F133" i="5"/>
  <c r="B133" i="5"/>
  <c r="F132" i="5"/>
  <c r="F131" i="5"/>
  <c r="B131" i="5"/>
  <c r="G131" i="5" s="1"/>
  <c r="F130" i="5"/>
  <c r="B130" i="5"/>
  <c r="F129" i="5"/>
  <c r="B129" i="5"/>
  <c r="F128" i="5"/>
  <c r="B128" i="5"/>
  <c r="F127" i="5"/>
  <c r="B127" i="5"/>
  <c r="F126" i="5"/>
  <c r="B126" i="5"/>
  <c r="F125" i="5"/>
  <c r="B125" i="5"/>
  <c r="F124" i="5"/>
  <c r="B124" i="5"/>
  <c r="F123" i="5"/>
  <c r="F122" i="5"/>
  <c r="B122" i="5"/>
  <c r="G122" i="5" s="1"/>
  <c r="F121" i="5"/>
  <c r="B121" i="5"/>
  <c r="F120" i="5"/>
  <c r="B120" i="5"/>
  <c r="F119" i="5"/>
  <c r="B119" i="5"/>
  <c r="F118" i="5"/>
  <c r="B118" i="5"/>
  <c r="F117" i="5"/>
  <c r="B117" i="5"/>
  <c r="F116" i="5"/>
  <c r="B116" i="5"/>
  <c r="G116" i="5" s="1"/>
  <c r="F115" i="5"/>
  <c r="B115" i="5"/>
  <c r="F114" i="5"/>
  <c r="I113" i="5"/>
  <c r="H113" i="5"/>
  <c r="G113" i="5"/>
  <c r="F113" i="5"/>
  <c r="F112" i="5"/>
  <c r="B112" i="5"/>
  <c r="F111" i="5"/>
  <c r="B111" i="5"/>
  <c r="F110" i="5"/>
  <c r="F109" i="5"/>
  <c r="B109" i="5"/>
  <c r="F108" i="5"/>
  <c r="B108" i="5"/>
  <c r="F107" i="5"/>
  <c r="B107" i="5"/>
  <c r="F106" i="5"/>
  <c r="B106" i="5"/>
  <c r="H106" i="5" s="1"/>
  <c r="F105" i="5"/>
  <c r="F104" i="5"/>
  <c r="B104" i="5"/>
  <c r="F103" i="5"/>
  <c r="B103" i="5"/>
  <c r="F102" i="5"/>
  <c r="B102" i="5"/>
  <c r="F101" i="5"/>
  <c r="B101" i="5"/>
  <c r="G101" i="5" s="1"/>
  <c r="F100" i="5"/>
  <c r="F99" i="5"/>
  <c r="B99" i="5"/>
  <c r="F98" i="5"/>
  <c r="B98" i="5"/>
  <c r="G98" i="5" s="1"/>
  <c r="F97" i="5"/>
  <c r="B97" i="5"/>
  <c r="H97" i="5" s="1"/>
  <c r="F96" i="5"/>
  <c r="B96" i="5"/>
  <c r="F95" i="5"/>
  <c r="B95" i="5"/>
  <c r="F94" i="5"/>
  <c r="B94" i="5"/>
  <c r="H94" i="5" s="1"/>
  <c r="F93" i="5"/>
  <c r="B93" i="5"/>
  <c r="F92" i="5"/>
  <c r="B92" i="5"/>
  <c r="H92" i="5" s="1"/>
  <c r="F91" i="5"/>
  <c r="F90" i="5"/>
  <c r="B90" i="5"/>
  <c r="F89" i="5"/>
  <c r="B89" i="5"/>
  <c r="F88" i="5"/>
  <c r="B88" i="5"/>
  <c r="G88" i="5" s="1"/>
  <c r="F87" i="5"/>
  <c r="B87" i="5"/>
  <c r="F86" i="5"/>
  <c r="B86" i="5"/>
  <c r="G86" i="5" s="1"/>
  <c r="F85" i="5"/>
  <c r="B85" i="5"/>
  <c r="F84" i="5"/>
  <c r="B84" i="5"/>
  <c r="F83" i="5"/>
  <c r="B83" i="5"/>
  <c r="F82" i="5"/>
  <c r="B82" i="5"/>
  <c r="F81" i="5"/>
  <c r="B81" i="5"/>
  <c r="F80" i="5"/>
  <c r="F79" i="5"/>
  <c r="B79" i="5"/>
  <c r="F78" i="5"/>
  <c r="B78" i="5"/>
  <c r="G78" i="5" s="1"/>
  <c r="F77" i="5"/>
  <c r="B77" i="5"/>
  <c r="F76" i="5"/>
  <c r="B76" i="5"/>
  <c r="F75" i="5"/>
  <c r="B75" i="5"/>
  <c r="G75" i="5" s="1"/>
  <c r="F74" i="5"/>
  <c r="B74" i="5"/>
  <c r="F73" i="5"/>
  <c r="B73" i="5"/>
  <c r="F72" i="5"/>
  <c r="B72" i="5"/>
  <c r="F71" i="5"/>
  <c r="B71" i="5"/>
  <c r="F70" i="5"/>
  <c r="B70" i="5"/>
  <c r="F69" i="5"/>
  <c r="B68" i="5"/>
  <c r="H68" i="5" s="1"/>
  <c r="F67" i="5"/>
  <c r="B67" i="5"/>
  <c r="F66" i="5"/>
  <c r="B66" i="5"/>
  <c r="F65" i="5"/>
  <c r="B65" i="5"/>
  <c r="F64" i="5"/>
  <c r="B64" i="5"/>
  <c r="F63" i="5"/>
  <c r="I62" i="5"/>
  <c r="H62" i="5"/>
  <c r="G62" i="5"/>
  <c r="F62" i="5"/>
  <c r="I61" i="5"/>
  <c r="H61" i="5"/>
  <c r="G61" i="5"/>
  <c r="F61" i="5"/>
  <c r="F60" i="5"/>
  <c r="B60" i="5"/>
  <c r="F59" i="5"/>
  <c r="B59" i="5"/>
  <c r="H59" i="5" s="1"/>
  <c r="F58" i="5"/>
  <c r="B58" i="5"/>
  <c r="H58" i="5" s="1"/>
  <c r="F57" i="5"/>
  <c r="F56" i="5"/>
  <c r="B56" i="5"/>
  <c r="F55" i="5"/>
  <c r="F54" i="5"/>
  <c r="B54" i="5"/>
  <c r="F53" i="5"/>
  <c r="B53" i="5"/>
  <c r="G53" i="5" s="1"/>
  <c r="F52" i="5"/>
  <c r="I51" i="5"/>
  <c r="H51" i="5"/>
  <c r="G51" i="5"/>
  <c r="F51" i="5"/>
  <c r="F50" i="5"/>
  <c r="B50" i="5"/>
  <c r="F49" i="5"/>
  <c r="B49" i="5"/>
  <c r="H49" i="5" s="1"/>
  <c r="F48" i="5"/>
  <c r="F47" i="5"/>
  <c r="B47" i="5"/>
  <c r="F46" i="5"/>
  <c r="B46" i="5"/>
  <c r="G46" i="5" s="1"/>
  <c r="F45" i="5"/>
  <c r="F44" i="5"/>
  <c r="B44" i="5"/>
  <c r="F43" i="5"/>
  <c r="B43" i="5"/>
  <c r="F42" i="5"/>
  <c r="B42" i="5"/>
  <c r="F41" i="5"/>
  <c r="B41" i="5"/>
  <c r="G41" i="5" s="1"/>
  <c r="F40" i="5"/>
  <c r="B40" i="5"/>
  <c r="F39" i="5"/>
  <c r="F38" i="5"/>
  <c r="B38" i="5"/>
  <c r="H38" i="5" s="1"/>
  <c r="F37" i="5"/>
  <c r="B37" i="5"/>
  <c r="F36" i="5"/>
  <c r="B36" i="5"/>
  <c r="F35" i="5"/>
  <c r="B35" i="5"/>
  <c r="F34" i="5"/>
  <c r="F33" i="5"/>
  <c r="B33" i="5"/>
  <c r="G33" i="5" s="1"/>
  <c r="F32" i="5"/>
  <c r="B32" i="5"/>
  <c r="F31" i="5"/>
  <c r="B31" i="5"/>
  <c r="H31" i="5" s="1"/>
  <c r="F30" i="5"/>
  <c r="B30" i="5"/>
  <c r="H30" i="5" s="1"/>
  <c r="F29" i="5"/>
  <c r="B29" i="5"/>
  <c r="F28" i="5"/>
  <c r="F27" i="5"/>
  <c r="B27" i="5"/>
  <c r="F26" i="5"/>
  <c r="B26" i="5"/>
  <c r="H26" i="5" s="1"/>
  <c r="F25" i="5"/>
  <c r="B25" i="5"/>
  <c r="G25" i="5" s="1"/>
  <c r="F24" i="5"/>
  <c r="B24" i="5"/>
  <c r="F23" i="5"/>
  <c r="F22" i="5"/>
  <c r="B22" i="5"/>
  <c r="F21" i="5"/>
  <c r="B21" i="5"/>
  <c r="F20" i="5"/>
  <c r="B20" i="5"/>
  <c r="F19" i="5"/>
  <c r="B19" i="5"/>
  <c r="F18" i="5"/>
  <c r="I17" i="5"/>
  <c r="H17" i="5"/>
  <c r="G17" i="5"/>
  <c r="F17" i="5"/>
  <c r="F16" i="5"/>
  <c r="B16" i="5"/>
  <c r="F15" i="5"/>
  <c r="B15" i="5"/>
  <c r="F14" i="5"/>
  <c r="B14" i="5"/>
  <c r="F13" i="5"/>
  <c r="B13" i="5"/>
  <c r="F12" i="5"/>
  <c r="B12" i="5"/>
  <c r="G12" i="5" s="1"/>
  <c r="F11" i="5"/>
  <c r="F10" i="5"/>
  <c r="B10" i="5"/>
  <c r="F9" i="5"/>
  <c r="B9" i="5"/>
  <c r="H9" i="5" s="1"/>
  <c r="F8" i="5"/>
  <c r="B8" i="5"/>
  <c r="F7" i="5"/>
  <c r="B7" i="5"/>
  <c r="F6" i="5"/>
  <c r="I5" i="5"/>
  <c r="H5" i="5"/>
  <c r="G5" i="5"/>
  <c r="F5" i="5"/>
  <c r="B6" i="5" s="1"/>
  <c r="F16" i="4"/>
  <c r="C16" i="4"/>
  <c r="F15" i="4"/>
  <c r="C15" i="4"/>
  <c r="F14" i="4"/>
  <c r="C14" i="4"/>
  <c r="F12" i="4"/>
  <c r="C12" i="4"/>
  <c r="F11" i="4"/>
  <c r="C11" i="4"/>
  <c r="F10" i="4"/>
  <c r="F9" i="4" s="1"/>
  <c r="C10" i="4"/>
  <c r="C8" i="4"/>
  <c r="C7" i="4"/>
  <c r="C6" i="4"/>
  <c r="D7" i="3"/>
  <c r="E5" i="12" s="1"/>
  <c r="F5" i="12" s="1"/>
  <c r="D6" i="3"/>
  <c r="E4" i="12" s="1"/>
  <c r="F4" i="12" s="1"/>
  <c r="D5" i="3"/>
  <c r="E3" i="12" s="1"/>
  <c r="F3" i="12" s="1"/>
  <c r="F13" i="4" l="1"/>
  <c r="H7" i="5"/>
  <c r="G7" i="5"/>
  <c r="B69" i="5"/>
  <c r="B18" i="5"/>
  <c r="G10" i="5"/>
  <c r="H10" i="5"/>
  <c r="B11" i="5"/>
  <c r="H14" i="5"/>
  <c r="G14" i="5"/>
  <c r="H15" i="5"/>
  <c r="G15" i="5"/>
  <c r="H19" i="5"/>
  <c r="G19" i="5"/>
  <c r="H20" i="5"/>
  <c r="G20" i="5"/>
  <c r="G22" i="5"/>
  <c r="H22" i="5"/>
  <c r="H24" i="5"/>
  <c r="G24" i="5"/>
  <c r="H27" i="5"/>
  <c r="G27" i="5"/>
  <c r="B28" i="5"/>
  <c r="H32" i="5"/>
  <c r="G32" i="5"/>
  <c r="H35" i="5"/>
  <c r="G35" i="5"/>
  <c r="H36" i="5"/>
  <c r="G36" i="5"/>
  <c r="H40" i="5"/>
  <c r="G40" i="5"/>
  <c r="H43" i="5"/>
  <c r="G43" i="5"/>
  <c r="I44" i="5"/>
  <c r="G44" i="5"/>
  <c r="B45" i="5"/>
  <c r="H47" i="5"/>
  <c r="G47" i="5"/>
  <c r="B48" i="5"/>
  <c r="H50" i="5"/>
  <c r="G50" i="5"/>
  <c r="B52" i="5"/>
  <c r="H56" i="5"/>
  <c r="G56" i="5"/>
  <c r="H60" i="5"/>
  <c r="G60" i="5"/>
  <c r="B63" i="5"/>
  <c r="H65" i="5"/>
  <c r="G65" i="5"/>
  <c r="G66" i="5"/>
  <c r="H66" i="5"/>
  <c r="G67" i="5"/>
  <c r="H67" i="5"/>
  <c r="G70" i="5"/>
  <c r="H70" i="5"/>
  <c r="H71" i="5"/>
  <c r="G71" i="5"/>
  <c r="H77" i="5"/>
  <c r="G77" i="5"/>
  <c r="H79" i="5"/>
  <c r="G79" i="5"/>
  <c r="H81" i="5"/>
  <c r="G81" i="5"/>
  <c r="H82" i="5"/>
  <c r="G82" i="5"/>
  <c r="H84" i="5"/>
  <c r="G84" i="5"/>
  <c r="H85" i="5"/>
  <c r="G85" i="5"/>
  <c r="H90" i="5"/>
  <c r="G90" i="5"/>
  <c r="H93" i="5"/>
  <c r="G93" i="5"/>
  <c r="H95" i="5"/>
  <c r="G95" i="5"/>
  <c r="H96" i="5"/>
  <c r="G96" i="5"/>
  <c r="H99" i="5"/>
  <c r="G99" i="5"/>
  <c r="G102" i="5"/>
  <c r="H102" i="5"/>
  <c r="H104" i="5"/>
  <c r="G104" i="5"/>
  <c r="H107" i="5"/>
  <c r="G107" i="5"/>
  <c r="H112" i="5"/>
  <c r="G112" i="5"/>
  <c r="H117" i="5"/>
  <c r="G117" i="5"/>
  <c r="H118" i="5"/>
  <c r="G118" i="5"/>
  <c r="H119" i="5"/>
  <c r="G119" i="5"/>
  <c r="H120" i="5"/>
  <c r="G120" i="5"/>
  <c r="H121" i="5"/>
  <c r="G121" i="5"/>
  <c r="H125" i="5"/>
  <c r="G125" i="5"/>
  <c r="H126" i="5"/>
  <c r="G126" i="5"/>
  <c r="H127" i="5"/>
  <c r="G127" i="5"/>
  <c r="H129" i="5"/>
  <c r="G129" i="5"/>
  <c r="H133" i="5"/>
  <c r="G133" i="5"/>
  <c r="H134" i="5"/>
  <c r="G134" i="5"/>
  <c r="H136" i="5"/>
  <c r="G136" i="5"/>
  <c r="G140" i="5"/>
  <c r="H140" i="5"/>
  <c r="B143" i="5"/>
  <c r="H144" i="5"/>
  <c r="G144" i="5"/>
  <c r="H148" i="5"/>
  <c r="G148" i="5"/>
  <c r="B152" i="5"/>
  <c r="H154" i="5"/>
  <c r="G154" i="5"/>
  <c r="H155" i="5"/>
  <c r="G155" i="5"/>
  <c r="B158" i="5"/>
  <c r="H159" i="5"/>
  <c r="G159" i="5"/>
  <c r="H160" i="5"/>
  <c r="G160" i="5"/>
  <c r="H161" i="5"/>
  <c r="G161" i="5"/>
  <c r="G165" i="5"/>
  <c r="H165" i="5"/>
  <c r="H167" i="5"/>
  <c r="G167" i="5"/>
  <c r="H168" i="5"/>
  <c r="G168" i="5"/>
  <c r="H169" i="5"/>
  <c r="G169" i="5"/>
  <c r="G170" i="5"/>
  <c r="H170" i="5"/>
  <c r="H172" i="5"/>
  <c r="G172" i="5"/>
  <c r="G174" i="5"/>
  <c r="H174" i="5"/>
  <c r="H175" i="5"/>
  <c r="G175" i="5"/>
  <c r="H178" i="5"/>
  <c r="G178" i="5"/>
  <c r="H180" i="5"/>
  <c r="G180" i="5"/>
  <c r="H183" i="5"/>
  <c r="G183" i="5"/>
  <c r="H184" i="5"/>
  <c r="G184" i="5"/>
  <c r="B190" i="5"/>
  <c r="H191" i="5"/>
  <c r="G191" i="5"/>
  <c r="H192" i="5"/>
  <c r="G192" i="5"/>
  <c r="H193" i="5"/>
  <c r="G193" i="5"/>
  <c r="H197" i="5"/>
  <c r="G197" i="5"/>
  <c r="H199" i="5"/>
  <c r="G199" i="5"/>
  <c r="G203" i="5"/>
  <c r="H203" i="5"/>
  <c r="H204" i="5"/>
  <c r="G204" i="5"/>
  <c r="H205" i="5"/>
  <c r="G205" i="5"/>
  <c r="H208" i="5"/>
  <c r="G208" i="5"/>
  <c r="G210" i="5"/>
  <c r="H210" i="5"/>
  <c r="H212" i="5"/>
  <c r="G212" i="5"/>
  <c r="H213" i="5"/>
  <c r="G213" i="5"/>
  <c r="H216" i="5"/>
  <c r="G216" i="5"/>
  <c r="G218" i="5"/>
  <c r="H218" i="5"/>
  <c r="H225" i="5"/>
  <c r="G225" i="5"/>
  <c r="H229" i="5"/>
  <c r="G229" i="5"/>
  <c r="G231" i="5"/>
  <c r="H231" i="5"/>
  <c r="H233" i="5"/>
  <c r="G233" i="5"/>
  <c r="H234" i="5"/>
  <c r="G234" i="5"/>
  <c r="H235" i="5"/>
  <c r="G235" i="5"/>
  <c r="H237" i="5"/>
  <c r="G237" i="5"/>
  <c r="H241" i="5"/>
  <c r="G241" i="5"/>
  <c r="H242" i="5"/>
  <c r="G242" i="5"/>
  <c r="H243" i="5"/>
  <c r="G243" i="5"/>
  <c r="G244" i="5"/>
  <c r="H244" i="5"/>
  <c r="H246" i="5"/>
  <c r="G246" i="5"/>
  <c r="H249" i="5"/>
  <c r="G249" i="5"/>
  <c r="H250" i="5"/>
  <c r="G250" i="5"/>
  <c r="H252" i="5"/>
  <c r="G252" i="5"/>
  <c r="H254" i="5"/>
  <c r="G254" i="5"/>
  <c r="G256" i="5"/>
  <c r="H256" i="5"/>
  <c r="H260" i="5"/>
  <c r="G260" i="5"/>
  <c r="H262" i="5"/>
  <c r="G262" i="5"/>
  <c r="G266" i="5"/>
  <c r="H266" i="5"/>
  <c r="H267" i="5"/>
  <c r="G267" i="5"/>
  <c r="H268" i="5"/>
  <c r="G268" i="5"/>
  <c r="H269" i="5"/>
  <c r="G269" i="5"/>
  <c r="H271" i="5"/>
  <c r="G271" i="5"/>
  <c r="G273" i="5"/>
  <c r="H273" i="5"/>
  <c r="H276" i="5"/>
  <c r="G276" i="5"/>
  <c r="G281" i="5"/>
  <c r="H281" i="5"/>
  <c r="H284" i="5"/>
  <c r="G284" i="5"/>
  <c r="H286" i="5"/>
  <c r="G286" i="5"/>
  <c r="G289" i="5"/>
  <c r="H289" i="5"/>
  <c r="H291" i="5"/>
  <c r="G291" i="5"/>
  <c r="H292" i="5"/>
  <c r="G292" i="5"/>
  <c r="H294" i="5"/>
  <c r="G294" i="5"/>
  <c r="H296" i="5"/>
  <c r="G296" i="5"/>
  <c r="G297" i="5"/>
  <c r="I297" i="5"/>
  <c r="H297" i="5"/>
  <c r="G302" i="5"/>
  <c r="H302" i="5"/>
  <c r="H304" i="5"/>
  <c r="G304" i="5"/>
  <c r="H305" i="5"/>
  <c r="G305" i="5"/>
  <c r="G311" i="5"/>
  <c r="H311" i="5"/>
  <c r="G312" i="5"/>
  <c r="H312" i="5"/>
  <c r="H322" i="5"/>
  <c r="G322" i="5"/>
  <c r="G323" i="5"/>
  <c r="H323" i="5"/>
  <c r="H325" i="5"/>
  <c r="G325" i="5"/>
  <c r="H329" i="5"/>
  <c r="G329" i="5"/>
  <c r="G330" i="5"/>
  <c r="H330" i="5"/>
  <c r="H332" i="5"/>
  <c r="G332" i="5"/>
  <c r="H333" i="5"/>
  <c r="G333" i="5"/>
  <c r="H335" i="5"/>
  <c r="G335" i="5"/>
  <c r="H337" i="5"/>
  <c r="G337" i="5"/>
  <c r="H340" i="5"/>
  <c r="G340" i="5"/>
  <c r="H341" i="5"/>
  <c r="G341" i="5"/>
  <c r="H343" i="5"/>
  <c r="G343" i="5"/>
  <c r="H345" i="5"/>
  <c r="G345" i="5"/>
  <c r="G346" i="5"/>
  <c r="H346" i="5"/>
  <c r="H348" i="5"/>
  <c r="G348" i="5"/>
  <c r="H353" i="5"/>
  <c r="G353" i="5"/>
  <c r="G354" i="5"/>
  <c r="H354" i="5"/>
  <c r="H356" i="5"/>
  <c r="G356" i="5"/>
  <c r="H357" i="5"/>
  <c r="G357" i="5"/>
  <c r="H361" i="5"/>
  <c r="G361" i="5"/>
  <c r="H368" i="5"/>
  <c r="G368" i="5"/>
  <c r="G369" i="5"/>
  <c r="H369" i="5"/>
  <c r="H371" i="5"/>
  <c r="G371" i="5"/>
  <c r="H372" i="5"/>
  <c r="G372" i="5"/>
  <c r="H376" i="5"/>
  <c r="G376" i="5"/>
  <c r="H379" i="5"/>
  <c r="G379" i="5"/>
  <c r="H380" i="5"/>
  <c r="G380" i="5"/>
  <c r="H384" i="5"/>
  <c r="G384" i="5"/>
  <c r="G385" i="5"/>
  <c r="H385" i="5"/>
  <c r="H387" i="5"/>
  <c r="G387" i="5"/>
  <c r="H388" i="5"/>
  <c r="G388" i="5"/>
  <c r="H392" i="5"/>
  <c r="G392" i="5"/>
  <c r="G393" i="5"/>
  <c r="H393" i="5"/>
  <c r="H397" i="5"/>
  <c r="G397" i="5"/>
  <c r="H398" i="5"/>
  <c r="G398" i="5"/>
  <c r="H400" i="5"/>
  <c r="G400" i="5"/>
  <c r="H402" i="5"/>
  <c r="G402" i="5"/>
  <c r="H403" i="5"/>
  <c r="G403" i="5"/>
  <c r="H404" i="5"/>
  <c r="G404" i="5"/>
  <c r="H409" i="5"/>
  <c r="G409" i="5"/>
  <c r="G411" i="5"/>
  <c r="H411" i="5"/>
  <c r="H412" i="5"/>
  <c r="G412" i="5"/>
  <c r="H413" i="5"/>
  <c r="G413" i="5"/>
  <c r="H416" i="5"/>
  <c r="G416" i="5"/>
  <c r="H418" i="5"/>
  <c r="G418" i="5"/>
  <c r="H421" i="5"/>
  <c r="G421" i="5"/>
  <c r="H423" i="5"/>
  <c r="G423" i="5"/>
  <c r="H424" i="5"/>
  <c r="G424" i="5"/>
  <c r="H425" i="5"/>
  <c r="G425" i="5"/>
  <c r="G426" i="5"/>
  <c r="H426" i="5"/>
  <c r="H429" i="5"/>
  <c r="G429" i="5"/>
  <c r="H430" i="5"/>
  <c r="G430" i="5"/>
  <c r="H431" i="5"/>
  <c r="G431" i="5"/>
  <c r="H432" i="5"/>
  <c r="G432" i="5"/>
  <c r="G434" i="5"/>
  <c r="H434" i="5"/>
  <c r="H436" i="5"/>
  <c r="G436" i="5"/>
  <c r="H437" i="5"/>
  <c r="G437" i="5"/>
  <c r="H439" i="5"/>
  <c r="G439" i="5"/>
  <c r="H441" i="5"/>
  <c r="G441" i="5"/>
  <c r="G442" i="5"/>
  <c r="H442" i="5"/>
  <c r="G443" i="5"/>
  <c r="H443" i="5"/>
  <c r="H444" i="5"/>
  <c r="G444" i="5"/>
  <c r="H445" i="5"/>
  <c r="G445" i="5"/>
  <c r="H448" i="5"/>
  <c r="G448" i="5"/>
  <c r="G449" i="5"/>
  <c r="H449" i="5"/>
  <c r="G450" i="5"/>
  <c r="H450" i="5"/>
  <c r="H452" i="5"/>
  <c r="G452" i="5"/>
  <c r="H453" i="5"/>
  <c r="G453" i="5"/>
  <c r="H454" i="5"/>
  <c r="G454" i="5"/>
  <c r="G455" i="5"/>
  <c r="H455" i="5"/>
  <c r="H460" i="5"/>
  <c r="G460" i="5"/>
  <c r="H461" i="5"/>
  <c r="G461" i="5"/>
  <c r="H462" i="5"/>
  <c r="G462" i="5"/>
  <c r="H463" i="5"/>
  <c r="G463" i="5"/>
  <c r="H465" i="5"/>
  <c r="G465" i="5"/>
  <c r="G467" i="5"/>
  <c r="H467" i="5"/>
  <c r="H468" i="5"/>
  <c r="G468" i="5"/>
  <c r="H469" i="5"/>
  <c r="G469" i="5"/>
  <c r="H470" i="5"/>
  <c r="I470" i="5"/>
  <c r="G470" i="5"/>
  <c r="H473" i="5"/>
  <c r="G473" i="5"/>
  <c r="H474" i="5"/>
  <c r="G474" i="5"/>
  <c r="H481" i="5"/>
  <c r="G481" i="5"/>
  <c r="H482" i="5"/>
  <c r="G482" i="5"/>
  <c r="H483" i="5"/>
  <c r="G483" i="5"/>
  <c r="H484" i="5"/>
  <c r="G484" i="5"/>
  <c r="H485" i="5"/>
  <c r="G485" i="5"/>
  <c r="G487" i="5"/>
  <c r="H487" i="5"/>
  <c r="H489" i="5"/>
  <c r="G489" i="5"/>
  <c r="H490" i="5"/>
  <c r="G490" i="5"/>
  <c r="H492" i="5"/>
  <c r="G492" i="5"/>
  <c r="H494" i="5"/>
  <c r="G494" i="5"/>
  <c r="G495" i="5"/>
  <c r="H495" i="5"/>
  <c r="G496" i="5"/>
  <c r="H496" i="5"/>
  <c r="H497" i="5"/>
  <c r="G497" i="5"/>
  <c r="H498" i="5"/>
  <c r="G498" i="5"/>
  <c r="H503" i="5"/>
  <c r="G503" i="5"/>
  <c r="H507" i="5"/>
  <c r="G507" i="5"/>
  <c r="G510" i="5"/>
  <c r="H510" i="5"/>
  <c r="H511" i="5"/>
  <c r="G511" i="5"/>
  <c r="G513" i="5"/>
  <c r="H513" i="5"/>
  <c r="H516" i="5"/>
  <c r="G516" i="5"/>
  <c r="H518" i="5"/>
  <c r="G518" i="5"/>
  <c r="H519" i="5"/>
  <c r="G519" i="5"/>
  <c r="G522" i="5"/>
  <c r="H522" i="5"/>
  <c r="H524" i="5"/>
  <c r="G524" i="5"/>
  <c r="H527" i="5"/>
  <c r="G527" i="5"/>
  <c r="H532" i="5"/>
  <c r="G532" i="5"/>
  <c r="G534" i="5"/>
  <c r="H534" i="5"/>
  <c r="G538" i="5"/>
  <c r="H538" i="5"/>
  <c r="H540" i="5"/>
  <c r="G540" i="5"/>
  <c r="H548" i="5"/>
  <c r="G548" i="5"/>
  <c r="G553" i="5"/>
  <c r="H553" i="5"/>
  <c r="H556" i="5"/>
  <c r="G556" i="5"/>
  <c r="H558" i="5"/>
  <c r="G558" i="5"/>
  <c r="H563" i="5"/>
  <c r="G563" i="5"/>
  <c r="H566" i="5"/>
  <c r="G566" i="5"/>
  <c r="H567" i="5"/>
  <c r="G567" i="5"/>
  <c r="G570" i="5"/>
  <c r="H570" i="5"/>
  <c r="H571" i="5"/>
  <c r="G571" i="5"/>
  <c r="H572" i="5"/>
  <c r="G572" i="5"/>
  <c r="H574" i="5"/>
  <c r="G574" i="5"/>
  <c r="H575" i="5"/>
  <c r="G575" i="5"/>
  <c r="G578" i="5"/>
  <c r="H578" i="5"/>
  <c r="H579" i="5"/>
  <c r="G579" i="5"/>
  <c r="H580" i="5"/>
  <c r="G580" i="5"/>
  <c r="H582" i="5"/>
  <c r="G582" i="5"/>
  <c r="H583" i="5"/>
  <c r="G583" i="5"/>
  <c r="H587" i="5"/>
  <c r="G587" i="5"/>
  <c r="H588" i="5"/>
  <c r="G588" i="5"/>
  <c r="H590" i="5"/>
  <c r="G590" i="5"/>
  <c r="H591" i="5"/>
  <c r="G591" i="5"/>
  <c r="H595" i="5"/>
  <c r="G595" i="5"/>
  <c r="H596" i="5"/>
  <c r="G596" i="5"/>
  <c r="H598" i="5"/>
  <c r="G598" i="5"/>
  <c r="H599" i="5"/>
  <c r="G599" i="5"/>
  <c r="H603" i="5"/>
  <c r="G603" i="5"/>
  <c r="H604" i="5"/>
  <c r="G604" i="5"/>
  <c r="G606" i="5"/>
  <c r="H606" i="5"/>
  <c r="H608" i="5"/>
  <c r="G608" i="5"/>
  <c r="H611" i="5"/>
  <c r="G611" i="5"/>
  <c r="H613" i="5"/>
  <c r="G613" i="5"/>
  <c r="H617" i="5"/>
  <c r="G617" i="5"/>
  <c r="G619" i="5"/>
  <c r="H619" i="5"/>
  <c r="H620" i="5"/>
  <c r="G620" i="5"/>
  <c r="H623" i="5"/>
  <c r="G623" i="5"/>
  <c r="H625" i="5"/>
  <c r="G625" i="5"/>
  <c r="G626" i="5"/>
  <c r="H626" i="5"/>
  <c r="H628" i="5"/>
  <c r="G628" i="5"/>
  <c r="H629" i="5"/>
  <c r="G629" i="5"/>
  <c r="H630" i="5"/>
  <c r="G630" i="5"/>
  <c r="H636" i="5"/>
  <c r="G636" i="5"/>
  <c r="H640" i="5"/>
  <c r="G640" i="5"/>
  <c r="G642" i="5"/>
  <c r="H642" i="5"/>
  <c r="H645" i="5"/>
  <c r="G645" i="5"/>
  <c r="H646" i="5"/>
  <c r="G646" i="5"/>
  <c r="H648" i="5"/>
  <c r="G648" i="5"/>
  <c r="H649" i="5"/>
  <c r="G649" i="5"/>
  <c r="G650" i="5"/>
  <c r="H650" i="5"/>
  <c r="H652" i="5"/>
  <c r="G652" i="5"/>
  <c r="H653" i="5"/>
  <c r="G653" i="5"/>
  <c r="H658" i="5"/>
  <c r="G658" i="5"/>
  <c r="G661" i="5"/>
  <c r="H661" i="5"/>
  <c r="H662" i="5"/>
  <c r="G662" i="5"/>
  <c r="G665" i="5"/>
  <c r="H665" i="5"/>
  <c r="H666" i="5"/>
  <c r="G666" i="5"/>
  <c r="H670" i="5"/>
  <c r="G670" i="5"/>
  <c r="H671" i="5"/>
  <c r="G671" i="5"/>
  <c r="H673" i="5"/>
  <c r="G673" i="5"/>
  <c r="H679" i="5"/>
  <c r="G679" i="5"/>
  <c r="G681" i="5"/>
  <c r="H681" i="5"/>
  <c r="H684" i="5"/>
  <c r="G684" i="5"/>
  <c r="G689" i="5"/>
  <c r="H689" i="5"/>
  <c r="H692" i="5"/>
  <c r="G692" i="5"/>
  <c r="H695" i="5"/>
  <c r="G695" i="5"/>
  <c r="G697" i="5"/>
  <c r="H697" i="5"/>
  <c r="H700" i="5"/>
  <c r="G700" i="5"/>
  <c r="H703" i="5"/>
  <c r="G703" i="5"/>
  <c r="G705" i="5"/>
  <c r="H705" i="5"/>
  <c r="H707" i="5"/>
  <c r="G707" i="5"/>
  <c r="H708" i="5"/>
  <c r="G708" i="5"/>
  <c r="H711" i="5"/>
  <c r="G711" i="5"/>
  <c r="H713" i="5"/>
  <c r="G713" i="5"/>
  <c r="H716" i="5"/>
  <c r="G716" i="5"/>
  <c r="G729" i="5"/>
  <c r="H729" i="5"/>
  <c r="G731" i="5"/>
  <c r="H731" i="5"/>
  <c r="H732" i="5"/>
  <c r="G732" i="5"/>
  <c r="H735" i="5"/>
  <c r="G735" i="5"/>
  <c r="G738" i="5"/>
  <c r="H738" i="5"/>
  <c r="H742" i="5"/>
  <c r="G742" i="5"/>
  <c r="H743" i="5"/>
  <c r="G743" i="5"/>
  <c r="H748" i="5"/>
  <c r="G748" i="5"/>
  <c r="H751" i="5"/>
  <c r="G751" i="5"/>
  <c r="H756" i="5"/>
  <c r="G756" i="5"/>
  <c r="H761" i="5"/>
  <c r="G761" i="5"/>
  <c r="H764" i="5"/>
  <c r="G764" i="5"/>
  <c r="H769" i="5"/>
  <c r="G769" i="5"/>
  <c r="H776" i="5"/>
  <c r="G776" i="5"/>
  <c r="H777" i="5"/>
  <c r="G777" i="5"/>
  <c r="G780" i="5"/>
  <c r="H780" i="5"/>
  <c r="H782" i="5"/>
  <c r="G782" i="5"/>
  <c r="H785" i="5"/>
  <c r="G785" i="5"/>
  <c r="H794" i="5"/>
  <c r="G794" i="5"/>
  <c r="H797" i="5"/>
  <c r="G797" i="5"/>
  <c r="H798" i="5"/>
  <c r="G798" i="5"/>
  <c r="H801" i="5"/>
  <c r="G801" i="5"/>
  <c r="H808" i="5"/>
  <c r="G808" i="5"/>
  <c r="G812" i="5"/>
  <c r="H812" i="5"/>
  <c r="H816" i="5"/>
  <c r="G816" i="5"/>
  <c r="H819" i="5"/>
  <c r="G819" i="5"/>
  <c r="G825" i="5"/>
  <c r="H825" i="5"/>
  <c r="H827" i="5"/>
  <c r="G827" i="5"/>
  <c r="H829" i="5"/>
  <c r="G829" i="5"/>
  <c r="H832" i="5"/>
  <c r="G832" i="5"/>
  <c r="H835" i="5"/>
  <c r="G835" i="5"/>
  <c r="H840" i="5"/>
  <c r="G840" i="5"/>
  <c r="H843" i="5"/>
  <c r="G843" i="5"/>
  <c r="H845" i="5"/>
  <c r="G845" i="5"/>
  <c r="H848" i="5"/>
  <c r="G848" i="5"/>
  <c r="H851" i="5"/>
  <c r="G851" i="5"/>
  <c r="H853" i="5"/>
  <c r="G853" i="5"/>
  <c r="H856" i="5"/>
  <c r="G856" i="5"/>
  <c r="H859" i="5"/>
  <c r="G859" i="5"/>
  <c r="H864" i="5"/>
  <c r="G864" i="5"/>
  <c r="H867" i="5"/>
  <c r="G867" i="5"/>
  <c r="H880" i="5"/>
  <c r="G880" i="5"/>
  <c r="H885" i="5"/>
  <c r="G885" i="5"/>
  <c r="H889" i="5"/>
  <c r="G889" i="5"/>
  <c r="H890" i="5"/>
  <c r="G890" i="5"/>
  <c r="H892" i="5"/>
  <c r="G892" i="5"/>
  <c r="H895" i="5"/>
  <c r="G895" i="5"/>
  <c r="H898" i="5"/>
  <c r="G898" i="5"/>
  <c r="H902" i="5"/>
  <c r="G902" i="5"/>
  <c r="H908" i="5"/>
  <c r="G908" i="5"/>
  <c r="H911" i="5"/>
  <c r="G911" i="5"/>
  <c r="H914" i="5"/>
  <c r="G914" i="5"/>
  <c r="G916" i="5"/>
  <c r="H916" i="5"/>
  <c r="H920" i="5"/>
  <c r="G920" i="5"/>
  <c r="H921" i="5"/>
  <c r="G921" i="5"/>
  <c r="G923" i="5"/>
  <c r="H923" i="5"/>
  <c r="H925" i="5"/>
  <c r="G925" i="5"/>
  <c r="H927" i="5"/>
  <c r="G927" i="5"/>
  <c r="H929" i="5"/>
  <c r="G929" i="5"/>
  <c r="H931" i="5"/>
  <c r="G931" i="5"/>
  <c r="G933" i="5"/>
  <c r="H933" i="5"/>
  <c r="H935" i="5"/>
  <c r="G935" i="5"/>
  <c r="H936" i="5"/>
  <c r="G936" i="5"/>
  <c r="H940" i="5"/>
  <c r="G940" i="5"/>
  <c r="H944" i="5"/>
  <c r="G944" i="5"/>
  <c r="H949" i="5"/>
  <c r="G949" i="5"/>
  <c r="H951" i="5"/>
  <c r="G951" i="5"/>
  <c r="H955" i="5"/>
  <c r="G955" i="5"/>
  <c r="G958" i="5"/>
  <c r="H958" i="5"/>
  <c r="H962" i="5"/>
  <c r="G962" i="5"/>
  <c r="I965" i="5"/>
  <c r="H965" i="5"/>
  <c r="G965" i="5"/>
  <c r="H967" i="5"/>
  <c r="G967" i="5"/>
  <c r="G972" i="5"/>
  <c r="H972" i="5"/>
  <c r="H973" i="5"/>
  <c r="G973" i="5"/>
  <c r="H974" i="5"/>
  <c r="G974" i="5"/>
  <c r="H975" i="5"/>
  <c r="G975" i="5"/>
  <c r="H977" i="5"/>
  <c r="G977" i="5"/>
  <c r="H981" i="5"/>
  <c r="G981" i="5"/>
  <c r="H983" i="5"/>
  <c r="G983" i="5"/>
  <c r="H985" i="5"/>
  <c r="G985" i="5"/>
  <c r="H987" i="5"/>
  <c r="G987" i="5"/>
  <c r="H989" i="5"/>
  <c r="G989" i="5"/>
  <c r="H991" i="5"/>
  <c r="G991" i="5"/>
  <c r="H992" i="5"/>
  <c r="G992" i="5"/>
  <c r="G993" i="5"/>
  <c r="H993" i="5"/>
  <c r="G994" i="5"/>
  <c r="H994" i="5"/>
  <c r="H996" i="5"/>
  <c r="G996" i="5"/>
  <c r="H1002" i="5"/>
  <c r="G1002" i="5"/>
  <c r="H1006" i="5"/>
  <c r="G1006" i="5"/>
  <c r="H1009" i="5"/>
  <c r="G1009" i="5"/>
  <c r="G1010" i="5"/>
  <c r="H1010" i="5"/>
  <c r="H1013" i="5"/>
  <c r="G1013" i="5"/>
  <c r="H1014" i="5"/>
  <c r="G1014" i="5"/>
  <c r="H1017" i="5"/>
  <c r="G1017" i="5"/>
  <c r="H1018" i="5"/>
  <c r="G1018" i="5"/>
  <c r="G1021" i="5"/>
  <c r="H1021" i="5"/>
  <c r="G1022" i="5"/>
  <c r="H1022" i="5"/>
  <c r="G1028" i="5"/>
  <c r="H1028" i="5"/>
  <c r="H1030" i="5"/>
  <c r="G1030" i="5"/>
  <c r="H1032" i="5"/>
  <c r="G1032" i="5"/>
  <c r="H1034" i="5"/>
  <c r="G1034" i="5"/>
  <c r="H1035" i="5"/>
  <c r="G1035" i="5"/>
  <c r="H1039" i="5"/>
  <c r="G1039" i="5"/>
  <c r="H1043" i="5"/>
  <c r="G1043" i="5"/>
  <c r="H1044" i="5"/>
  <c r="G1044" i="5"/>
  <c r="H1047" i="5"/>
  <c r="G1047" i="5"/>
  <c r="H1051" i="5"/>
  <c r="G1051" i="5"/>
  <c r="H1052" i="5"/>
  <c r="G1052" i="5"/>
  <c r="H1054" i="5"/>
  <c r="G1054" i="5"/>
  <c r="G1060" i="5"/>
  <c r="H1060" i="5"/>
  <c r="H1064" i="5"/>
  <c r="G1064" i="5"/>
  <c r="H1065" i="5"/>
  <c r="G1065" i="5"/>
  <c r="H1067" i="5"/>
  <c r="G1067" i="5"/>
  <c r="H1073" i="5"/>
  <c r="G1073" i="5"/>
  <c r="H1075" i="5"/>
  <c r="G1075" i="5"/>
  <c r="H1076" i="5"/>
  <c r="G1076" i="5"/>
  <c r="H1080" i="5"/>
  <c r="G1080" i="5"/>
  <c r="H1081" i="5"/>
  <c r="G1081" i="5"/>
  <c r="G1086" i="5"/>
  <c r="H1086" i="5"/>
  <c r="G1091" i="5"/>
  <c r="H1091" i="5"/>
  <c r="H1103" i="5"/>
  <c r="G1103" i="5"/>
  <c r="H1107" i="5"/>
  <c r="G1107" i="5"/>
  <c r="H1110" i="5"/>
  <c r="G1110" i="5"/>
  <c r="H1115" i="5"/>
  <c r="G1115" i="5"/>
  <c r="G1116" i="5"/>
  <c r="H1116" i="5"/>
  <c r="H1118" i="5"/>
  <c r="G1118" i="5"/>
  <c r="H1120" i="5"/>
  <c r="G1120" i="5"/>
  <c r="G1124" i="5"/>
  <c r="H1124" i="5"/>
  <c r="H1126" i="5"/>
  <c r="G1126" i="5"/>
  <c r="H1128" i="5"/>
  <c r="G1128" i="5"/>
  <c r="H1131" i="5"/>
  <c r="G1131" i="5"/>
  <c r="H1133" i="5"/>
  <c r="G1133" i="5"/>
  <c r="H1134" i="5"/>
  <c r="G1134" i="5"/>
  <c r="H1136" i="5"/>
  <c r="G1136" i="5"/>
  <c r="H1141" i="5"/>
  <c r="G1141" i="5"/>
  <c r="H1144" i="5"/>
  <c r="G1144" i="5"/>
  <c r="H1146" i="5"/>
  <c r="G1146" i="5"/>
  <c r="H1147" i="5"/>
  <c r="G1147" i="5"/>
  <c r="H1155" i="5"/>
  <c r="G1155" i="5"/>
  <c r="H1160" i="5"/>
  <c r="G1160" i="5"/>
  <c r="H1163" i="5"/>
  <c r="G1163" i="5"/>
  <c r="H1170" i="5"/>
  <c r="G1170" i="5"/>
  <c r="H1173" i="5"/>
  <c r="G1173" i="5"/>
  <c r="H1175" i="5"/>
  <c r="G1175" i="5"/>
  <c r="H1180" i="5"/>
  <c r="G1180" i="5"/>
  <c r="H1183" i="5"/>
  <c r="G1183" i="5"/>
  <c r="H1185" i="5"/>
  <c r="G1185" i="5"/>
  <c r="H1188" i="5"/>
  <c r="G1188" i="5"/>
  <c r="H1191" i="5"/>
  <c r="G1191" i="5"/>
  <c r="H1193" i="5"/>
  <c r="G1193" i="5"/>
  <c r="H1196" i="5"/>
  <c r="G1196" i="5"/>
  <c r="H1199" i="5"/>
  <c r="G1199" i="5"/>
  <c r="H1201" i="5"/>
  <c r="G1201" i="5"/>
  <c r="F44" i="15"/>
  <c r="F46" i="15" s="1"/>
  <c r="D44" i="15"/>
  <c r="D46" i="15" s="1"/>
  <c r="C44" i="15"/>
  <c r="C46" i="15" s="1"/>
  <c r="D12" i="15"/>
  <c r="D14" i="15" s="1"/>
  <c r="C12" i="15"/>
  <c r="C14" i="15" s="1"/>
  <c r="I47" i="15"/>
  <c r="G47" i="15"/>
  <c r="G48" i="15" s="1"/>
  <c r="F47" i="15"/>
  <c r="J15" i="15"/>
  <c r="C15" i="15"/>
  <c r="C16" i="15"/>
  <c r="J16" i="15"/>
  <c r="F48" i="15"/>
  <c r="I48" i="15"/>
  <c r="I143" i="5"/>
  <c r="I144" i="5" s="1"/>
  <c r="I28" i="5"/>
  <c r="I6" i="5"/>
  <c r="I29" i="5"/>
  <c r="I52" i="5"/>
  <c r="I53" i="5" s="1"/>
  <c r="I63" i="5"/>
  <c r="I64" i="5" s="1"/>
  <c r="I18" i="5"/>
  <c r="I19" i="5" s="1"/>
  <c r="I20" i="5" s="1"/>
  <c r="I30" i="5"/>
  <c r="I31" i="5" s="1"/>
  <c r="I32" i="5" s="1"/>
  <c r="I33" i="5" s="1"/>
  <c r="I11" i="5"/>
  <c r="I12" i="5" s="1"/>
  <c r="I13" i="5" s="1"/>
  <c r="I14" i="5" s="1"/>
  <c r="I15" i="5" s="1"/>
  <c r="I16" i="5" s="1"/>
  <c r="I54" i="5"/>
  <c r="I45" i="5"/>
  <c r="I46" i="5" s="1"/>
  <c r="I47" i="5" s="1"/>
  <c r="G45" i="5"/>
  <c r="I152" i="5"/>
  <c r="I153" i="5" s="1"/>
  <c r="I154" i="5" s="1"/>
  <c r="I155" i="5" s="1"/>
  <c r="I48" i="5"/>
  <c r="I49" i="5" s="1"/>
  <c r="I50" i="5" s="1"/>
  <c r="I158" i="5"/>
  <c r="I159" i="5" s="1"/>
  <c r="I160" i="5" s="1"/>
  <c r="I161" i="5" s="1"/>
  <c r="I7" i="5"/>
  <c r="I8" i="5" s="1"/>
  <c r="I9" i="5" s="1"/>
  <c r="I10" i="5" s="1"/>
  <c r="I190" i="5"/>
  <c r="I191" i="5" s="1"/>
  <c r="I192" i="5" s="1"/>
  <c r="I193" i="5" s="1"/>
  <c r="I69" i="5"/>
  <c r="F6" i="12"/>
  <c r="D5" i="10" s="1"/>
  <c r="F5" i="3"/>
  <c r="B1194" i="5"/>
  <c r="B1156" i="5"/>
  <c r="B1165" i="5"/>
  <c r="B1083" i="5"/>
  <c r="B1074" i="5"/>
  <c r="B1033" i="5"/>
  <c r="B1025" i="5"/>
  <c r="B1135" i="5"/>
  <c r="B1182" i="5"/>
  <c r="B1159" i="5"/>
  <c r="B1186" i="5"/>
  <c r="B1142" i="5"/>
  <c r="B1089" i="5"/>
  <c r="B1109" i="5"/>
  <c r="B1062" i="5"/>
  <c r="B1148" i="5"/>
  <c r="B1150" i="5"/>
  <c r="B1125" i="5"/>
  <c r="B1079" i="5"/>
  <c r="B934" i="5"/>
  <c r="B909" i="5"/>
  <c r="B1130" i="5"/>
  <c r="B1066" i="5"/>
  <c r="B1008" i="5"/>
  <c r="B988" i="5"/>
  <c r="B957" i="5"/>
  <c r="B950" i="5"/>
  <c r="B1045" i="5"/>
  <c r="B1037" i="5"/>
  <c r="B918" i="5"/>
  <c r="B1012" i="5"/>
  <c r="B963" i="5"/>
  <c r="B862" i="5"/>
  <c r="B727" i="5"/>
  <c r="B719" i="5"/>
  <c r="B866" i="5"/>
  <c r="B811" i="5"/>
  <c r="B787" i="5"/>
  <c r="B768" i="5"/>
  <c r="B755" i="5"/>
  <c r="B842" i="5"/>
  <c r="B706" i="5"/>
  <c r="B818" i="5"/>
  <c r="B803" i="5"/>
  <c r="B784" i="5"/>
  <c r="B891" i="5"/>
  <c r="B850" i="5"/>
  <c r="B779" i="5"/>
  <c r="B702" i="5"/>
  <c r="B651" i="5"/>
  <c r="B624" i="5"/>
  <c r="B609" i="5"/>
  <c r="B559" i="5"/>
  <c r="B551" i="5"/>
  <c r="B543" i="5"/>
  <c r="B535" i="5"/>
  <c r="B672" i="5"/>
  <c r="B647" i="5"/>
  <c r="B641" i="5"/>
  <c r="B618" i="5"/>
  <c r="B759" i="5"/>
  <c r="B744" i="5"/>
  <c r="B694" i="5"/>
  <c r="B749" i="5"/>
  <c r="B730" i="5"/>
  <c r="B796" i="5"/>
  <c r="B734" i="5"/>
  <c r="B698" i="5"/>
  <c r="B683" i="5"/>
  <c r="B659" i="5"/>
  <c r="B793" i="5"/>
  <c r="B763" i="5"/>
  <c r="B715" i="5"/>
  <c r="B680" i="5"/>
  <c r="B632" i="5"/>
  <c r="B615" i="5"/>
  <c r="B601" i="5"/>
  <c r="B593" i="5"/>
  <c r="B655" i="5"/>
  <c r="B447" i="5"/>
  <c r="B605" i="5"/>
  <c r="B581" i="5"/>
  <c r="B573" i="5"/>
  <c r="B585" i="5"/>
  <c r="B526" i="5"/>
  <c r="B501" i="5"/>
  <c r="B479" i="5"/>
  <c r="B493" i="5"/>
  <c r="B327" i="5"/>
  <c r="B391" i="5"/>
  <c r="B220" i="5"/>
  <c r="B186" i="5"/>
  <c r="B163" i="5"/>
  <c r="B308" i="5"/>
  <c r="B206" i="5"/>
  <c r="B299" i="5"/>
  <c r="B278" i="5"/>
  <c r="B270" i="5"/>
  <c r="B232" i="5"/>
  <c r="G9" i="5"/>
  <c r="H12" i="5"/>
  <c r="H25" i="5"/>
  <c r="G30" i="5"/>
  <c r="H33" i="5"/>
  <c r="G38" i="5"/>
  <c r="H41" i="5"/>
  <c r="H53" i="5"/>
  <c r="G58" i="5"/>
  <c r="H75" i="5"/>
  <c r="H88" i="5"/>
  <c r="G92" i="5"/>
  <c r="G94" i="5"/>
  <c r="G106" i="5"/>
  <c r="H116" i="5"/>
  <c r="H131" i="5"/>
  <c r="G135" i="5"/>
  <c r="H149" i="5"/>
  <c r="G149" i="5"/>
  <c r="H177" i="5"/>
  <c r="B182" i="5"/>
  <c r="G211" i="5"/>
  <c r="H211" i="5"/>
  <c r="B57" i="5"/>
  <c r="H83" i="5"/>
  <c r="G83" i="5"/>
  <c r="B100" i="5"/>
  <c r="H156" i="5"/>
  <c r="I156" i="5"/>
  <c r="H188" i="5"/>
  <c r="G188" i="5"/>
  <c r="B264" i="5"/>
  <c r="B34" i="5"/>
  <c r="B123" i="5"/>
  <c r="B132" i="5"/>
  <c r="B138" i="5"/>
  <c r="B166" i="5"/>
  <c r="B214" i="5"/>
  <c r="G8" i="5"/>
  <c r="G21" i="5"/>
  <c r="G29" i="5"/>
  <c r="G37" i="5"/>
  <c r="B91" i="5"/>
  <c r="B105" i="5"/>
  <c r="G109" i="5"/>
  <c r="G115" i="5"/>
  <c r="H115" i="5"/>
  <c r="G130" i="5"/>
  <c r="G173" i="5"/>
  <c r="I194" i="5"/>
  <c r="H194" i="5"/>
  <c r="G194" i="5"/>
  <c r="B209" i="5"/>
  <c r="B239" i="5"/>
  <c r="B248" i="5"/>
  <c r="F6" i="3"/>
  <c r="G16" i="5"/>
  <c r="B23" i="5"/>
  <c r="B39" i="5"/>
  <c r="G87" i="5"/>
  <c r="H98" i="5"/>
  <c r="H103" i="5"/>
  <c r="G103" i="5"/>
  <c r="G111" i="5"/>
  <c r="F7" i="3"/>
  <c r="H8" i="5"/>
  <c r="G13" i="5"/>
  <c r="H16" i="5"/>
  <c r="H21" i="5"/>
  <c r="G26" i="5"/>
  <c r="H29" i="5"/>
  <c r="H37" i="5"/>
  <c r="G42" i="5"/>
  <c r="G49" i="5"/>
  <c r="G54" i="5"/>
  <c r="G64" i="5"/>
  <c r="G76" i="5"/>
  <c r="H78" i="5"/>
  <c r="B80" i="5"/>
  <c r="H87" i="5"/>
  <c r="G89" i="5"/>
  <c r="H101" i="5"/>
  <c r="H109" i="5"/>
  <c r="H111" i="5"/>
  <c r="H128" i="5"/>
  <c r="G128" i="5"/>
  <c r="H164" i="5"/>
  <c r="G164" i="5"/>
  <c r="B171" i="5"/>
  <c r="B288" i="5"/>
  <c r="B363" i="5"/>
  <c r="H13" i="5"/>
  <c r="G31" i="5"/>
  <c r="H42" i="5"/>
  <c r="H54" i="5"/>
  <c r="G59" i="5"/>
  <c r="H64" i="5"/>
  <c r="H76" i="5"/>
  <c r="H89" i="5"/>
  <c r="G124" i="5"/>
  <c r="H130" i="5"/>
  <c r="G139" i="5"/>
  <c r="G150" i="5"/>
  <c r="H173" i="5"/>
  <c r="H86" i="5"/>
  <c r="B110" i="5"/>
  <c r="H150" i="5"/>
  <c r="B201" i="5"/>
  <c r="B55" i="5"/>
  <c r="G97" i="5"/>
  <c r="H108" i="5"/>
  <c r="G108" i="5"/>
  <c r="B114" i="5"/>
  <c r="H122" i="5"/>
  <c r="H124" i="5"/>
  <c r="H137" i="5"/>
  <c r="H139" i="5"/>
  <c r="I162" i="5"/>
  <c r="H162" i="5"/>
  <c r="G162" i="5"/>
  <c r="B226" i="5"/>
  <c r="H282" i="5"/>
  <c r="G282" i="5"/>
  <c r="G367" i="5"/>
  <c r="H374" i="5"/>
  <c r="G374" i="5"/>
  <c r="H407" i="5"/>
  <c r="G407" i="5"/>
  <c r="B433" i="5"/>
  <c r="B196" i="5"/>
  <c r="G207" i="5"/>
  <c r="G222" i="5"/>
  <c r="H224" i="5"/>
  <c r="G228" i="5"/>
  <c r="H303" i="5"/>
  <c r="G303" i="5"/>
  <c r="H342" i="5"/>
  <c r="G344" i="5"/>
  <c r="H382" i="5"/>
  <c r="G382" i="5"/>
  <c r="B569" i="5"/>
  <c r="B597" i="5"/>
  <c r="H207" i="5"/>
  <c r="H228" i="5"/>
  <c r="G230" i="5"/>
  <c r="G245" i="5"/>
  <c r="H247" i="5"/>
  <c r="B259" i="5"/>
  <c r="H293" i="5"/>
  <c r="G295" i="5"/>
  <c r="B314" i="5"/>
  <c r="B338" i="5"/>
  <c r="H355" i="5"/>
  <c r="G355" i="5"/>
  <c r="H359" i="5"/>
  <c r="H367" i="5"/>
  <c r="H370" i="5"/>
  <c r="G370" i="5"/>
  <c r="B377" i="5"/>
  <c r="B458" i="5"/>
  <c r="B589" i="5"/>
  <c r="I145" i="5"/>
  <c r="B147" i="5"/>
  <c r="G179" i="5"/>
  <c r="H181" i="5"/>
  <c r="G198" i="5"/>
  <c r="G215" i="5"/>
  <c r="H230" i="5"/>
  <c r="G236" i="5"/>
  <c r="H245" i="5"/>
  <c r="G251" i="5"/>
  <c r="G272" i="5"/>
  <c r="H274" i="5"/>
  <c r="H280" i="5"/>
  <c r="B283" i="5"/>
  <c r="H285" i="5"/>
  <c r="G287" i="5"/>
  <c r="G301" i="5"/>
  <c r="H307" i="5"/>
  <c r="G316" i="5"/>
  <c r="H334" i="5"/>
  <c r="G336" i="5"/>
  <c r="G342" i="5"/>
  <c r="H344" i="5"/>
  <c r="G375" i="5"/>
  <c r="H378" i="5"/>
  <c r="G378" i="5"/>
  <c r="B488" i="5"/>
  <c r="H179" i="5"/>
  <c r="I181" i="5"/>
  <c r="G185" i="5"/>
  <c r="G200" i="5"/>
  <c r="H202" i="5"/>
  <c r="H215" i="5"/>
  <c r="G217" i="5"/>
  <c r="H236" i="5"/>
  <c r="G238" i="5"/>
  <c r="H240" i="5"/>
  <c r="G253" i="5"/>
  <c r="H255" i="5"/>
  <c r="G261" i="5"/>
  <c r="H272" i="5"/>
  <c r="G293" i="5"/>
  <c r="H295" i="5"/>
  <c r="H301" i="5"/>
  <c r="G310" i="5"/>
  <c r="H326" i="5"/>
  <c r="G328" i="5"/>
  <c r="H347" i="5"/>
  <c r="G347" i="5"/>
  <c r="B349" i="5"/>
  <c r="G351" i="5"/>
  <c r="G360" i="5"/>
  <c r="G383" i="5"/>
  <c r="H390" i="5"/>
  <c r="G390" i="5"/>
  <c r="G145" i="5"/>
  <c r="G151" i="5"/>
  <c r="H153" i="5"/>
  <c r="B176" i="5"/>
  <c r="I185" i="5"/>
  <c r="G187" i="5"/>
  <c r="H189" i="5"/>
  <c r="H200" i="5"/>
  <c r="H217" i="5"/>
  <c r="G221" i="5"/>
  <c r="H223" i="5"/>
  <c r="G227" i="5"/>
  <c r="H238" i="5"/>
  <c r="H253" i="5"/>
  <c r="G263" i="5"/>
  <c r="H265" i="5"/>
  <c r="B275" i="5"/>
  <c r="H277" i="5"/>
  <c r="G279" i="5"/>
  <c r="G285" i="5"/>
  <c r="H287" i="5"/>
  <c r="H306" i="5"/>
  <c r="G334" i="5"/>
  <c r="H336" i="5"/>
  <c r="H339" i="5"/>
  <c r="G339" i="5"/>
  <c r="H351" i="5"/>
  <c r="H358" i="5"/>
  <c r="H366" i="5"/>
  <c r="G366" i="5"/>
  <c r="H375" i="5"/>
  <c r="B405" i="5"/>
  <c r="B576" i="5"/>
  <c r="H290" i="5"/>
  <c r="G290" i="5"/>
  <c r="G300" i="5"/>
  <c r="H313" i="5"/>
  <c r="G313" i="5"/>
  <c r="H331" i="5"/>
  <c r="G331" i="5"/>
  <c r="H350" i="5"/>
  <c r="G352" i="5"/>
  <c r="H401" i="5"/>
  <c r="G401" i="5"/>
  <c r="H414" i="5"/>
  <c r="G414" i="5"/>
  <c r="B419" i="5"/>
  <c r="B472" i="5"/>
  <c r="B520" i="5"/>
  <c r="H365" i="5"/>
  <c r="H373" i="5"/>
  <c r="H381" i="5"/>
  <c r="G386" i="5"/>
  <c r="H389" i="5"/>
  <c r="G394" i="5"/>
  <c r="G396" i="5"/>
  <c r="H399" i="5"/>
  <c r="H406" i="5"/>
  <c r="G415" i="5"/>
  <c r="H420" i="5"/>
  <c r="H427" i="5"/>
  <c r="G456" i="5"/>
  <c r="H476" i="5"/>
  <c r="G478" i="5"/>
  <c r="H480" i="5"/>
  <c r="G502" i="5"/>
  <c r="H506" i="5"/>
  <c r="B515" i="5"/>
  <c r="G517" i="5"/>
  <c r="H517" i="5"/>
  <c r="H529" i="5"/>
  <c r="H546" i="5"/>
  <c r="H550" i="5"/>
  <c r="B555" i="5"/>
  <c r="G557" i="5"/>
  <c r="H557" i="5"/>
  <c r="H561" i="5"/>
  <c r="G586" i="5"/>
  <c r="H592" i="5"/>
  <c r="H614" i="5"/>
  <c r="G614" i="5"/>
  <c r="G410" i="5"/>
  <c r="G422" i="5"/>
  <c r="G438" i="5"/>
  <c r="H451" i="5"/>
  <c r="G491" i="5"/>
  <c r="G509" i="5"/>
  <c r="H509" i="5"/>
  <c r="H521" i="5"/>
  <c r="H536" i="5"/>
  <c r="G542" i="5"/>
  <c r="H568" i="5"/>
  <c r="H584" i="5"/>
  <c r="B547" i="5"/>
  <c r="G549" i="5"/>
  <c r="H549" i="5"/>
  <c r="B564" i="5"/>
  <c r="H602" i="5"/>
  <c r="G602" i="5"/>
  <c r="G610" i="5"/>
  <c r="B612" i="5"/>
  <c r="H417" i="5"/>
  <c r="H435" i="5"/>
  <c r="H440" i="5"/>
  <c r="G464" i="5"/>
  <c r="H466" i="5"/>
  <c r="G475" i="5"/>
  <c r="G486" i="5"/>
  <c r="H528" i="5"/>
  <c r="G536" i="5"/>
  <c r="H560" i="5"/>
  <c r="G568" i="5"/>
  <c r="G584" i="5"/>
  <c r="H607" i="5"/>
  <c r="G607" i="5"/>
  <c r="G428" i="5"/>
  <c r="G446" i="5"/>
  <c r="G457" i="5"/>
  <c r="H459" i="5"/>
  <c r="G477" i="5"/>
  <c r="H505" i="5"/>
  <c r="H530" i="5"/>
  <c r="B539" i="5"/>
  <c r="G541" i="5"/>
  <c r="H541" i="5"/>
  <c r="H545" i="5"/>
  <c r="H562" i="5"/>
  <c r="H600" i="5"/>
  <c r="H610" i="5"/>
  <c r="B627" i="5"/>
  <c r="H428" i="5"/>
  <c r="H457" i="5"/>
  <c r="H477" i="5"/>
  <c r="H512" i="5"/>
  <c r="H552" i="5"/>
  <c r="G565" i="5"/>
  <c r="H565" i="5"/>
  <c r="B508" i="5"/>
  <c r="H514" i="5"/>
  <c r="B531" i="5"/>
  <c r="G533" i="5"/>
  <c r="H533" i="5"/>
  <c r="H537" i="5"/>
  <c r="H554" i="5"/>
  <c r="H577" i="5"/>
  <c r="H594" i="5"/>
  <c r="G594" i="5"/>
  <c r="G600" i="5"/>
  <c r="H504" i="5"/>
  <c r="B523" i="5"/>
  <c r="G525" i="5"/>
  <c r="H525" i="5"/>
  <c r="H544" i="5"/>
  <c r="G616" i="5"/>
  <c r="G622" i="5"/>
  <c r="H639" i="5"/>
  <c r="H643" i="5"/>
  <c r="H660" i="5"/>
  <c r="G675" i="5"/>
  <c r="H686" i="5"/>
  <c r="H690" i="5"/>
  <c r="B724" i="5"/>
  <c r="G726" i="5"/>
  <c r="H757" i="5"/>
  <c r="G757" i="5"/>
  <c r="G760" i="5"/>
  <c r="H760" i="5"/>
  <c r="H800" i="5"/>
  <c r="G800" i="5"/>
  <c r="H693" i="5"/>
  <c r="G693" i="5"/>
  <c r="H717" i="5"/>
  <c r="G717" i="5"/>
  <c r="G722" i="5"/>
  <c r="H722" i="5"/>
  <c r="H741" i="5"/>
  <c r="G741" i="5"/>
  <c r="G746" i="5"/>
  <c r="H746" i="5"/>
  <c r="G772" i="5"/>
  <c r="H772" i="5"/>
  <c r="H775" i="5"/>
  <c r="G775" i="5"/>
  <c r="H786" i="5"/>
  <c r="B894" i="5"/>
  <c r="B644" i="5"/>
  <c r="B663" i="5"/>
  <c r="B691" i="5"/>
  <c r="H758" i="5"/>
  <c r="B858" i="5"/>
  <c r="B621" i="5"/>
  <c r="H634" i="5"/>
  <c r="G638" i="5"/>
  <c r="G657" i="5"/>
  <c r="B676" i="5"/>
  <c r="H678" i="5"/>
  <c r="H720" i="5"/>
  <c r="G720" i="5"/>
  <c r="H725" i="5"/>
  <c r="G725" i="5"/>
  <c r="H739" i="5"/>
  <c r="H753" i="5"/>
  <c r="G786" i="5"/>
  <c r="H696" i="5"/>
  <c r="G696" i="5"/>
  <c r="G747" i="5"/>
  <c r="H747" i="5"/>
  <c r="H770" i="5"/>
  <c r="G770" i="5"/>
  <c r="G773" i="5"/>
  <c r="H773" i="5"/>
  <c r="B790" i="5"/>
  <c r="G804" i="5"/>
  <c r="H804" i="5"/>
  <c r="B826" i="5"/>
  <c r="B668" i="5"/>
  <c r="G674" i="5"/>
  <c r="H699" i="5"/>
  <c r="H701" i="5"/>
  <c r="G701" i="5"/>
  <c r="H728" i="5"/>
  <c r="G728" i="5"/>
  <c r="B737" i="5"/>
  <c r="G631" i="5"/>
  <c r="B637" i="5"/>
  <c r="G654" i="5"/>
  <c r="H677" i="5"/>
  <c r="G677" i="5"/>
  <c r="H688" i="5"/>
  <c r="B710" i="5"/>
  <c r="G714" i="5"/>
  <c r="G718" i="5"/>
  <c r="G723" i="5"/>
  <c r="H745" i="5"/>
  <c r="H771" i="5"/>
  <c r="B774" i="5"/>
  <c r="G781" i="5"/>
  <c r="G788" i="5"/>
  <c r="G633" i="5"/>
  <c r="H635" i="5"/>
  <c r="G656" i="5"/>
  <c r="H674" i="5"/>
  <c r="G682" i="5"/>
  <c r="H682" i="5"/>
  <c r="G699" i="5"/>
  <c r="H712" i="5"/>
  <c r="H721" i="5"/>
  <c r="H723" i="5"/>
  <c r="H750" i="5"/>
  <c r="H762" i="5"/>
  <c r="G762" i="5"/>
  <c r="H766" i="5"/>
  <c r="B834" i="5"/>
  <c r="B882" i="5"/>
  <c r="H669" i="5"/>
  <c r="G669" i="5"/>
  <c r="H709" i="5"/>
  <c r="G709" i="5"/>
  <c r="H736" i="5"/>
  <c r="B740" i="5"/>
  <c r="H791" i="5"/>
  <c r="G791" i="5"/>
  <c r="B809" i="5"/>
  <c r="H817" i="5"/>
  <c r="H833" i="5"/>
  <c r="G833" i="5"/>
  <c r="G861" i="5"/>
  <c r="H871" i="5"/>
  <c r="H893" i="5"/>
  <c r="G893" i="5"/>
  <c r="B966" i="5"/>
  <c r="B979" i="5"/>
  <c r="B1016" i="5"/>
  <c r="B822" i="5"/>
  <c r="H831" i="5"/>
  <c r="B838" i="5"/>
  <c r="H857" i="5"/>
  <c r="G857" i="5"/>
  <c r="B874" i="5"/>
  <c r="B953" i="5"/>
  <c r="B1020" i="5"/>
  <c r="H778" i="5"/>
  <c r="G805" i="5"/>
  <c r="H855" i="5"/>
  <c r="H904" i="5"/>
  <c r="G904" i="5"/>
  <c r="B922" i="5"/>
  <c r="B1041" i="5"/>
  <c r="B1053" i="5"/>
  <c r="H664" i="5"/>
  <c r="G664" i="5"/>
  <c r="H685" i="5"/>
  <c r="G685" i="5"/>
  <c r="B687" i="5"/>
  <c r="H704" i="5"/>
  <c r="H733" i="5"/>
  <c r="G733" i="5"/>
  <c r="H752" i="5"/>
  <c r="H765" i="5"/>
  <c r="H789" i="5"/>
  <c r="H799" i="5"/>
  <c r="G799" i="5"/>
  <c r="B814" i="5"/>
  <c r="H824" i="5"/>
  <c r="G831" i="5"/>
  <c r="H841" i="5"/>
  <c r="G841" i="5"/>
  <c r="G869" i="5"/>
  <c r="B901" i="5"/>
  <c r="H810" i="5"/>
  <c r="H839" i="5"/>
  <c r="B846" i="5"/>
  <c r="H865" i="5"/>
  <c r="G865" i="5"/>
  <c r="B878" i="5"/>
  <c r="B905" i="5"/>
  <c r="B1070" i="5"/>
  <c r="B806" i="5"/>
  <c r="H823" i="5"/>
  <c r="H863" i="5"/>
  <c r="B870" i="5"/>
  <c r="H881" i="5"/>
  <c r="G881" i="5"/>
  <c r="B897" i="5"/>
  <c r="G899" i="5"/>
  <c r="H899" i="5"/>
  <c r="H910" i="5"/>
  <c r="G910" i="5"/>
  <c r="G915" i="5"/>
  <c r="H915" i="5"/>
  <c r="B926" i="5"/>
  <c r="B938" i="5"/>
  <c r="B830" i="5"/>
  <c r="H849" i="5"/>
  <c r="G849" i="5"/>
  <c r="G906" i="5"/>
  <c r="H906" i="5"/>
  <c r="B913" i="5"/>
  <c r="B942" i="5"/>
  <c r="H783" i="5"/>
  <c r="G783" i="5"/>
  <c r="H802" i="5"/>
  <c r="H815" i="5"/>
  <c r="G821" i="5"/>
  <c r="G823" i="5"/>
  <c r="G837" i="5"/>
  <c r="H847" i="5"/>
  <c r="B854" i="5"/>
  <c r="G863" i="5"/>
  <c r="G884" i="5"/>
  <c r="B888" i="5"/>
  <c r="B970" i="5"/>
  <c r="B1049" i="5"/>
  <c r="G807" i="5"/>
  <c r="G820" i="5"/>
  <c r="G828" i="5"/>
  <c r="G836" i="5"/>
  <c r="G844" i="5"/>
  <c r="G852" i="5"/>
  <c r="G860" i="5"/>
  <c r="G868" i="5"/>
  <c r="G873" i="5"/>
  <c r="G875" i="5"/>
  <c r="G877" i="5"/>
  <c r="G879" i="5"/>
  <c r="G896" i="5"/>
  <c r="G912" i="5"/>
  <c r="G919" i="5"/>
  <c r="H928" i="5"/>
  <c r="G932" i="5"/>
  <c r="G941" i="5"/>
  <c r="G943" i="5"/>
  <c r="B947" i="5"/>
  <c r="G952" i="5"/>
  <c r="G959" i="5"/>
  <c r="H964" i="5"/>
  <c r="H976" i="5"/>
  <c r="G978" i="5"/>
  <c r="H1040" i="5"/>
  <c r="H1048" i="5"/>
  <c r="H1077" i="5"/>
  <c r="G1143" i="5"/>
  <c r="H1143" i="5"/>
  <c r="G903" i="5"/>
  <c r="H932" i="5"/>
  <c r="G945" i="5"/>
  <c r="H952" i="5"/>
  <c r="G954" i="5"/>
  <c r="H959" i="5"/>
  <c r="G961" i="5"/>
  <c r="G968" i="5"/>
  <c r="H971" i="5"/>
  <c r="G1001" i="5"/>
  <c r="B1004" i="5"/>
  <c r="H1027" i="5"/>
  <c r="G1038" i="5"/>
  <c r="H1042" i="5"/>
  <c r="G1046" i="5"/>
  <c r="H1050" i="5"/>
  <c r="H1055" i="5"/>
  <c r="H1085" i="5"/>
  <c r="B1117" i="5"/>
  <c r="G1123" i="5"/>
  <c r="H903" i="5"/>
  <c r="H945" i="5"/>
  <c r="H954" i="5"/>
  <c r="H1038" i="5"/>
  <c r="H1046" i="5"/>
  <c r="G1063" i="5"/>
  <c r="H1082" i="5"/>
  <c r="G1082" i="5"/>
  <c r="G1108" i="5"/>
  <c r="H1108" i="5"/>
  <c r="B960" i="5"/>
  <c r="B1000" i="5"/>
  <c r="H1026" i="5"/>
  <c r="G1061" i="5"/>
  <c r="H1061" i="5"/>
  <c r="H1068" i="5"/>
  <c r="H1071" i="5"/>
  <c r="G1071" i="5"/>
  <c r="G1094" i="5"/>
  <c r="H1094" i="5"/>
  <c r="G924" i="5"/>
  <c r="G937" i="5"/>
  <c r="G939" i="5"/>
  <c r="G948" i="5"/>
  <c r="G984" i="5"/>
  <c r="G990" i="5"/>
  <c r="G1005" i="5"/>
  <c r="G1026" i="5"/>
  <c r="H1056" i="5"/>
  <c r="G1059" i="5"/>
  <c r="H1059" i="5"/>
  <c r="G1068" i="5"/>
  <c r="B1145" i="5"/>
  <c r="B930" i="5"/>
  <c r="G980" i="5"/>
  <c r="G986" i="5"/>
  <c r="B1029" i="5"/>
  <c r="G1031" i="5"/>
  <c r="H1031" i="5"/>
  <c r="G1069" i="5"/>
  <c r="G1072" i="5"/>
  <c r="H1072" i="5"/>
  <c r="H1084" i="5"/>
  <c r="G1084" i="5"/>
  <c r="G1090" i="5"/>
  <c r="B1095" i="5"/>
  <c r="B1113" i="5"/>
  <c r="G1172" i="5"/>
  <c r="E18" i="7"/>
  <c r="E19" i="7" s="1"/>
  <c r="D8" i="2" s="1"/>
  <c r="C18" i="15"/>
  <c r="C19" i="15" s="1"/>
  <c r="D13" i="10" s="1"/>
  <c r="C17" i="15"/>
  <c r="G1158" i="5"/>
  <c r="B1178" i="5"/>
  <c r="B1058" i="5"/>
  <c r="B1139" i="5"/>
  <c r="H1166" i="5"/>
  <c r="G1166" i="5"/>
  <c r="H1181" i="5"/>
  <c r="G1181" i="5"/>
  <c r="B1105" i="5"/>
  <c r="H1122" i="5"/>
  <c r="G1151" i="5"/>
  <c r="H1158" i="5"/>
  <c r="G1087" i="5"/>
  <c r="G1137" i="5"/>
  <c r="H1140" i="5"/>
  <c r="B1154" i="5"/>
  <c r="G1167" i="5"/>
  <c r="H1176" i="5"/>
  <c r="G1176" i="5"/>
  <c r="F8" i="8"/>
  <c r="F14" i="8" s="1"/>
  <c r="F15" i="8" s="1"/>
  <c r="D11" i="2" s="1"/>
  <c r="E4" i="8"/>
  <c r="E13" i="8" s="1"/>
  <c r="D9" i="2" s="1"/>
  <c r="H1114" i="5"/>
  <c r="G1187" i="5"/>
  <c r="H1195" i="5"/>
  <c r="G1195" i="5"/>
  <c r="B1198" i="5"/>
  <c r="B1152" i="5"/>
  <c r="H1157" i="5"/>
  <c r="B1162" i="5"/>
  <c r="G1177" i="5"/>
  <c r="B1190" i="5"/>
  <c r="E11" i="13"/>
  <c r="E12" i="13" s="1"/>
  <c r="D8" i="10" s="1"/>
  <c r="F49" i="15"/>
  <c r="F50" i="15"/>
  <c r="F51" i="15" s="1"/>
  <c r="H1106" i="5"/>
  <c r="G1112" i="5"/>
  <c r="G1114" i="5"/>
  <c r="B1121" i="5"/>
  <c r="G1138" i="5"/>
  <c r="H1149" i="5"/>
  <c r="B1168" i="5"/>
  <c r="B1171" i="5"/>
  <c r="B1174" i="5"/>
  <c r="H1187" i="5"/>
  <c r="G1096" i="5"/>
  <c r="G1111" i="5"/>
  <c r="G1119" i="5"/>
  <c r="G1127" i="5"/>
  <c r="G1132" i="5"/>
  <c r="G1153" i="5"/>
  <c r="G1161" i="5"/>
  <c r="H1164" i="5"/>
  <c r="G1169" i="5"/>
  <c r="H1179" i="5"/>
  <c r="H1184" i="5"/>
  <c r="G1189" i="5"/>
  <c r="H1192" i="5"/>
  <c r="G1197" i="5"/>
  <c r="H1200" i="5"/>
  <c r="G6" i="6"/>
  <c r="G32" i="6" s="1"/>
  <c r="G33" i="6" s="1"/>
  <c r="O12" i="14"/>
  <c r="O13" i="14" s="1"/>
  <c r="D9" i="10" s="1"/>
  <c r="G12" i="15"/>
  <c r="G14" i="15" s="1"/>
  <c r="F15" i="15"/>
  <c r="F16" i="15" s="1"/>
  <c r="G44" i="15"/>
  <c r="G46" i="15" s="1"/>
  <c r="H12" i="15"/>
  <c r="H14" i="15" s="1"/>
  <c r="G15" i="15"/>
  <c r="G16" i="15" s="1"/>
  <c r="H44" i="15"/>
  <c r="H46" i="15" s="1"/>
  <c r="C47" i="15"/>
  <c r="C48" i="15" s="1"/>
  <c r="I12" i="15"/>
  <c r="I14" i="15" s="1"/>
  <c r="H15" i="15"/>
  <c r="H16" i="15" s="1"/>
  <c r="I44" i="15"/>
  <c r="I46" i="15" s="1"/>
  <c r="D47" i="15"/>
  <c r="D48" i="15" s="1"/>
  <c r="J12" i="15"/>
  <c r="J14" i="15" s="1"/>
  <c r="I15" i="15"/>
  <c r="I16" i="15" s="1"/>
  <c r="E47" i="15"/>
  <c r="E48" i="15" s="1"/>
  <c r="E12" i="15"/>
  <c r="E14" i="15" s="1"/>
  <c r="D15" i="15"/>
  <c r="D16" i="15" s="1"/>
  <c r="D18" i="15" s="1"/>
  <c r="D19" i="15" s="1"/>
  <c r="D13" i="2" s="1"/>
  <c r="E44" i="15"/>
  <c r="E46" i="15" s="1"/>
  <c r="H47" i="15"/>
  <c r="H48" i="15" s="1"/>
  <c r="F12" i="15"/>
  <c r="F14" i="15" s="1"/>
  <c r="E15" i="15"/>
  <c r="E16" i="15" s="1"/>
  <c r="J18" i="15" l="1"/>
  <c r="J19" i="15" s="1"/>
  <c r="J17" i="15"/>
  <c r="D50" i="15"/>
  <c r="D51" i="15" s="1"/>
  <c r="D49" i="15"/>
  <c r="E49" i="15"/>
  <c r="E50" i="15"/>
  <c r="E51" i="15" s="1"/>
  <c r="I18" i="15"/>
  <c r="I19" i="15" s="1"/>
  <c r="I17" i="15"/>
  <c r="I1029" i="5"/>
  <c r="I1030" i="5" s="1"/>
  <c r="I1031" i="5" s="1"/>
  <c r="I1032" i="5" s="1"/>
  <c r="I21" i="5"/>
  <c r="I22" i="5" s="1"/>
  <c r="I1121" i="5"/>
  <c r="I1122" i="5" s="1"/>
  <c r="I1123" i="5" s="1"/>
  <c r="I1124" i="5" s="1"/>
  <c r="I65" i="5"/>
  <c r="I66" i="5" s="1"/>
  <c r="I67" i="5" s="1"/>
  <c r="I68" i="5" s="1"/>
  <c r="I1198" i="5"/>
  <c r="I1199" i="5" s="1"/>
  <c r="I1200" i="5" s="1"/>
  <c r="I1201" i="5" s="1"/>
  <c r="D17" i="15"/>
  <c r="I854" i="5"/>
  <c r="I855" i="5" s="1"/>
  <c r="I856" i="5" s="1"/>
  <c r="I857" i="5" s="1"/>
  <c r="I1162" i="5"/>
  <c r="I1163" i="5" s="1"/>
  <c r="I1164" i="5" s="1"/>
  <c r="I930" i="5"/>
  <c r="I931" i="5" s="1"/>
  <c r="I932" i="5" s="1"/>
  <c r="I933" i="5" s="1"/>
  <c r="G930" i="5"/>
  <c r="I1174" i="5"/>
  <c r="I1175" i="5" s="1"/>
  <c r="I1176" i="5" s="1"/>
  <c r="I1177" i="5" s="1"/>
  <c r="G1174" i="5"/>
  <c r="I1171" i="5"/>
  <c r="I1172" i="5" s="1"/>
  <c r="I1173" i="5" s="1"/>
  <c r="G1171" i="5"/>
  <c r="I49" i="15"/>
  <c r="I50" i="15"/>
  <c r="I51" i="15" s="1"/>
  <c r="G49" i="15"/>
  <c r="G50" i="15"/>
  <c r="G51" i="15" s="1"/>
  <c r="C49" i="15"/>
  <c r="C50" i="15"/>
  <c r="C51" i="15" s="1"/>
  <c r="H18" i="15"/>
  <c r="H19" i="15" s="1"/>
  <c r="H17" i="15"/>
  <c r="F18" i="15"/>
  <c r="F19" i="15" s="1"/>
  <c r="F17" i="15"/>
  <c r="I1152" i="5"/>
  <c r="I1153" i="5" s="1"/>
  <c r="I1113" i="5"/>
  <c r="I1114" i="5" s="1"/>
  <c r="I1115" i="5" s="1"/>
  <c r="I1116" i="5" s="1"/>
  <c r="I1004" i="5"/>
  <c r="I1005" i="5" s="1"/>
  <c r="I1006" i="5" s="1"/>
  <c r="I888" i="5"/>
  <c r="I889" i="5" s="1"/>
  <c r="I890" i="5" s="1"/>
  <c r="I870" i="5"/>
  <c r="I871" i="5" s="1"/>
  <c r="I872" i="5" s="1"/>
  <c r="I873" i="5" s="1"/>
  <c r="G905" i="5"/>
  <c r="I905" i="5"/>
  <c r="I906" i="5" s="1"/>
  <c r="I908" i="5" s="1"/>
  <c r="I846" i="5"/>
  <c r="I847" i="5" s="1"/>
  <c r="I848" i="5" s="1"/>
  <c r="I849" i="5" s="1"/>
  <c r="I874" i="5"/>
  <c r="I875" i="5" s="1"/>
  <c r="I876" i="5" s="1"/>
  <c r="I877" i="5" s="1"/>
  <c r="G874" i="5"/>
  <c r="I1016" i="5"/>
  <c r="I1017" i="5" s="1"/>
  <c r="I1018" i="5" s="1"/>
  <c r="I612" i="5"/>
  <c r="I613" i="5" s="1"/>
  <c r="I614" i="5" s="1"/>
  <c r="I520" i="5"/>
  <c r="I521" i="5" s="1"/>
  <c r="I522" i="5" s="1"/>
  <c r="I147" i="5"/>
  <c r="I148" i="5" s="1"/>
  <c r="I149" i="5" s="1"/>
  <c r="I150" i="5" s="1"/>
  <c r="I151" i="5" s="1"/>
  <c r="I377" i="5"/>
  <c r="I378" i="5" s="1"/>
  <c r="I379" i="5" s="1"/>
  <c r="I380" i="5" s="1"/>
  <c r="I381" i="5" s="1"/>
  <c r="I382" i="5" s="1"/>
  <c r="I383" i="5" s="1"/>
  <c r="I384" i="5" s="1"/>
  <c r="I385" i="5" s="1"/>
  <c r="I386" i="5" s="1"/>
  <c r="I387" i="5" s="1"/>
  <c r="I388" i="5" s="1"/>
  <c r="I389" i="5" s="1"/>
  <c r="I390" i="5" s="1"/>
  <c r="I259" i="5"/>
  <c r="I260" i="5" s="1"/>
  <c r="I261" i="5" s="1"/>
  <c r="I262" i="5" s="1"/>
  <c r="I263" i="5" s="1"/>
  <c r="I171" i="5"/>
  <c r="I172" i="5" s="1"/>
  <c r="I173" i="5" s="1"/>
  <c r="I174" i="5" s="1"/>
  <c r="I175" i="5" s="1"/>
  <c r="I166" i="5"/>
  <c r="I167" i="5" s="1"/>
  <c r="I168" i="5" s="1"/>
  <c r="I169" i="5" s="1"/>
  <c r="I170" i="5" s="1"/>
  <c r="I232" i="5"/>
  <c r="I233" i="5" s="1"/>
  <c r="I234" i="5" s="1"/>
  <c r="I235" i="5" s="1"/>
  <c r="I236" i="5" s="1"/>
  <c r="I237" i="5" s="1"/>
  <c r="I238" i="5" s="1"/>
  <c r="I220" i="5"/>
  <c r="I221" i="5" s="1"/>
  <c r="I222" i="5" s="1"/>
  <c r="I223" i="5" s="1"/>
  <c r="I224" i="5" s="1"/>
  <c r="I225" i="5" s="1"/>
  <c r="I573" i="5"/>
  <c r="I574" i="5" s="1"/>
  <c r="I575" i="5" s="1"/>
  <c r="I632" i="5"/>
  <c r="I633" i="5" s="1"/>
  <c r="I634" i="5" s="1"/>
  <c r="I635" i="5" s="1"/>
  <c r="I636" i="5" s="1"/>
  <c r="I734" i="5"/>
  <c r="I735" i="5" s="1"/>
  <c r="I736" i="5" s="1"/>
  <c r="I641" i="5"/>
  <c r="I642" i="5" s="1"/>
  <c r="I643" i="5" s="1"/>
  <c r="I624" i="5"/>
  <c r="I625" i="5" s="1"/>
  <c r="I626" i="5" s="1"/>
  <c r="I818" i="5"/>
  <c r="I819" i="5" s="1"/>
  <c r="I820" i="5" s="1"/>
  <c r="I821" i="5" s="1"/>
  <c r="I719" i="5"/>
  <c r="I720" i="5" s="1"/>
  <c r="I721" i="5" s="1"/>
  <c r="I722" i="5" s="1"/>
  <c r="I723" i="5" s="1"/>
  <c r="I950" i="5"/>
  <c r="I951" i="5" s="1"/>
  <c r="I952" i="5" s="1"/>
  <c r="I1079" i="5"/>
  <c r="I1080" i="5" s="1"/>
  <c r="I1081" i="5" s="1"/>
  <c r="I1186" i="5"/>
  <c r="I1187" i="5" s="1"/>
  <c r="I1188" i="5" s="1"/>
  <c r="I1189" i="5" s="1"/>
  <c r="I1165" i="5"/>
  <c r="I1166" i="5" s="1"/>
  <c r="I1167" i="5" s="1"/>
  <c r="I1190" i="5"/>
  <c r="I1095" i="5"/>
  <c r="I1096" i="5" s="1"/>
  <c r="I1097" i="5" s="1"/>
  <c r="I1098" i="5" s="1"/>
  <c r="I1099" i="5" s="1"/>
  <c r="I1100" i="5" s="1"/>
  <c r="I1101" i="5" s="1"/>
  <c r="I1102" i="5" s="1"/>
  <c r="I1103" i="5" s="1"/>
  <c r="I913" i="5"/>
  <c r="I914" i="5" s="1"/>
  <c r="I915" i="5" s="1"/>
  <c r="I916" i="5" s="1"/>
  <c r="G938" i="5"/>
  <c r="I938" i="5"/>
  <c r="I939" i="5" s="1"/>
  <c r="I940" i="5" s="1"/>
  <c r="I941" i="5" s="1"/>
  <c r="G979" i="5"/>
  <c r="I979" i="5"/>
  <c r="I980" i="5" s="1"/>
  <c r="I981" i="5" s="1"/>
  <c r="I983" i="5" s="1"/>
  <c r="I985" i="5" s="1"/>
  <c r="I986" i="5" s="1"/>
  <c r="I987" i="5" s="1"/>
  <c r="I982" i="5" s="1"/>
  <c r="I984" i="5" s="1"/>
  <c r="I710" i="5"/>
  <c r="I711" i="5" s="1"/>
  <c r="I712" i="5" s="1"/>
  <c r="I713" i="5" s="1"/>
  <c r="I714" i="5" s="1"/>
  <c r="I637" i="5"/>
  <c r="I638" i="5" s="1"/>
  <c r="I639" i="5" s="1"/>
  <c r="I640" i="5" s="1"/>
  <c r="I539" i="5"/>
  <c r="I540" i="5" s="1"/>
  <c r="I541" i="5" s="1"/>
  <c r="I542" i="5" s="1"/>
  <c r="I547" i="5"/>
  <c r="I548" i="5" s="1"/>
  <c r="I549" i="5" s="1"/>
  <c r="I550" i="5" s="1"/>
  <c r="I472" i="5"/>
  <c r="I473" i="5" s="1"/>
  <c r="I474" i="5" s="1"/>
  <c r="I475" i="5" s="1"/>
  <c r="I476" i="5" s="1"/>
  <c r="I477" i="5" s="1"/>
  <c r="I478" i="5" s="1"/>
  <c r="I576" i="5"/>
  <c r="I577" i="5" s="1"/>
  <c r="I578" i="5" s="1"/>
  <c r="I579" i="5" s="1"/>
  <c r="I580" i="5" s="1"/>
  <c r="I226" i="5"/>
  <c r="I227" i="5" s="1"/>
  <c r="I228" i="5" s="1"/>
  <c r="I229" i="5" s="1"/>
  <c r="I230" i="5" s="1"/>
  <c r="I231" i="5" s="1"/>
  <c r="I209" i="5"/>
  <c r="I210" i="5" s="1"/>
  <c r="I211" i="5" s="1"/>
  <c r="I212" i="5" s="1"/>
  <c r="I213" i="5" s="1"/>
  <c r="I138" i="5"/>
  <c r="I139" i="5" s="1"/>
  <c r="I140" i="5" s="1"/>
  <c r="I141" i="5" s="1"/>
  <c r="I142" i="5" s="1"/>
  <c r="I270" i="5"/>
  <c r="I271" i="5" s="1"/>
  <c r="I272" i="5" s="1"/>
  <c r="I273" i="5" s="1"/>
  <c r="I274" i="5" s="1"/>
  <c r="I391" i="5"/>
  <c r="I392" i="5" s="1"/>
  <c r="I393" i="5" s="1"/>
  <c r="I394" i="5" s="1"/>
  <c r="I395" i="5" s="1"/>
  <c r="I396" i="5" s="1"/>
  <c r="I397" i="5" s="1"/>
  <c r="I398" i="5" s="1"/>
  <c r="I399" i="5" s="1"/>
  <c r="I400" i="5" s="1"/>
  <c r="I401" i="5" s="1"/>
  <c r="I402" i="5" s="1"/>
  <c r="I403" i="5" s="1"/>
  <c r="I404" i="5" s="1"/>
  <c r="I581" i="5"/>
  <c r="I582" i="5" s="1"/>
  <c r="I583" i="5" s="1"/>
  <c r="I584" i="5" s="1"/>
  <c r="I680" i="5"/>
  <c r="I681" i="5" s="1"/>
  <c r="I682" i="5" s="1"/>
  <c r="I796" i="5"/>
  <c r="I797" i="5" s="1"/>
  <c r="I798" i="5" s="1"/>
  <c r="I799" i="5" s="1"/>
  <c r="I800" i="5" s="1"/>
  <c r="I801" i="5" s="1"/>
  <c r="I802" i="5" s="1"/>
  <c r="I647" i="5"/>
  <c r="I648" i="5" s="1"/>
  <c r="I649" i="5" s="1"/>
  <c r="I650" i="5" s="1"/>
  <c r="I651" i="5"/>
  <c r="I652" i="5" s="1"/>
  <c r="I653" i="5" s="1"/>
  <c r="I654" i="5" s="1"/>
  <c r="I706" i="5"/>
  <c r="I707" i="5" s="1"/>
  <c r="I708" i="5" s="1"/>
  <c r="I709" i="5" s="1"/>
  <c r="I727" i="5"/>
  <c r="I728" i="5" s="1"/>
  <c r="I729" i="5" s="1"/>
  <c r="I957" i="5"/>
  <c r="I958" i="5" s="1"/>
  <c r="I959" i="5" s="1"/>
  <c r="I1125" i="5"/>
  <c r="I1126" i="5" s="1"/>
  <c r="I1127" i="5" s="1"/>
  <c r="I1128" i="5" s="1"/>
  <c r="I1159" i="5"/>
  <c r="I1160" i="5" s="1"/>
  <c r="I1161" i="5" s="1"/>
  <c r="I1156" i="5"/>
  <c r="I1157" i="5" s="1"/>
  <c r="I1158" i="5" s="1"/>
  <c r="I1168" i="5"/>
  <c r="I1169" i="5" s="1"/>
  <c r="I1170" i="5" s="1"/>
  <c r="G1139" i="5"/>
  <c r="I1139" i="5"/>
  <c r="I1140" i="5" s="1"/>
  <c r="I1141" i="5" s="1"/>
  <c r="I1053" i="5"/>
  <c r="I1054" i="5" s="1"/>
  <c r="I1055" i="5" s="1"/>
  <c r="I1056" i="5" s="1"/>
  <c r="G1053" i="5"/>
  <c r="I966" i="5"/>
  <c r="I967" i="5" s="1"/>
  <c r="I968" i="5" s="1"/>
  <c r="I809" i="5"/>
  <c r="I810" i="5" s="1"/>
  <c r="I691" i="5"/>
  <c r="I692" i="5" s="1"/>
  <c r="I693" i="5" s="1"/>
  <c r="I724" i="5"/>
  <c r="I725" i="5" s="1"/>
  <c r="I726" i="5" s="1"/>
  <c r="I419" i="5"/>
  <c r="I420" i="5" s="1"/>
  <c r="I421" i="5" s="1"/>
  <c r="I422" i="5" s="1"/>
  <c r="I423" i="5" s="1"/>
  <c r="I424" i="5" s="1"/>
  <c r="I425" i="5" s="1"/>
  <c r="I426" i="5" s="1"/>
  <c r="I427" i="5" s="1"/>
  <c r="I428" i="5" s="1"/>
  <c r="I429" i="5" s="1"/>
  <c r="I430" i="5" s="1"/>
  <c r="I431" i="5" s="1"/>
  <c r="I432" i="5" s="1"/>
  <c r="I275" i="5"/>
  <c r="I276" i="5" s="1"/>
  <c r="I277" i="5" s="1"/>
  <c r="I589" i="5"/>
  <c r="I590" i="5" s="1"/>
  <c r="I591" i="5" s="1"/>
  <c r="I592" i="5" s="1"/>
  <c r="I338" i="5"/>
  <c r="I339" i="5" s="1"/>
  <c r="I340" i="5" s="1"/>
  <c r="I341" i="5" s="1"/>
  <c r="I342" i="5" s="1"/>
  <c r="I343" i="5" s="1"/>
  <c r="I344" i="5" s="1"/>
  <c r="I345" i="5" s="1"/>
  <c r="I346" i="5" s="1"/>
  <c r="I347" i="5" s="1"/>
  <c r="I348" i="5" s="1"/>
  <c r="I433" i="5"/>
  <c r="I434" i="5" s="1"/>
  <c r="I435" i="5" s="1"/>
  <c r="I436" i="5" s="1"/>
  <c r="I437" i="5" s="1"/>
  <c r="I438" i="5" s="1"/>
  <c r="I439" i="5" s="1"/>
  <c r="I440" i="5" s="1"/>
  <c r="I441" i="5" s="1"/>
  <c r="I442" i="5" s="1"/>
  <c r="I443" i="5" s="1"/>
  <c r="I444" i="5" s="1"/>
  <c r="I445" i="5" s="1"/>
  <c r="I446" i="5" s="1"/>
  <c r="I55" i="5"/>
  <c r="I56" i="5" s="1"/>
  <c r="I39" i="5"/>
  <c r="I40" i="5" s="1"/>
  <c r="I41" i="5" s="1"/>
  <c r="I42" i="5" s="1"/>
  <c r="I43" i="5" s="1"/>
  <c r="I132" i="5"/>
  <c r="I133" i="5" s="1"/>
  <c r="I134" i="5" s="1"/>
  <c r="I135" i="5" s="1"/>
  <c r="I136" i="5" s="1"/>
  <c r="I137" i="5" s="1"/>
  <c r="I57" i="5"/>
  <c r="I58" i="5" s="1"/>
  <c r="I59" i="5" s="1"/>
  <c r="I60" i="5" s="1"/>
  <c r="I278" i="5"/>
  <c r="I279" i="5" s="1"/>
  <c r="I280" i="5" s="1"/>
  <c r="I281" i="5" s="1"/>
  <c r="I282" i="5" s="1"/>
  <c r="I327" i="5"/>
  <c r="I328" i="5" s="1"/>
  <c r="I329" i="5" s="1"/>
  <c r="I330" i="5" s="1"/>
  <c r="I331" i="5" s="1"/>
  <c r="I332" i="5" s="1"/>
  <c r="I333" i="5" s="1"/>
  <c r="I334" i="5" s="1"/>
  <c r="I335" i="5" s="1"/>
  <c r="I336" i="5" s="1"/>
  <c r="I337" i="5" s="1"/>
  <c r="I605" i="5"/>
  <c r="I606" i="5" s="1"/>
  <c r="I607" i="5" s="1"/>
  <c r="I608" i="5" s="1"/>
  <c r="I715" i="5"/>
  <c r="I716" i="5" s="1"/>
  <c r="I717" i="5" s="1"/>
  <c r="I718" i="5" s="1"/>
  <c r="I730" i="5"/>
  <c r="I731" i="5" s="1"/>
  <c r="I732" i="5" s="1"/>
  <c r="I733" i="5" s="1"/>
  <c r="I672" i="5"/>
  <c r="I673" i="5" s="1"/>
  <c r="I674" i="5" s="1"/>
  <c r="I675" i="5" s="1"/>
  <c r="I702" i="5"/>
  <c r="I703" i="5" s="1"/>
  <c r="I704" i="5" s="1"/>
  <c r="I705" i="5" s="1"/>
  <c r="I842" i="5"/>
  <c r="I843" i="5" s="1"/>
  <c r="I844" i="5" s="1"/>
  <c r="I845" i="5" s="1"/>
  <c r="I862" i="5"/>
  <c r="I863" i="5" s="1"/>
  <c r="I864" i="5" s="1"/>
  <c r="I865" i="5" s="1"/>
  <c r="G988" i="5"/>
  <c r="I988" i="5"/>
  <c r="I989" i="5" s="1"/>
  <c r="I990" i="5" s="1"/>
  <c r="I991" i="5" s="1"/>
  <c r="I992" i="5" s="1"/>
  <c r="I993" i="5" s="1"/>
  <c r="I994" i="5" s="1"/>
  <c r="I995" i="5" s="1"/>
  <c r="I996" i="5" s="1"/>
  <c r="I997" i="5" s="1"/>
  <c r="I998" i="5" s="1"/>
  <c r="I1150" i="5"/>
  <c r="I1151" i="5" s="1"/>
  <c r="G1182" i="5"/>
  <c r="I1182" i="5"/>
  <c r="I1183" i="5" s="1"/>
  <c r="I1184" i="5" s="1"/>
  <c r="I1185" i="5" s="1"/>
  <c r="I1194" i="5"/>
  <c r="I1195" i="5" s="1"/>
  <c r="I1196" i="5" s="1"/>
  <c r="I1197" i="5" s="1"/>
  <c r="H1194" i="5"/>
  <c r="G1194" i="5"/>
  <c r="G1178" i="5"/>
  <c r="I1178" i="5"/>
  <c r="I1179" i="5" s="1"/>
  <c r="I1180" i="5" s="1"/>
  <c r="I1181" i="5" s="1"/>
  <c r="E18" i="15"/>
  <c r="E19" i="15" s="1"/>
  <c r="E17" i="15"/>
  <c r="I1154" i="5"/>
  <c r="I926" i="5"/>
  <c r="I927" i="5" s="1"/>
  <c r="I928" i="5" s="1"/>
  <c r="I929" i="5" s="1"/>
  <c r="G926" i="5"/>
  <c r="I878" i="5"/>
  <c r="I879" i="5" s="1"/>
  <c r="I880" i="5" s="1"/>
  <c r="I881" i="5" s="1"/>
  <c r="G878" i="5"/>
  <c r="I1041" i="5"/>
  <c r="I1042" i="5" s="1"/>
  <c r="I1043" i="5" s="1"/>
  <c r="I1044" i="5" s="1"/>
  <c r="I826" i="5"/>
  <c r="I827" i="5" s="1"/>
  <c r="I828" i="5" s="1"/>
  <c r="I829" i="5" s="1"/>
  <c r="I663" i="5"/>
  <c r="I664" i="5" s="1"/>
  <c r="I665" i="5" s="1"/>
  <c r="I666" i="5" s="1"/>
  <c r="I531" i="5"/>
  <c r="I532" i="5" s="1"/>
  <c r="I533" i="5" s="1"/>
  <c r="I534" i="5" s="1"/>
  <c r="I405" i="5"/>
  <c r="I406" i="5" s="1"/>
  <c r="I407" i="5" s="1"/>
  <c r="I314" i="5"/>
  <c r="I315" i="5" s="1"/>
  <c r="I316" i="5" s="1"/>
  <c r="I317" i="5" s="1"/>
  <c r="I318" i="5" s="1"/>
  <c r="I319" i="5" s="1"/>
  <c r="I320" i="5" s="1"/>
  <c r="I321" i="5" s="1"/>
  <c r="I322" i="5" s="1"/>
  <c r="I323" i="5" s="1"/>
  <c r="I324" i="5" s="1"/>
  <c r="I325" i="5" s="1"/>
  <c r="I326" i="5" s="1"/>
  <c r="I597" i="5"/>
  <c r="I598" i="5" s="1"/>
  <c r="I599" i="5" s="1"/>
  <c r="I600" i="5" s="1"/>
  <c r="I201" i="5"/>
  <c r="I202" i="5" s="1"/>
  <c r="I203" i="5" s="1"/>
  <c r="I204" i="5" s="1"/>
  <c r="I205" i="5" s="1"/>
  <c r="I23" i="5"/>
  <c r="I24" i="5" s="1"/>
  <c r="I25" i="5" s="1"/>
  <c r="I26" i="5" s="1"/>
  <c r="I27" i="5" s="1"/>
  <c r="I123" i="5"/>
  <c r="I124" i="5" s="1"/>
  <c r="I125" i="5" s="1"/>
  <c r="I126" i="5" s="1"/>
  <c r="I127" i="5" s="1"/>
  <c r="I128" i="5" s="1"/>
  <c r="I129" i="5" s="1"/>
  <c r="I130" i="5" s="1"/>
  <c r="I131" i="5" s="1"/>
  <c r="I299" i="5"/>
  <c r="I300" i="5" s="1"/>
  <c r="I301" i="5" s="1"/>
  <c r="I302" i="5" s="1"/>
  <c r="I303" i="5" s="1"/>
  <c r="I304" i="5" s="1"/>
  <c r="I305" i="5" s="1"/>
  <c r="I306" i="5" s="1"/>
  <c r="I307" i="5" s="1"/>
  <c r="I493" i="5"/>
  <c r="I494" i="5" s="1"/>
  <c r="I495" i="5" s="1"/>
  <c r="I496" i="5" s="1"/>
  <c r="I497" i="5" s="1"/>
  <c r="I498" i="5" s="1"/>
  <c r="I447" i="5"/>
  <c r="I448" i="5" s="1"/>
  <c r="I449" i="5" s="1"/>
  <c r="I450" i="5" s="1"/>
  <c r="I451" i="5" s="1"/>
  <c r="I452" i="5" s="1"/>
  <c r="I453" i="5" s="1"/>
  <c r="I454" i="5" s="1"/>
  <c r="I455" i="5" s="1"/>
  <c r="I456" i="5" s="1"/>
  <c r="I457" i="5" s="1"/>
  <c r="I763" i="5"/>
  <c r="I764" i="5" s="1"/>
  <c r="I765" i="5" s="1"/>
  <c r="I766" i="5" s="1"/>
  <c r="I749" i="5"/>
  <c r="I750" i="5" s="1"/>
  <c r="I751" i="5" s="1"/>
  <c r="I752" i="5" s="1"/>
  <c r="I753" i="5" s="1"/>
  <c r="I535" i="5"/>
  <c r="I536" i="5" s="1"/>
  <c r="I537" i="5" s="1"/>
  <c r="I538" i="5" s="1"/>
  <c r="I779" i="5"/>
  <c r="I780" i="5" s="1"/>
  <c r="I781" i="5" s="1"/>
  <c r="I782" i="5" s="1"/>
  <c r="I783" i="5" s="1"/>
  <c r="I755" i="5"/>
  <c r="I756" i="5" s="1"/>
  <c r="I757" i="5" s="1"/>
  <c r="I758" i="5" s="1"/>
  <c r="I963" i="5"/>
  <c r="I1008" i="5"/>
  <c r="I1009" i="5" s="1"/>
  <c r="I1010" i="5" s="1"/>
  <c r="I1148" i="5"/>
  <c r="I1149" i="5" s="1"/>
  <c r="I1135" i="5"/>
  <c r="I1136" i="5" s="1"/>
  <c r="I1137" i="5" s="1"/>
  <c r="I1138" i="5" s="1"/>
  <c r="F8" i="3"/>
  <c r="D5" i="2" s="1"/>
  <c r="G18" i="15"/>
  <c r="G19" i="15" s="1"/>
  <c r="G17" i="15"/>
  <c r="I1105" i="5"/>
  <c r="I1106" i="5" s="1"/>
  <c r="I1107" i="5" s="1"/>
  <c r="I1108" i="5" s="1"/>
  <c r="H49" i="15"/>
  <c r="H50" i="15"/>
  <c r="H51" i="15" s="1"/>
  <c r="G1058" i="5"/>
  <c r="I1058" i="5"/>
  <c r="I1059" i="5" s="1"/>
  <c r="I1060" i="5" s="1"/>
  <c r="I1061" i="5" s="1"/>
  <c r="I1000" i="5"/>
  <c r="I1001" i="5" s="1"/>
  <c r="I1002" i="5" s="1"/>
  <c r="I1003" i="5" s="1"/>
  <c r="I1117" i="5"/>
  <c r="I1118" i="5" s="1"/>
  <c r="I1119" i="5" s="1"/>
  <c r="I1120" i="5" s="1"/>
  <c r="I947" i="5"/>
  <c r="I948" i="5" s="1"/>
  <c r="I949" i="5" s="1"/>
  <c r="I687" i="5"/>
  <c r="I688" i="5" s="1"/>
  <c r="I689" i="5" s="1"/>
  <c r="I690" i="5" s="1"/>
  <c r="I838" i="5"/>
  <c r="I839" i="5" s="1"/>
  <c r="I840" i="5" s="1"/>
  <c r="I841" i="5" s="1"/>
  <c r="I737" i="5"/>
  <c r="I738" i="5" s="1"/>
  <c r="I739" i="5" s="1"/>
  <c r="I621" i="5"/>
  <c r="I622" i="5" s="1"/>
  <c r="I623" i="5" s="1"/>
  <c r="I644" i="5"/>
  <c r="I645" i="5" s="1"/>
  <c r="I646" i="5" s="1"/>
  <c r="I349" i="5"/>
  <c r="I350" i="5" s="1"/>
  <c r="I351" i="5" s="1"/>
  <c r="I569" i="5"/>
  <c r="I570" i="5" s="1"/>
  <c r="I571" i="5" s="1"/>
  <c r="I572" i="5" s="1"/>
  <c r="I206" i="5"/>
  <c r="I207" i="5" s="1"/>
  <c r="I208" i="5" s="1"/>
  <c r="I479" i="5"/>
  <c r="I480" i="5" s="1"/>
  <c r="I481" i="5" s="1"/>
  <c r="I482" i="5" s="1"/>
  <c r="I483" i="5" s="1"/>
  <c r="I484" i="5" s="1"/>
  <c r="I485" i="5" s="1"/>
  <c r="I486" i="5" s="1"/>
  <c r="I487" i="5" s="1"/>
  <c r="I655" i="5"/>
  <c r="I656" i="5" s="1"/>
  <c r="I657" i="5" s="1"/>
  <c r="I658" i="5" s="1"/>
  <c r="I793" i="5"/>
  <c r="I794" i="5" s="1"/>
  <c r="I795" i="5" s="1"/>
  <c r="I694" i="5"/>
  <c r="I695" i="5" s="1"/>
  <c r="I696" i="5" s="1"/>
  <c r="I697" i="5" s="1"/>
  <c r="I543" i="5"/>
  <c r="I544" i="5" s="1"/>
  <c r="I545" i="5" s="1"/>
  <c r="I546" i="5" s="1"/>
  <c r="I850" i="5"/>
  <c r="I851" i="5" s="1"/>
  <c r="I852" i="5" s="1"/>
  <c r="I853" i="5" s="1"/>
  <c r="I768" i="5"/>
  <c r="I769" i="5" s="1"/>
  <c r="I770" i="5" s="1"/>
  <c r="I771" i="5" s="1"/>
  <c r="I772" i="5" s="1"/>
  <c r="I773" i="5" s="1"/>
  <c r="I1012" i="5"/>
  <c r="I1013" i="5" s="1"/>
  <c r="I1014" i="5" s="1"/>
  <c r="G1066" i="5"/>
  <c r="I1066" i="5"/>
  <c r="I1067" i="5" s="1"/>
  <c r="I1068" i="5" s="1"/>
  <c r="I1069" i="5" s="1"/>
  <c r="I1062" i="5"/>
  <c r="I1063" i="5" s="1"/>
  <c r="I1064" i="5" s="1"/>
  <c r="I1065" i="5" s="1"/>
  <c r="G1062" i="5"/>
  <c r="I1025" i="5"/>
  <c r="I1026" i="5" s="1"/>
  <c r="I1027" i="5" s="1"/>
  <c r="I1028" i="5" s="1"/>
  <c r="I70" i="5"/>
  <c r="I71" i="5" s="1"/>
  <c r="I960" i="5"/>
  <c r="I961" i="5" s="1"/>
  <c r="I962" i="5" s="1"/>
  <c r="I1049" i="5"/>
  <c r="I1050" i="5" s="1"/>
  <c r="I1051" i="5" s="1"/>
  <c r="I1052" i="5" s="1"/>
  <c r="I897" i="5"/>
  <c r="I898" i="5" s="1"/>
  <c r="I899" i="5" s="1"/>
  <c r="I922" i="5"/>
  <c r="I923" i="5" s="1"/>
  <c r="I924" i="5" s="1"/>
  <c r="I925" i="5" s="1"/>
  <c r="G922" i="5"/>
  <c r="I1020" i="5"/>
  <c r="I1021" i="5" s="1"/>
  <c r="I1022" i="5" s="1"/>
  <c r="G882" i="5"/>
  <c r="I882" i="5"/>
  <c r="I883" i="5" s="1"/>
  <c r="I884" i="5" s="1"/>
  <c r="I885" i="5" s="1"/>
  <c r="I676" i="5"/>
  <c r="I677" i="5" s="1"/>
  <c r="I678" i="5" s="1"/>
  <c r="I679" i="5" s="1"/>
  <c r="I523" i="5"/>
  <c r="I524" i="5" s="1"/>
  <c r="I525" i="5" s="1"/>
  <c r="I508" i="5"/>
  <c r="I509" i="5" s="1"/>
  <c r="I510" i="5" s="1"/>
  <c r="I511" i="5" s="1"/>
  <c r="I512" i="5" s="1"/>
  <c r="I513" i="5" s="1"/>
  <c r="I514" i="5" s="1"/>
  <c r="I176" i="5"/>
  <c r="I177" i="5" s="1"/>
  <c r="I178" i="5" s="1"/>
  <c r="I179" i="5" s="1"/>
  <c r="I180" i="5" s="1"/>
  <c r="I114" i="5"/>
  <c r="I115" i="5" s="1"/>
  <c r="I116" i="5" s="1"/>
  <c r="I117" i="5" s="1"/>
  <c r="I118" i="5" s="1"/>
  <c r="I119" i="5" s="1"/>
  <c r="I120" i="5" s="1"/>
  <c r="I121" i="5" s="1"/>
  <c r="I122" i="5" s="1"/>
  <c r="I110" i="5"/>
  <c r="I111" i="5" s="1"/>
  <c r="I112" i="5" s="1"/>
  <c r="I363" i="5"/>
  <c r="I364" i="5" s="1"/>
  <c r="I365" i="5" s="1"/>
  <c r="I366" i="5" s="1"/>
  <c r="I367" i="5" s="1"/>
  <c r="I368" i="5" s="1"/>
  <c r="I369" i="5" s="1"/>
  <c r="I370" i="5" s="1"/>
  <c r="I371" i="5" s="1"/>
  <c r="I372" i="5" s="1"/>
  <c r="I373" i="5" s="1"/>
  <c r="I374" i="5" s="1"/>
  <c r="I375" i="5" s="1"/>
  <c r="I376" i="5" s="1"/>
  <c r="G363" i="5"/>
  <c r="I80" i="5"/>
  <c r="I81" i="5" s="1"/>
  <c r="I82" i="5" s="1"/>
  <c r="I83" i="5" s="1"/>
  <c r="I84" i="5" s="1"/>
  <c r="I85" i="5" s="1"/>
  <c r="I86" i="5" s="1"/>
  <c r="I87" i="5" s="1"/>
  <c r="I88" i="5" s="1"/>
  <c r="I89" i="5" s="1"/>
  <c r="I90" i="5" s="1"/>
  <c r="I34" i="5"/>
  <c r="I35" i="5" s="1"/>
  <c r="I36" i="5" s="1"/>
  <c r="I37" i="5" s="1"/>
  <c r="I38" i="5" s="1"/>
  <c r="G308" i="5"/>
  <c r="I308" i="5"/>
  <c r="I309" i="5" s="1"/>
  <c r="I310" i="5" s="1"/>
  <c r="I311" i="5" s="1"/>
  <c r="I312" i="5" s="1"/>
  <c r="I313" i="5" s="1"/>
  <c r="I501" i="5"/>
  <c r="I502" i="5" s="1"/>
  <c r="I503" i="5" s="1"/>
  <c r="I504" i="5" s="1"/>
  <c r="I505" i="5" s="1"/>
  <c r="I506" i="5" s="1"/>
  <c r="I507" i="5" s="1"/>
  <c r="I593" i="5"/>
  <c r="I594" i="5" s="1"/>
  <c r="I595" i="5" s="1"/>
  <c r="I596" i="5" s="1"/>
  <c r="I659" i="5"/>
  <c r="I660" i="5" s="1"/>
  <c r="I661" i="5" s="1"/>
  <c r="I662" i="5" s="1"/>
  <c r="I744" i="5"/>
  <c r="I745" i="5" s="1"/>
  <c r="I746" i="5" s="1"/>
  <c r="I747" i="5" s="1"/>
  <c r="I748" i="5" s="1"/>
  <c r="I551" i="5"/>
  <c r="I552" i="5" s="1"/>
  <c r="I553" i="5" s="1"/>
  <c r="I554" i="5" s="1"/>
  <c r="I891" i="5"/>
  <c r="I892" i="5" s="1"/>
  <c r="I893" i="5" s="1"/>
  <c r="I787" i="5"/>
  <c r="I788" i="5" s="1"/>
  <c r="I789" i="5" s="1"/>
  <c r="G918" i="5"/>
  <c r="I918" i="5"/>
  <c r="I919" i="5" s="1"/>
  <c r="I920" i="5" s="1"/>
  <c r="I921" i="5" s="1"/>
  <c r="I1130" i="5"/>
  <c r="I1131" i="5" s="1"/>
  <c r="I1132" i="5" s="1"/>
  <c r="I1134" i="5" s="1"/>
  <c r="I1133" i="5" s="1"/>
  <c r="I1109" i="5"/>
  <c r="I1110" i="5" s="1"/>
  <c r="I1111" i="5" s="1"/>
  <c r="I1112" i="5" s="1"/>
  <c r="I1033" i="5"/>
  <c r="I1034" i="5" s="1"/>
  <c r="I1035" i="5" s="1"/>
  <c r="I1036" i="5" s="1"/>
  <c r="G1033" i="5"/>
  <c r="I1145" i="5"/>
  <c r="I1146" i="5" s="1"/>
  <c r="I1147" i="5" s="1"/>
  <c r="I970" i="5"/>
  <c r="I974" i="5" s="1"/>
  <c r="I975" i="5" s="1"/>
  <c r="I976" i="5" s="1"/>
  <c r="I972" i="5" s="1"/>
  <c r="I973" i="5" s="1"/>
  <c r="I971" i="5" s="1"/>
  <c r="I977" i="5" s="1"/>
  <c r="I978" i="5" s="1"/>
  <c r="I806" i="5"/>
  <c r="I807" i="5" s="1"/>
  <c r="I808" i="5" s="1"/>
  <c r="I901" i="5"/>
  <c r="I902" i="5" s="1"/>
  <c r="I903" i="5" s="1"/>
  <c r="I904" i="5" s="1"/>
  <c r="G901" i="5"/>
  <c r="I953" i="5"/>
  <c r="I954" i="5" s="1"/>
  <c r="I955" i="5" s="1"/>
  <c r="I740" i="5"/>
  <c r="I741" i="5" s="1"/>
  <c r="I742" i="5" s="1"/>
  <c r="I743" i="5" s="1"/>
  <c r="I834" i="5"/>
  <c r="I835" i="5" s="1"/>
  <c r="I836" i="5" s="1"/>
  <c r="I837" i="5" s="1"/>
  <c r="I790" i="5"/>
  <c r="I791" i="5" s="1"/>
  <c r="I792" i="5" s="1"/>
  <c r="I858" i="5"/>
  <c r="I859" i="5" s="1"/>
  <c r="I860" i="5" s="1"/>
  <c r="I861" i="5" s="1"/>
  <c r="I564" i="5"/>
  <c r="I565" i="5" s="1"/>
  <c r="I566" i="5" s="1"/>
  <c r="I567" i="5" s="1"/>
  <c r="I568" i="5" s="1"/>
  <c r="I515" i="5"/>
  <c r="I516" i="5" s="1"/>
  <c r="I517" i="5" s="1"/>
  <c r="I518" i="5" s="1"/>
  <c r="I519" i="5" s="1"/>
  <c r="I458" i="5"/>
  <c r="I459" i="5" s="1"/>
  <c r="I460" i="5" s="1"/>
  <c r="I461" i="5" s="1"/>
  <c r="I462" i="5" s="1"/>
  <c r="I463" i="5" s="1"/>
  <c r="I464" i="5" s="1"/>
  <c r="I465" i="5" s="1"/>
  <c r="I466" i="5" s="1"/>
  <c r="I467" i="5" s="1"/>
  <c r="I468" i="5" s="1"/>
  <c r="I469" i="5" s="1"/>
  <c r="I288" i="5"/>
  <c r="I289" i="5" s="1"/>
  <c r="I290" i="5" s="1"/>
  <c r="I291" i="5" s="1"/>
  <c r="I292" i="5" s="1"/>
  <c r="I293" i="5" s="1"/>
  <c r="I294" i="5" s="1"/>
  <c r="I295" i="5" s="1"/>
  <c r="I296" i="5" s="1"/>
  <c r="I248" i="5"/>
  <c r="I249" i="5" s="1"/>
  <c r="I250" i="5" s="1"/>
  <c r="I251" i="5" s="1"/>
  <c r="I252" i="5" s="1"/>
  <c r="I253" i="5" s="1"/>
  <c r="I254" i="5" s="1"/>
  <c r="I255" i="5" s="1"/>
  <c r="I256" i="5" s="1"/>
  <c r="I105" i="5"/>
  <c r="I106" i="5" s="1"/>
  <c r="I107" i="5" s="1"/>
  <c r="I108" i="5" s="1"/>
  <c r="I109" i="5" s="1"/>
  <c r="I163" i="5"/>
  <c r="I164" i="5" s="1"/>
  <c r="I165" i="5" s="1"/>
  <c r="I526" i="5"/>
  <c r="I527" i="5" s="1"/>
  <c r="I528" i="5" s="1"/>
  <c r="I529" i="5" s="1"/>
  <c r="I530" i="5" s="1"/>
  <c r="I601" i="5"/>
  <c r="I602" i="5" s="1"/>
  <c r="I603" i="5" s="1"/>
  <c r="I604" i="5" s="1"/>
  <c r="I683" i="5"/>
  <c r="I684" i="5" s="1"/>
  <c r="I685" i="5" s="1"/>
  <c r="I686" i="5" s="1"/>
  <c r="I759" i="5"/>
  <c r="I760" i="5" s="1"/>
  <c r="I761" i="5" s="1"/>
  <c r="I762" i="5" s="1"/>
  <c r="I559" i="5"/>
  <c r="I560" i="5" s="1"/>
  <c r="I561" i="5" s="1"/>
  <c r="I562" i="5" s="1"/>
  <c r="I563" i="5" s="1"/>
  <c r="I784" i="5"/>
  <c r="I785" i="5" s="1"/>
  <c r="I786" i="5" s="1"/>
  <c r="I811" i="5"/>
  <c r="I812" i="5" s="1"/>
  <c r="G1037" i="5"/>
  <c r="I1037" i="5"/>
  <c r="I1038" i="5" s="1"/>
  <c r="I1039" i="5" s="1"/>
  <c r="I1040" i="5" s="1"/>
  <c r="I909" i="5"/>
  <c r="I910" i="5" s="1"/>
  <c r="I911" i="5" s="1"/>
  <c r="I912" i="5" s="1"/>
  <c r="I1089" i="5"/>
  <c r="I1090" i="5" s="1"/>
  <c r="I1091" i="5" s="1"/>
  <c r="I1094" i="5" s="1"/>
  <c r="I1074" i="5"/>
  <c r="I1075" i="5" s="1"/>
  <c r="I1076" i="5" s="1"/>
  <c r="I1077" i="5" s="1"/>
  <c r="G1074" i="5"/>
  <c r="I942" i="5"/>
  <c r="I943" i="5" s="1"/>
  <c r="I944" i="5" s="1"/>
  <c r="I945" i="5" s="1"/>
  <c r="G942" i="5"/>
  <c r="I830" i="5"/>
  <c r="I831" i="5" s="1"/>
  <c r="I832" i="5" s="1"/>
  <c r="I833" i="5" s="1"/>
  <c r="G1070" i="5"/>
  <c r="I1070" i="5"/>
  <c r="I1071" i="5" s="1"/>
  <c r="I1072" i="5" s="1"/>
  <c r="I1073" i="5" s="1"/>
  <c r="I814" i="5"/>
  <c r="I815" i="5" s="1"/>
  <c r="I816" i="5" s="1"/>
  <c r="I817" i="5" s="1"/>
  <c r="I822" i="5"/>
  <c r="I823" i="5" s="1"/>
  <c r="I824" i="5" s="1"/>
  <c r="I825" i="5" s="1"/>
  <c r="I774" i="5"/>
  <c r="I775" i="5" s="1"/>
  <c r="I776" i="5" s="1"/>
  <c r="I777" i="5" s="1"/>
  <c r="I778" i="5" s="1"/>
  <c r="I668" i="5"/>
  <c r="I894" i="5"/>
  <c r="I895" i="5" s="1"/>
  <c r="I896" i="5" s="1"/>
  <c r="I627" i="5"/>
  <c r="I628" i="5" s="1"/>
  <c r="I629" i="5" s="1"/>
  <c r="I630" i="5" s="1"/>
  <c r="I631" i="5" s="1"/>
  <c r="I555" i="5"/>
  <c r="I556" i="5" s="1"/>
  <c r="I557" i="5" s="1"/>
  <c r="I558" i="5" s="1"/>
  <c r="I488" i="5"/>
  <c r="I489" i="5" s="1"/>
  <c r="I490" i="5" s="1"/>
  <c r="I491" i="5" s="1"/>
  <c r="I492" i="5" s="1"/>
  <c r="I283" i="5"/>
  <c r="I284" i="5" s="1"/>
  <c r="I285" i="5" s="1"/>
  <c r="I286" i="5" s="1"/>
  <c r="I287" i="5" s="1"/>
  <c r="I196" i="5"/>
  <c r="I197" i="5" s="1"/>
  <c r="I198" i="5" s="1"/>
  <c r="I199" i="5" s="1"/>
  <c r="I200" i="5" s="1"/>
  <c r="I239" i="5"/>
  <c r="I240" i="5" s="1"/>
  <c r="I241" i="5" s="1"/>
  <c r="I242" i="5" s="1"/>
  <c r="I243" i="5" s="1"/>
  <c r="I244" i="5" s="1"/>
  <c r="I245" i="5" s="1"/>
  <c r="I246" i="5" s="1"/>
  <c r="I247" i="5" s="1"/>
  <c r="I91" i="5"/>
  <c r="I92" i="5" s="1"/>
  <c r="I93" i="5" s="1"/>
  <c r="I94" i="5" s="1"/>
  <c r="I95" i="5" s="1"/>
  <c r="I96" i="5" s="1"/>
  <c r="I97" i="5" s="1"/>
  <c r="I98" i="5" s="1"/>
  <c r="I99" i="5" s="1"/>
  <c r="I214" i="5"/>
  <c r="I215" i="5" s="1"/>
  <c r="I216" i="5" s="1"/>
  <c r="I217" i="5" s="1"/>
  <c r="I218" i="5" s="1"/>
  <c r="I264" i="5"/>
  <c r="I265" i="5" s="1"/>
  <c r="I266" i="5" s="1"/>
  <c r="I267" i="5" s="1"/>
  <c r="I268" i="5" s="1"/>
  <c r="I269" i="5" s="1"/>
  <c r="I100" i="5"/>
  <c r="I101" i="5" s="1"/>
  <c r="I102" i="5" s="1"/>
  <c r="I103" i="5" s="1"/>
  <c r="I104" i="5" s="1"/>
  <c r="I182" i="5"/>
  <c r="I183" i="5" s="1"/>
  <c r="I184" i="5" s="1"/>
  <c r="I186" i="5"/>
  <c r="I187" i="5" s="1"/>
  <c r="I188" i="5" s="1"/>
  <c r="I189" i="5" s="1"/>
  <c r="I585" i="5"/>
  <c r="I586" i="5" s="1"/>
  <c r="I587" i="5" s="1"/>
  <c r="I588" i="5" s="1"/>
  <c r="I615" i="5"/>
  <c r="I616" i="5" s="1"/>
  <c r="I617" i="5" s="1"/>
  <c r="I698" i="5"/>
  <c r="I699" i="5" s="1"/>
  <c r="I700" i="5" s="1"/>
  <c r="I701" i="5" s="1"/>
  <c r="I618" i="5"/>
  <c r="I609" i="5"/>
  <c r="I610" i="5" s="1"/>
  <c r="I611" i="5" s="1"/>
  <c r="I803" i="5"/>
  <c r="I804" i="5" s="1"/>
  <c r="I805" i="5" s="1"/>
  <c r="I866" i="5"/>
  <c r="I867" i="5" s="1"/>
  <c r="I868" i="5" s="1"/>
  <c r="I869" i="5" s="1"/>
  <c r="I1045" i="5"/>
  <c r="I1046" i="5" s="1"/>
  <c r="I1047" i="5" s="1"/>
  <c r="I1048" i="5" s="1"/>
  <c r="I934" i="5"/>
  <c r="I935" i="5" s="1"/>
  <c r="I936" i="5" s="1"/>
  <c r="I937" i="5" s="1"/>
  <c r="G934" i="5"/>
  <c r="I1142" i="5"/>
  <c r="I1143" i="5" s="1"/>
  <c r="I1144" i="5" s="1"/>
  <c r="I1083" i="5"/>
  <c r="I1084" i="5" s="1"/>
  <c r="I1085" i="5" s="1"/>
  <c r="I1086" i="5" s="1"/>
  <c r="I1087" i="5" s="1"/>
  <c r="I619" i="5" l="1"/>
  <c r="I669" i="5"/>
  <c r="I1155" i="5"/>
  <c r="I1191" i="5"/>
  <c r="I356" i="5"/>
  <c r="I357" i="5" s="1"/>
  <c r="I358" i="5" s="1"/>
  <c r="I359" i="5" s="1"/>
  <c r="I360" i="5" s="1"/>
  <c r="I361" i="5" s="1"/>
  <c r="I362" i="5" s="1"/>
  <c r="I352" i="5"/>
  <c r="H1198" i="5"/>
  <c r="G1198" i="5" s="1"/>
  <c r="I75" i="5"/>
  <c r="I76" i="5" s="1"/>
  <c r="I77" i="5" s="1"/>
  <c r="I78" i="5" s="1"/>
  <c r="I79" i="5" s="1"/>
  <c r="I72" i="5"/>
  <c r="I73" i="5" s="1"/>
  <c r="I74" i="5" s="1"/>
  <c r="I408" i="5"/>
  <c r="I409" i="5"/>
  <c r="I410" i="5" s="1"/>
  <c r="I411" i="5" s="1"/>
  <c r="I412" i="5" s="1"/>
  <c r="I413" i="5" s="1"/>
  <c r="I414" i="5" s="1"/>
  <c r="I415" i="5" s="1"/>
  <c r="I416" i="5" s="1"/>
  <c r="I417" i="5" s="1"/>
  <c r="I418" i="5" s="1"/>
  <c r="I1192" i="5" l="1"/>
  <c r="I670" i="5"/>
  <c r="I620" i="5"/>
  <c r="I353" i="5"/>
  <c r="I671" i="5" l="1"/>
  <c r="I1193" i="5"/>
  <c r="H1190" i="5"/>
  <c r="G1190" i="5" s="1"/>
  <c r="H870" i="5"/>
  <c r="G870" i="5" s="1"/>
  <c r="H1152" i="5"/>
  <c r="G1152" i="5" s="1"/>
  <c r="H744" i="5"/>
  <c r="G744" i="5" s="1"/>
  <c r="H1145" i="5"/>
  <c r="G1145" i="5" s="1"/>
  <c r="H698" i="5"/>
  <c r="G698" i="5" s="1"/>
  <c r="H909" i="5"/>
  <c r="G909" i="5" s="1"/>
  <c r="H784" i="5"/>
  <c r="G784" i="5" s="1"/>
  <c r="H891" i="5"/>
  <c r="G891" i="5" s="1"/>
  <c r="H1117" i="5"/>
  <c r="G1117" i="5" s="1"/>
  <c r="H749" i="5"/>
  <c r="G749" i="5" s="1"/>
  <c r="H1041" i="5"/>
  <c r="G1041" i="5" s="1"/>
  <c r="H862" i="5"/>
  <c r="G862" i="5" s="1"/>
  <c r="H724" i="5"/>
  <c r="G724" i="5" s="1"/>
  <c r="H1016" i="5"/>
  <c r="G1016" i="5" s="1"/>
  <c r="H1121" i="5"/>
  <c r="G1121" i="5" s="1"/>
  <c r="H683" i="5"/>
  <c r="G683" i="5" s="1"/>
  <c r="H806" i="5"/>
  <c r="G806" i="5" s="1"/>
  <c r="H1020" i="5"/>
  <c r="G1020" i="5" s="1"/>
  <c r="H768" i="5"/>
  <c r="G768" i="5" s="1"/>
  <c r="H779" i="5"/>
  <c r="G779" i="5" s="1"/>
  <c r="H763" i="5"/>
  <c r="G763" i="5" s="1"/>
  <c r="H966" i="5"/>
  <c r="G966" i="5" s="1"/>
  <c r="H1125" i="5"/>
  <c r="G1125" i="5" s="1"/>
  <c r="H1079" i="5"/>
  <c r="G1079" i="5" s="1"/>
  <c r="H1004" i="5"/>
  <c r="G1004" i="5" s="1"/>
  <c r="H953" i="5"/>
  <c r="G953" i="5" s="1"/>
  <c r="H694" i="5"/>
  <c r="G694" i="5" s="1"/>
  <c r="H1135" i="5"/>
  <c r="G1135" i="5" s="1"/>
  <c r="H672" i="5"/>
  <c r="G672" i="5" s="1"/>
  <c r="H691" i="5"/>
  <c r="G691" i="5" s="1"/>
  <c r="H706" i="5"/>
  <c r="G706" i="5" s="1"/>
  <c r="H710" i="5"/>
  <c r="G710" i="5" s="1"/>
  <c r="H913" i="5"/>
  <c r="G913" i="5" s="1"/>
  <c r="H818" i="5"/>
  <c r="G818" i="5" s="1"/>
  <c r="H1045" i="5"/>
  <c r="G1045" i="5" s="1"/>
  <c r="H814" i="5"/>
  <c r="G814" i="5" s="1"/>
  <c r="H1083" i="5"/>
  <c r="G1083" i="5" s="1"/>
  <c r="H790" i="5"/>
  <c r="G790" i="5" s="1"/>
  <c r="H1142" i="5"/>
  <c r="G1142" i="5" s="1"/>
  <c r="H960" i="5"/>
  <c r="G960" i="5" s="1"/>
  <c r="H850" i="5"/>
  <c r="G850" i="5" s="1"/>
  <c r="H687" i="5"/>
  <c r="G687" i="5" s="1"/>
  <c r="H963" i="5"/>
  <c r="G963" i="5" s="1"/>
  <c r="H1150" i="5"/>
  <c r="G1150" i="5" s="1"/>
  <c r="H842" i="5"/>
  <c r="G842" i="5" s="1"/>
  <c r="H734" i="5"/>
  <c r="G734" i="5" s="1"/>
  <c r="H1113" i="5"/>
  <c r="G1113" i="5" s="1"/>
  <c r="H866" i="5"/>
  <c r="G866" i="5" s="1"/>
  <c r="H970" i="5"/>
  <c r="G970" i="5" s="1"/>
  <c r="H676" i="5"/>
  <c r="G676" i="5" s="1"/>
  <c r="H894" i="5"/>
  <c r="G894" i="5" s="1"/>
  <c r="H774" i="5"/>
  <c r="G774" i="5" s="1"/>
  <c r="H834" i="5"/>
  <c r="G834" i="5" s="1"/>
  <c r="H1109" i="5"/>
  <c r="G1109" i="5" s="1"/>
  <c r="H1105" i="5"/>
  <c r="G1105" i="5" s="1"/>
  <c r="H1156" i="5"/>
  <c r="G1156" i="5" s="1"/>
  <c r="H957" i="5"/>
  <c r="G957" i="5" s="1"/>
  <c r="H796" i="5"/>
  <c r="G796" i="5" s="1"/>
  <c r="H1165" i="5"/>
  <c r="G1165" i="5" s="1"/>
  <c r="H950" i="5"/>
  <c r="G950" i="5" s="1"/>
  <c r="H846" i="5"/>
  <c r="G846" i="5" s="1"/>
  <c r="H1089" i="5"/>
  <c r="G1089" i="5" s="1"/>
  <c r="H811" i="5"/>
  <c r="G811" i="5" s="1"/>
  <c r="H787" i="5"/>
  <c r="G787" i="5" s="1"/>
  <c r="H1012" i="5"/>
  <c r="G1012" i="5" s="1"/>
  <c r="H793" i="5"/>
  <c r="G793" i="5" s="1"/>
  <c r="H737" i="5"/>
  <c r="G737" i="5" s="1"/>
  <c r="H1000" i="5"/>
  <c r="G1000" i="5" s="1"/>
  <c r="H1148" i="5"/>
  <c r="G1148" i="5" s="1"/>
  <c r="H826" i="5"/>
  <c r="G826" i="5" s="1"/>
  <c r="H730" i="5"/>
  <c r="G730" i="5" s="1"/>
  <c r="H809" i="5"/>
  <c r="G809" i="5" s="1"/>
  <c r="H1095" i="5"/>
  <c r="G1095" i="5" s="1"/>
  <c r="H888" i="5"/>
  <c r="G888" i="5" s="1"/>
  <c r="H1162" i="5"/>
  <c r="G1162" i="5" s="1"/>
  <c r="H822" i="5"/>
  <c r="G822" i="5" s="1"/>
  <c r="H947" i="5"/>
  <c r="G947" i="5" s="1"/>
  <c r="H755" i="5"/>
  <c r="G755" i="5" s="1"/>
  <c r="H702" i="5"/>
  <c r="G702" i="5" s="1"/>
  <c r="H1168" i="5"/>
  <c r="G1168" i="5" s="1"/>
  <c r="H1159" i="5"/>
  <c r="G1159" i="5" s="1"/>
  <c r="H854" i="5"/>
  <c r="G854" i="5" s="1"/>
  <c r="H1029" i="5"/>
  <c r="G1029" i="5" s="1"/>
  <c r="H830" i="5"/>
  <c r="G830" i="5" s="1"/>
  <c r="H759" i="5"/>
  <c r="G759" i="5" s="1"/>
  <c r="H858" i="5"/>
  <c r="G858" i="5" s="1"/>
  <c r="H897" i="5"/>
  <c r="G897" i="5" s="1"/>
  <c r="H803" i="5"/>
  <c r="G803" i="5" s="1"/>
  <c r="H740" i="5"/>
  <c r="G740" i="5" s="1"/>
  <c r="H1130" i="5"/>
  <c r="G1130" i="5" s="1"/>
  <c r="H1049" i="5"/>
  <c r="G1049" i="5" s="1"/>
  <c r="H1025" i="5"/>
  <c r="G1025" i="5" s="1"/>
  <c r="H838" i="5"/>
  <c r="G838" i="5" s="1"/>
  <c r="H1008" i="5"/>
  <c r="G1008" i="5" s="1"/>
  <c r="H715" i="5"/>
  <c r="G715" i="5" s="1"/>
  <c r="H727" i="5"/>
  <c r="G727" i="5" s="1"/>
  <c r="H680" i="5"/>
  <c r="G680" i="5" s="1"/>
  <c r="H1186" i="5"/>
  <c r="G1186" i="5" s="1"/>
  <c r="H719" i="5"/>
  <c r="G719" i="5" s="1"/>
  <c r="I354" i="5"/>
  <c r="H1154" i="5" l="1"/>
  <c r="G1154" i="5" s="1"/>
  <c r="H668" i="5"/>
  <c r="G668" i="5" s="1"/>
  <c r="H651" i="5"/>
  <c r="G651" i="5" s="1"/>
  <c r="H655" i="5"/>
  <c r="G655" i="5" s="1"/>
  <c r="H647" i="5"/>
  <c r="G647" i="5" s="1"/>
  <c r="H637" i="5"/>
  <c r="G637" i="5" s="1"/>
  <c r="H641" i="5"/>
  <c r="G641" i="5" s="1"/>
  <c r="H659" i="5"/>
  <c r="G659" i="5" s="1"/>
  <c r="H663" i="5"/>
  <c r="G663" i="5" s="1"/>
  <c r="H621" i="5"/>
  <c r="G621" i="5" s="1"/>
  <c r="H624" i="5"/>
  <c r="G624" i="5" s="1"/>
  <c r="H644" i="5"/>
  <c r="G644" i="5" s="1"/>
  <c r="H632" i="5"/>
  <c r="G632" i="5" s="1"/>
  <c r="H627" i="5"/>
  <c r="G627" i="5" s="1"/>
  <c r="H609" i="5"/>
  <c r="G609" i="5" s="1"/>
  <c r="H377" i="5"/>
  <c r="G377" i="5" s="1"/>
  <c r="H391" i="5"/>
  <c r="G391" i="5" s="1"/>
  <c r="H615" i="5"/>
  <c r="G615" i="5" s="1"/>
  <c r="H508" i="5"/>
  <c r="G508" i="5" s="1"/>
  <c r="H526" i="5"/>
  <c r="G526" i="5" s="1"/>
  <c r="H501" i="5"/>
  <c r="G501" i="5" s="1"/>
  <c r="H523" i="5"/>
  <c r="G523" i="5" s="1"/>
  <c r="H569" i="5"/>
  <c r="G569" i="5" s="1"/>
  <c r="H493" i="5"/>
  <c r="G493" i="5" s="1"/>
  <c r="H433" i="5"/>
  <c r="G433" i="5" s="1"/>
  <c r="H515" i="5"/>
  <c r="G515" i="5" s="1"/>
  <c r="H479" i="5"/>
  <c r="G479" i="5" s="1"/>
  <c r="H581" i="5"/>
  <c r="G581" i="5" s="1"/>
  <c r="H547" i="5"/>
  <c r="G547" i="5" s="1"/>
  <c r="H573" i="5"/>
  <c r="G573" i="5" s="1"/>
  <c r="H488" i="5"/>
  <c r="G488" i="5" s="1"/>
  <c r="H559" i="5"/>
  <c r="G559" i="5" s="1"/>
  <c r="H593" i="5"/>
  <c r="G593" i="5" s="1"/>
  <c r="H535" i="5"/>
  <c r="G535" i="5" s="1"/>
  <c r="H419" i="5"/>
  <c r="G419" i="5" s="1"/>
  <c r="H520" i="5"/>
  <c r="G520" i="5" s="1"/>
  <c r="H601" i="5"/>
  <c r="G601" i="5" s="1"/>
  <c r="H551" i="5"/>
  <c r="G551" i="5" s="1"/>
  <c r="H618" i="5"/>
  <c r="G618" i="5" s="1"/>
  <c r="H605" i="5"/>
  <c r="G605" i="5" s="1"/>
  <c r="H585" i="5"/>
  <c r="G585" i="5" s="1"/>
  <c r="H458" i="5"/>
  <c r="G458" i="5" s="1"/>
  <c r="H564" i="5"/>
  <c r="G564" i="5" s="1"/>
  <c r="H447" i="5"/>
  <c r="G447" i="5" s="1"/>
  <c r="H576" i="5"/>
  <c r="G576" i="5" s="1"/>
  <c r="H539" i="5"/>
  <c r="G539" i="5" s="1"/>
  <c r="H597" i="5"/>
  <c r="G597" i="5" s="1"/>
  <c r="H589" i="5"/>
  <c r="G589" i="5" s="1"/>
  <c r="H472" i="5"/>
  <c r="G472" i="5" s="1"/>
  <c r="H612" i="5"/>
  <c r="G612" i="5" s="1"/>
  <c r="H555" i="5"/>
  <c r="G555" i="5" s="1"/>
  <c r="H543" i="5"/>
  <c r="G543" i="5" s="1"/>
  <c r="H531" i="5"/>
  <c r="G531" i="5" s="1"/>
  <c r="H405" i="5"/>
  <c r="G405" i="5" s="1"/>
  <c r="I355" i="5"/>
  <c r="H123" i="5"/>
  <c r="G123" i="5" s="1"/>
  <c r="H239" i="5"/>
  <c r="G239" i="5" s="1"/>
  <c r="H34" i="5"/>
  <c r="G34" i="5" s="1"/>
  <c r="H264" i="5"/>
  <c r="G264" i="5" s="1"/>
  <c r="H147" i="5"/>
  <c r="G147" i="5" s="1"/>
  <c r="H182" i="5"/>
  <c r="G182" i="5" s="1"/>
  <c r="H110" i="5"/>
  <c r="G110" i="5" s="1"/>
  <c r="H209" i="5"/>
  <c r="G209" i="5" s="1"/>
  <c r="H214" i="5"/>
  <c r="G214" i="5" s="1"/>
  <c r="H196" i="5"/>
  <c r="G196" i="5" s="1"/>
  <c r="H226" i="5"/>
  <c r="G226" i="5" s="1"/>
  <c r="H91" i="5"/>
  <c r="G91" i="5" s="1"/>
  <c r="H166" i="5"/>
  <c r="G166" i="5" s="1"/>
  <c r="H190" i="5"/>
  <c r="G190" i="5" s="1"/>
  <c r="H283" i="5"/>
  <c r="G283" i="5" s="1"/>
  <c r="H278" i="5"/>
  <c r="G278" i="5" s="1"/>
  <c r="H39" i="5"/>
  <c r="G39" i="5" s="1"/>
  <c r="H349" i="5"/>
  <c r="G349" i="5" s="1"/>
  <c r="H23" i="5" l="1"/>
  <c r="G23" i="5" s="1"/>
  <c r="H259" i="5"/>
  <c r="G259" i="5" s="1"/>
  <c r="H132" i="5"/>
  <c r="G132" i="5" s="1"/>
  <c r="H69" i="5"/>
  <c r="G69" i="5" s="1"/>
  <c r="H143" i="5"/>
  <c r="G143" i="5" s="1"/>
  <c r="H152" i="5"/>
  <c r="G152" i="5" s="1"/>
  <c r="H163" i="5"/>
  <c r="G163" i="5" s="1"/>
  <c r="H176" i="5"/>
  <c r="G176" i="5" s="1"/>
  <c r="H171" i="5"/>
  <c r="G171" i="5" s="1"/>
  <c r="H288" i="5"/>
  <c r="G288" i="5" s="1"/>
  <c r="H63" i="5"/>
  <c r="G63" i="5" s="1"/>
  <c r="H338" i="5"/>
  <c r="G338" i="5" s="1"/>
  <c r="H299" i="5"/>
  <c r="G299" i="5" s="1"/>
  <c r="H55" i="5"/>
  <c r="G55" i="5" s="1"/>
  <c r="H201" i="5"/>
  <c r="G201" i="5" s="1"/>
  <c r="H220" i="5"/>
  <c r="G220" i="5" s="1"/>
  <c r="H52" i="5"/>
  <c r="G52" i="5" s="1"/>
  <c r="H28" i="5"/>
  <c r="G28" i="5" s="1"/>
  <c r="H57" i="5"/>
  <c r="G57" i="5" s="1"/>
  <c r="H105" i="5"/>
  <c r="G105" i="5" s="1"/>
  <c r="H100" i="5"/>
  <c r="G100" i="5" s="1"/>
  <c r="H114" i="5"/>
  <c r="G114" i="5" s="1"/>
  <c r="H80" i="5"/>
  <c r="G80" i="5" s="1"/>
  <c r="H6" i="5"/>
  <c r="G6" i="5" s="1"/>
  <c r="H270" i="5"/>
  <c r="G270" i="5" s="1"/>
  <c r="H18" i="5"/>
  <c r="G18" i="5" s="1"/>
  <c r="H48" i="5"/>
  <c r="G48" i="5" s="1"/>
  <c r="H206" i="5"/>
  <c r="G206" i="5" s="1"/>
  <c r="H275" i="5"/>
  <c r="G275" i="5" s="1"/>
  <c r="H248" i="5"/>
  <c r="G248" i="5" s="1"/>
  <c r="H158" i="5"/>
  <c r="G158" i="5" s="1"/>
  <c r="H314" i="5"/>
  <c r="G314" i="5" s="1"/>
  <c r="H232" i="5"/>
  <c r="G232" i="5" s="1"/>
  <c r="H11" i="5"/>
  <c r="G11" i="5" s="1"/>
  <c r="H138" i="5"/>
  <c r="G138" i="5" s="1"/>
  <c r="H327" i="5"/>
  <c r="G327" i="5" s="1"/>
  <c r="H186" i="5"/>
  <c r="G186" i="5" s="1"/>
  <c r="L2" i="5" l="1"/>
  <c r="E7" i="4" s="1"/>
  <c r="L3" i="5"/>
  <c r="E8" i="4" s="1"/>
  <c r="L1" i="5"/>
  <c r="D4" i="11" l="1"/>
  <c r="E4" i="11" s="1"/>
  <c r="F7" i="4"/>
  <c r="I1" i="5"/>
  <c r="E6" i="4"/>
  <c r="D5" i="11"/>
  <c r="E5" i="11" s="1"/>
  <c r="F8" i="4"/>
  <c r="D3" i="11" l="1"/>
  <c r="E3" i="11" s="1"/>
  <c r="E6" i="11" s="1"/>
  <c r="D6" i="10" s="1"/>
  <c r="D7" i="10" s="1"/>
  <c r="D10" i="10" s="1"/>
  <c r="D12" i="10" s="1"/>
  <c r="D14" i="10" s="1"/>
  <c r="D4" i="9" s="1"/>
  <c r="E17" i="4"/>
  <c r="F6" i="4"/>
  <c r="F17" i="4" s="1"/>
  <c r="D6" i="2" s="1"/>
  <c r="D7" i="2" s="1"/>
  <c r="D10" i="2" s="1"/>
  <c r="D12" i="2" s="1"/>
  <c r="D14" i="2" s="1"/>
  <c r="D18" i="2" s="1"/>
  <c r="D19" i="2" l="1"/>
  <c r="D7" i="9"/>
  <c r="D8" i="9" s="1"/>
  <c r="D5" i="9"/>
  <c r="D6" i="9"/>
  <c r="G1" i="13" l="1"/>
  <c r="Q1" i="14"/>
  <c r="D20" i="2"/>
  <c r="D21" i="2" s="1"/>
  <c r="D22" i="2" s="1"/>
  <c r="G17" i="8" l="1"/>
  <c r="H4" i="7"/>
  <c r="L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51" authorId="0" shapeId="0" xr:uid="{00000000-0006-0000-0300-000001000000}">
      <text>
        <r>
          <rPr>
            <sz val="14"/>
            <color theme="1"/>
            <rFont val="Times New Roman"/>
            <scheme val="minor"/>
          </rPr>
          <t>======
ID#AAABws1jv3s
bui dinh son Son    (2025-05-15 08:20:01)
Mới cập nhật lại người ra yêu cầu báo cáo tiến độ</t>
        </r>
      </text>
    </comment>
  </commentList>
  <extLst>
    <ext xmlns:r="http://schemas.openxmlformats.org/officeDocument/2006/relationships" uri="GoogleSheetsCustomDataVersion2">
      <go:sheetsCustomData xmlns:go="http://customooxmlschemas.google.com/" r:id="rId1" roundtripDataSignature="AMtx7mgzii65YBgpO37nnZaRv+iAdPaes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400-000001000000}">
      <text>
        <r>
          <rPr>
            <sz val="14"/>
            <color theme="1"/>
            <rFont val="Times New Roman"/>
            <scheme val="minor"/>
          </rPr>
          <t>======
ID#AAABws1jv3w
bui dinh son Son    (2025-05-15 08:20:01)
Giá trị cần giữ nguyên</t>
        </r>
      </text>
    </comment>
  </commentList>
  <extLst>
    <ext xmlns:r="http://schemas.openxmlformats.org/officeDocument/2006/relationships" uri="GoogleSheetsCustomDataVersion2">
      <go:sheetsCustomData xmlns:go="http://customooxmlschemas.google.com/" r:id="rId1" roundtripDataSignature="AMtx7mjglcIaSKkgmE9VhSK3BMsud3E6Sg=="/>
    </ext>
  </extLst>
</comments>
</file>

<file path=xl/sharedStrings.xml><?xml version="1.0" encoding="utf-8"?>
<sst xmlns="http://schemas.openxmlformats.org/spreadsheetml/2006/main" count="2220" uniqueCount="1648">
  <si>
    <t>Bảng tính toán giá trị phần mềm</t>
  </si>
  <si>
    <t>STT</t>
  </si>
  <si>
    <t>Hạng mục</t>
  </si>
  <si>
    <t>Diễn giải</t>
  </si>
  <si>
    <t>Giá trị</t>
  </si>
  <si>
    <t>Ghi chú</t>
  </si>
  <si>
    <t>I</t>
  </si>
  <si>
    <t>Tính điểm trường hợp sử dụng Use case</t>
  </si>
  <si>
    <t>Điểm Actor (TAW)</t>
  </si>
  <si>
    <t>TAW</t>
  </si>
  <si>
    <t>Điểm Use-case (TBF)</t>
  </si>
  <si>
    <t>TBF</t>
  </si>
  <si>
    <t>Tính điểm UUCP</t>
  </si>
  <si>
    <t>UUCP = TAW +TBF</t>
  </si>
  <si>
    <t>UUCP</t>
  </si>
  <si>
    <t>Hệ số phức tạp về KT-CN (TCF)</t>
  </si>
  <si>
    <t>TCF = 0,6 + (0,01 x TFW)</t>
  </si>
  <si>
    <t>TCF</t>
  </si>
  <si>
    <t>Hệ số phức tạp về môi trường (EF)</t>
  </si>
  <si>
    <t>EF = 1,4 + (-0,03 x EFW)</t>
  </si>
  <si>
    <t>EF</t>
  </si>
  <si>
    <t>Tính điểm AUCP</t>
  </si>
  <si>
    <t>AUCP = UUCP x TCF x EF</t>
  </si>
  <si>
    <t>AUCP</t>
  </si>
  <si>
    <t>II</t>
  </si>
  <si>
    <t>Nội suy thời gian lao động (P)</t>
  </si>
  <si>
    <t>P</t>
  </si>
  <si>
    <t>III</t>
  </si>
  <si>
    <t>Giá trị nỗ lực thực tế (E)</t>
  </si>
  <si>
    <t>E = 10/6 x AUCP</t>
  </si>
  <si>
    <t>E</t>
  </si>
  <si>
    <t>IV</t>
  </si>
  <si>
    <t>Mức lương lao động bình quân (H)</t>
  </si>
  <si>
    <t>H</t>
  </si>
  <si>
    <t>Kỹ sư bậc 2</t>
  </si>
  <si>
    <t>V</t>
  </si>
  <si>
    <t>Giá trị phần mềm nội bộ (G)</t>
  </si>
  <si>
    <t>G = 1,4 x E x P x H</t>
  </si>
  <si>
    <t>G</t>
  </si>
  <si>
    <t>Bảng tổng hợp chi phí phần mềm</t>
  </si>
  <si>
    <t>Khoản mục chi phí</t>
  </si>
  <si>
    <t>Cách tính</t>
  </si>
  <si>
    <t>Ký hiệu</t>
  </si>
  <si>
    <t>Chi phí trực tiếp xây dựng, phát triển, nâng cấp, mở rộng phần mềm nội bộ</t>
  </si>
  <si>
    <t>1,4 x E x P x H</t>
  </si>
  <si>
    <t>Chi phí chung</t>
  </si>
  <si>
    <t>G x 65%</t>
  </si>
  <si>
    <t>C</t>
  </si>
  <si>
    <t>Thu nhập chịu thuế tính trước</t>
  </si>
  <si>
    <t>(G+C) x 6%</t>
  </si>
  <si>
    <t>TL</t>
  </si>
  <si>
    <t>Chi phí xây dựng, phát triển, nâng cấp, mở rông phần mềm nội bộ</t>
  </si>
  <si>
    <t>G + C + TL</t>
  </si>
  <si>
    <t>Gpm</t>
  </si>
  <si>
    <t>TỔNG CỘNG</t>
  </si>
  <si>
    <t>PHỤ LỤC III: BẢNG TÍNH TOÁN ĐIỂM CÁC TÁC NHÂN (ACTORS) TƯƠNG TÁC, TRAO ĐỔI THÔNG TIN VỚI PHẦN MỀM</t>
  </si>
  <si>
    <t>Loại Actor</t>
  </si>
  <si>
    <t>Mô tả</t>
  </si>
  <si>
    <t>Số tác nhân</t>
  </si>
  <si>
    <t>Trọng số</t>
  </si>
  <si>
    <t>Điểm từng loại tác nhân</t>
  </si>
  <si>
    <t>Đơn giản</t>
  </si>
  <si>
    <t>Thuộc loại giao diện của chương trình</t>
  </si>
  <si>
    <t>Trung bình</t>
  </si>
  <si>
    <t>Giao diện tương tác hoặc phục vụ một giao thức hoạt động</t>
  </si>
  <si>
    <t>Phức tạp</t>
  </si>
  <si>
    <t>Giao diện đồ họa</t>
  </si>
  <si>
    <t>Cộng (1+2+3)</t>
  </si>
  <si>
    <t>Actor – Tác nhân: là người hay hệ thống bên ngoài tương tác, trao đổi thông tin với hệ thống</t>
  </si>
  <si>
    <t>BẢNG TÁC NHÂN THAM GIA HỆ THỐNG</t>
  </si>
  <si>
    <t>Tên Actor</t>
  </si>
  <si>
    <t>Phân loại tác nhân</t>
  </si>
  <si>
    <t>QTHT</t>
  </si>
  <si>
    <t>Quản trị hệ thống thực hiện tích hợp đồng bộ, quản lý, cập nhật danh mục dùng chung</t>
  </si>
  <si>
    <t>QTĐV</t>
  </si>
  <si>
    <t>Quản trị đơn vị là cán bộ đóng vai trò quản trị của từng đơn vị trực thuộc Bộ, thiết lập cấu hình nhận thông tin, cảnh báo</t>
  </si>
  <si>
    <t>LGSP</t>
  </si>
  <si>
    <t>Nền tảng tích hợp, chia sẻ dữ liệu cấp của Bộ chứa các dịch vụ dùng chung để chia sẻ dữ liệu giữa các hệ thống thông tin của các cơ quan, đơn vị</t>
  </si>
  <si>
    <t>HTK</t>
  </si>
  <si>
    <t>Các hệ thống khác của Bộ đang sử dụng (Phần mềm quản lý văn bản và điều hành, Phần mềm quản lý nhiệm vụ lãnh đạo bộ giao…)</t>
  </si>
  <si>
    <t>Lãnh đạo bộ</t>
  </si>
  <si>
    <t>Lãnh đạo bộ bao gồm bộ trưởng, thứ trưởng</t>
  </si>
  <si>
    <t>Lãnh đạo cục/vụ</t>
  </si>
  <si>
    <t>Lãnh đạo cục/vụ bao gồm vụ trưởng, phó vụ trưởng, cục trưởng, phó cục trưởng các cục/vụ.</t>
  </si>
  <si>
    <t>Chuyên viên nhập liệu</t>
  </si>
  <si>
    <t>Cán bộ chuyên trách là cán bộ đóng vai trò tham gia hệ thống của từng đơn vị trực thuộc</t>
  </si>
  <si>
    <t xml:space="preserve"> - Loại đơn giản: Một máy tính với giao diện lập trình ứng dụng API</t>
  </si>
  <si>
    <t xml:space="preserve"> - Loại trung bình: Hoặc là giao diện người - máy qua “command line” hoặc thông qua một giao thức nào đó nhưng không có lập trình qua API</t>
  </si>
  <si>
    <t xml:space="preserve"> - Loại phức tạp: giao diện người - máy qua GUI (giao diện đồ hoạ)</t>
  </si>
  <si>
    <t>PHỤ LỤC IV: BẢNG TÍNH TOÁN ĐIỂM CÁC TRƯỜNG HỢP SỬ DỤNG (USE CASE)</t>
  </si>
  <si>
    <t>Loại Use Case</t>
  </si>
  <si>
    <t>Trọng số UCP chuẩn</t>
  </si>
  <si>
    <t>Hệ số BMT</t>
  </si>
  <si>
    <t>Số trường hợp sử dụng</t>
  </si>
  <si>
    <t>Điểm của từng trường hợp</t>
  </si>
  <si>
    <t>B</t>
  </si>
  <si>
    <t>Các yêu cầu phải thỏa mãn thì phần mềm mới được chấp nhận</t>
  </si>
  <si>
    <t>Use case đơn giản</t>
  </si>
  <si>
    <t>Có số lượng giao dịch &lt;4</t>
  </si>
  <si>
    <t>Use case trung bình</t>
  </si>
  <si>
    <t>4&lt;=Có số lượng giao dịch &lt; =7</t>
  </si>
  <si>
    <t>Use case phức tạp</t>
  </si>
  <si>
    <t xml:space="preserve">7&lt;Có số lượng giao dịch </t>
  </si>
  <si>
    <t>M</t>
  </si>
  <si>
    <t>Các chức năng không phải cốt lõi hoặc các chức năng phụ trợ theo yêu cầu của bên đặt hàng</t>
  </si>
  <si>
    <t>T</t>
  </si>
  <si>
    <t>Các yêu cầu được bên PT PM tư vấn hoặc đưa ra thêm để bên đặt hàng lựa chọn thêm nếu muốn</t>
  </si>
  <si>
    <t>TBF = Cộng (1+2+3)</t>
  </si>
  <si>
    <t xml:space="preserve">Ghi chú: </t>
  </si>
  <si>
    <t>BMT</t>
  </si>
  <si>
    <t>Trọng số:</t>
  </si>
  <si>
    <t>B: Có hệ số bằng 1</t>
  </si>
  <si>
    <t>M: Có hệ số bằng 1.2</t>
  </si>
  <si>
    <t>T: Có hệ số bằng 1.5</t>
  </si>
  <si>
    <t>Điểm của từng loại trường hợp sử dụng = Số trường hợp sử dụng x Trọng số x Hệ số BMT</t>
  </si>
  <si>
    <t>SUM =</t>
  </si>
  <si>
    <t>TT</t>
  </si>
  <si>
    <t>Tên Use Case</t>
  </si>
  <si>
    <t>Tên tác nhân chính</t>
  </si>
  <si>
    <t>Mô tả trường hợp sử dụng</t>
  </si>
  <si>
    <t>Mức độ cần thiết</t>
  </si>
  <si>
    <t>Phân loại Use Case</t>
  </si>
  <si>
    <t>SL</t>
  </si>
  <si>
    <t>A</t>
  </si>
  <si>
    <t>Giao diện Web</t>
  </si>
  <si>
    <t>Thông tin chung: Thông tin đơn vị, Thông tin lưu trữ, License</t>
  </si>
  <si>
    <t>Thiết lập hệ thống</t>
  </si>
  <si>
    <t>Quản trị hệ thống</t>
  </si>
  <si>
    <t>Quản trị hệ thống Thiết lập thông tin tổ chức. Hệ thống cập nhật thông tin tổ chức và thông báo kết quả xử lý cho Quản trị hệ thống</t>
  </si>
  <si>
    <t>Quản trị hệ thống có thể cấu hình, chỉnh sửa giao diện sử dụng và ghi lại. Hệ thống xử lý theo yêu cầu và thông báo kết quả xử lý cho Quản trị hệ thống</t>
  </si>
  <si>
    <t>Quản trị hệ thống có cấu hình banner cho hệ thống theo khoảng thời gian áp dụng. Hệ thống xử lý theo yêu cầu và thông báo kết quả xử lý cho Quản trị hệ thống</t>
  </si>
  <si>
    <t>Quản trị hệ thống có thể cấu hình ngày lễ cho hệ thống. Hệ thống xử lý theo yêu cầu và thông báo kết quả xử lý cho Quản trị hệ thống</t>
  </si>
  <si>
    <t>Cơ cấu tổ chức</t>
  </si>
  <si>
    <t>Quản trị hệ thống có thể xem danh sách phòng ban. Hệ thống xử lý theo yêu cầu và hiển thị phòng ban cho Quản trị hệ thống</t>
  </si>
  <si>
    <t>Quản trị hệ thống có thể xem danh sách chức vụ. Hệ thống xử lý theo yêu cầu và hiển thị danh sách chức vụ cho Quản trị hệ thống</t>
  </si>
  <si>
    <t>Quản trị hệ thống có thể xem danh sách chức danh. Hệ thống xử lý theo yêu cầu và hiển thị danh sách chức danh cho Quản trị hệ thống</t>
  </si>
  <si>
    <t>Quản trị hệ thống xem danh sách người dùng. Hệ thống xử lý theo yêu cầu và hiển thị danh sách người dùngcho Quản trị hệ thống</t>
  </si>
  <si>
    <t>Quản trị hệ thống xem danh sách người dùng theo từng nhóm. Hệ thống xử lý theo yêu cầu và hiển thị nhóm người dùng cho Quản trị hệ thống</t>
  </si>
  <si>
    <t>I.1</t>
  </si>
  <si>
    <t>Quản lý Vai trò, quyền hạn, nhóm quyền</t>
  </si>
  <si>
    <t>Quản lý quyền</t>
  </si>
  <si>
    <t>Quản trị hệ thống thêm quyền. Hệ thống xử lý theo yêu cầu và thông báo kết quả xử lý cho Quản trị hệ thống</t>
  </si>
  <si>
    <t>Quản trị hệ thống sửa quyền. Hệ thống xử lý theo yêu cầu và thông báo kết quả xử lý cho Quản trị hệ thống</t>
  </si>
  <si>
    <t>Quản trị hệ thống xóa quyền. Hệ thống xử lý theo yêu cầu và thông báo kết quả xử lý cho Quản trị hệ thống</t>
  </si>
  <si>
    <t>Quản trị hệ thống tìm kiếm quyền. Hệ thống xử lý theo yêu cầu và thông báo kết quả xử lý cho Quản trị hệ thống</t>
  </si>
  <si>
    <t>Quản lý vai trò</t>
  </si>
  <si>
    <t>Quản trị hệ thống thêm vai trò. Hệ thống xử lý theo yêu cầu và thông báo kết quả xử lý cho Quản trị hệ thống</t>
  </si>
  <si>
    <t>Quản trị hệ thống sửa vai trò. Hệ thống xử lý theo yêu cầu và thông báo kết quả xử lý cho Quản trị hệ thống</t>
  </si>
  <si>
    <t>Quản trị hệ thống xóa vai trò. Hệ thống xử lý theo yêu cầu và thông báo kết quả xử lý cho Quản trị hệ thống</t>
  </si>
  <si>
    <t>Quản trị hệ thống tìm kiếm vai trò. Hệ thống xử lý theo yêu cầu và thông báo kết quả xử lý cho Quản trị hệ thống</t>
  </si>
  <si>
    <t>Quản lý nhóm quyền</t>
  </si>
  <si>
    <t>Quản trị hệ thống Thêm quyền vào nhóm quyền. Hệ thống xử lý theo yêu cầu và thông báo kết quả xử lý cho Quản trị hệ thống</t>
  </si>
  <si>
    <t>Quản trị hệ thống Xóa quyền khỏi nhóm quyền. Hệ thống xử lý theo yêu cầu và thông báo kết quả xử lý cho Quản trị hệ thống</t>
  </si>
  <si>
    <t>Quản trị hệ thống thêm nhóm quyền. Hệ thống xử lý theo yêu cầu và thông báo kết quả xử lý cho Quản trị hệ thống</t>
  </si>
  <si>
    <t>Quản trị hệ thống xóa nhóm quyền. Hệ thống xử lý theo yêu cầu và thông báo kết quả xử lý cho Quản trị hệ thống</t>
  </si>
  <si>
    <t>Quản trị hệ thống sửa nhóm quyền. Hệ thống xử lý theo yêu cầu và thông báo kết quả xử lý cho Quản trị hệ thống</t>
  </si>
  <si>
    <t>Phân quyền cho vai trò</t>
  </si>
  <si>
    <t>Quản trị hệ thống Thêm quyền vào vai trò. Hệ thống xử lý theo yêu cầu và thông báo kết quả xử lý cho Quản trị hệ thống</t>
  </si>
  <si>
    <t>Quản trị hệ thống Xóa quyền khỏi vai trò. Hệ thống xử lý theo yêu cầu và thông báo kết quả xử lý cho Quản trị hệ thống</t>
  </si>
  <si>
    <t>Quản trị hệ thống Thêm nhóm quyền vào vai trò. Hệ thống xử lý theo yêu cầu và thông báo kết quả xử lý cho Quản trị hệ thống</t>
  </si>
  <si>
    <t>Quản trị hệ thống Xóa nhóm quyền vào vai trò. Hệ thống xử lý theo yêu cầu và thông báo kết quả xử lý cho Quản trị hệ thống</t>
  </si>
  <si>
    <t>Quản lý cơ quan</t>
  </si>
  <si>
    <t>Quản trị hệ thống tạo mới cơ quan / phòng ban. Hệ thống xử lý theo yêu cầu và thông báo kết quả xử lý cho Quản trị hệ thống</t>
  </si>
  <si>
    <t>Quản trị hệ thống Sửa cơ quan/ phòng ban Hệ thống xử lý theo yêu cầu và thông báo kết quả xử lý cho Quản trị hệ thống</t>
  </si>
  <si>
    <t>Quản trị hệ thống xóa cơ quan/ phòng ban. Hệ thống xử lý theo yêu cầu và thông báo kết quả xử lý cho Quản trị hệ thống</t>
  </si>
  <si>
    <t>Quản trị hệ thống tìm kiếm cơ quan/ phòng ban. Hệ thống xử lý theo yêu cầu và thông báo kết quả xử lý cho Quản trị hệ thống</t>
  </si>
  <si>
    <t>Nhật ký hoạt động</t>
  </si>
  <si>
    <t>Quản trị hệ thống xem Nhật ký đăng nhập. Hệ thống xử lý theo yêu cầu và thông báo kết quả xử lý cho Quản trị hệ thống</t>
  </si>
  <si>
    <t>Quản trị hệ thống xem nhật ký truy cập chức năng. Hệ thống xử lý theo yêu cầu và thông báo kết quả xử lý cho Quản trị hệ thống</t>
  </si>
  <si>
    <t>Nhật ký lỗi</t>
  </si>
  <si>
    <t>Quản trị hệ thống xem nhật ký lỗi. Hệ thống xử lý theo yêu cầu và thông báo kết quả xử lý cho Quản trị hệ thống</t>
  </si>
  <si>
    <t>Quản trị hệ thống xuất file nhật ký lỗi. Hệ thống xử lý theo yêu cầu và thông báo kết quả xử lý cho Quản trị hệ thống</t>
  </si>
  <si>
    <t>Định danh, xác thực truy cập</t>
  </si>
  <si>
    <t>Đăng nhập hệ thống</t>
  </si>
  <si>
    <t>Quản trị hệ thống Đăng nhập qua SSO. Hệ thống xử lý theo yêu cầu và thông báo kết quả xử lý cho Quản trị hệ thống</t>
  </si>
  <si>
    <t>Quản trị hệ thống Đăng nhập bằng tài khoản riêng. Hệ thống xử lý theo yêu cầu và thông báo kết quả xử lý cho Quản trị hệ thống</t>
  </si>
  <si>
    <t>Đăng xuất hệ thống</t>
  </si>
  <si>
    <t>Quản trị hệ thống Thoát phiên đăng nhập. Hệ thống xử lý theo yêu cầu và thông báo kết quả xử lý cho Quản trị hệ thống</t>
  </si>
  <si>
    <t>Quản lý thông tin cá nhân</t>
  </si>
  <si>
    <t>Quản trị hệ thống Xem thông tin cá nhân. Hệ thống xử lý theo yêu cầu và thông báo kết quả xử lý cho Quản trị hệ thống</t>
  </si>
  <si>
    <t>Quản trị hệ thống cập nhật thông tin cá nhân. Hệ thống xử lý theo yêu cầu và thông báo kết quả xử lý cho Quản trị hệ thống</t>
  </si>
  <si>
    <t>Quản trị hệ thống Ghi nhớ đăng nhập. Hệ thống xử lý theo yêu cầu và thông báo kết quả xử lý cho Quản trị hệ thống</t>
  </si>
  <si>
    <t>QUẢN LÝ DỮ LIỆU VÀ THU THẬP</t>
  </si>
  <si>
    <t>III.1</t>
  </si>
  <si>
    <t>Quản lý luồng dữ liệu (DataFlow)</t>
  </si>
  <si>
    <t>Quản lý danh sách luồng dữ liệu (DataFlow)</t>
  </si>
  <si>
    <t>Quản trị hệ thống có thể theo dõi danh sách luồng dữ liệu (DataFlow);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</si>
  <si>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tạo mới luồng dữ liệu (DataFlow); hệ thống tiếp nhận thông tin và thực hiện thêm mới dữ liệu, sau khi hệ thống thêm mới dữ liệu theo yêu cầu, phản hồi kết quả cho Quản trị hệ thống. Hệ thống xử lý theo yêu cầu và thông báo kết quả xử lý cho Quản trị hệ thống</t>
  </si>
  <si>
    <t>Quản trị hệ thống có thể cấu hình luồng dữ liệu (DataFlow); hệ thống tiếp nhận thông tin và thực hiện cấu hình, sau khi hệ thống cấu hình theo yêu cầu, phản hồi kết quả cho Quản trị hệ thống. Hệ thống xử lý theo yêu cầu và thông báo kết quả xử lý cho Quản trị hệ thống</t>
  </si>
  <si>
    <t>Quản trị hệ thống có thể chỉnh sửa cấu hình luồng dữ liệu (DataFlow); hệ thống tiếp nhận thông tin và thực hiện lưu dữ liệu, sau khi hệ thống lưu dữ liệu theo yêu cầu, phản hồi kết quả cho Quản trị hệ thống. Hệ thống xử lý theo yêu cầu và thông báo kết quả xử lý cho Quản trị hệ thống</t>
  </si>
  <si>
    <t>Quản trị hệ thống có thể xóa luồng dữ liệu (DataFlow); hệ thống tiếp nhận thông tin và thực hiện xóa, sau khi hệ thống xóa theo yêu cầu, phản hồi kết quả cho Quản trị hệ thống. Hệ thống xử lý theo yêu cầu và thông báo kết quả xử lý cho Quản trị hệ thống</t>
  </si>
  <si>
    <t>Quản lý cấu hình lấy dữ liệu (Get Data)</t>
  </si>
  <si>
    <t>Quản trị hệ thống có thể cấu hình Lấy dữ liệu từ Database;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</si>
  <si>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Lấy dữ liệu từ File;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</si>
  <si>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Lấy dữ liệu từ liệu từ Warehouse;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</si>
  <si>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Lấy dữ liệu từ API;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</si>
  <si>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Lấy dữ liệu cloud;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</si>
  <si>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Lấy dữ liệu từ Database;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</si>
  <si>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Lấy dữ liệu từ File;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</si>
  <si>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Lấy dữ liệu từ liệu từ Warehouse;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</si>
  <si>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Lấy dữ liệu từ API;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</si>
  <si>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Lấy dữ liệu cloud;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</si>
  <si>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Cấu hình chi tiết từng luồng dữ liệu (DataFlow)</t>
  </si>
  <si>
    <t>Quản trị hệ thống có thể cấu hình tham số kết nối đến database;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</si>
  <si>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thông số lấy dữ liệu từ file;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</si>
  <si>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tham số chi tiết dataflow kết nối với Warehouse;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</si>
  <si>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tham số chi tiết dataflow lấy dữ liệu từ API;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</si>
  <si>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thông số dataflow lấy dữ liệu từ cloud;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</si>
  <si>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cập nhật cấu hình tham số kết nối đến database;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</si>
  <si>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Phân tích Định dạng các trường dữ liệu nguồn</t>
  </si>
  <si>
    <t>Quản trị hệ thống có thể định dạng trường dữ liệu kiểu số;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</si>
  <si>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định dạng trường dữ liệu kiểu ngày tháng;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</si>
  <si>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định dạng trường dữ liệu kiểu chuỗi;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</si>
  <si>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định dạng trường dữ liệu kiểu thời gian;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</si>
  <si>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thay đổi định dạng trường dữ liệu kiểu số;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</si>
  <si>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thay đổi định dạng trường dữ liệu kiểu ngày tháng;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</si>
  <si>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thay đổi định dạng trường dữ liệu kiểu chuỗi;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</si>
  <si>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Quản trị hệ thống có thể thay đổi định dạng trường dữ liệu kiểu thời gian; hệ thống tiếp nhận thông tin và thực hiện chuẩn hóa dữ liệu, sau khi hệ thống chuẩn hóa dữ liệu theo yêu cầu, phản hồi kết quả cho Quản trị hệ thống. Hệ thống xử lý theo yêu cầu và thông báo kết quả xử lý cho Quản trị hệ thống</t>
  </si>
  <si>
    <t>Thống kê dữ liệu từ nguồn</t>
  </si>
  <si>
    <t>Quản trị hệ thống có thể Thống kê cột dữ liệu lấy từ nguồn;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</si>
  <si>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thống kê chất lượng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</si>
  <si>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thống kê phân phối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</si>
  <si>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theo dõi thông tin từng cột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</si>
  <si>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Tìm kiếm dữ liệu từ nguồn dữ liệu</t>
  </si>
  <si>
    <t>Quản trị hệ thống có thể tìm kiếm dữ liệu theo từ khóa;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</si>
  <si>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tìm kiếm dữ liệu theo cột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</si>
  <si>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tìm kiếm dữ liệu bằng truy vấn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</si>
  <si>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Quản trị hệ thống có thể lọc dữ liệu theo các điều kiện kết hợp;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</si>
  <si>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Phân quyền truy cập dữ liệu</t>
  </si>
  <si>
    <t>Quản trị hệ thống có thể Phân quyền truy cập sử dụng dữ liệu; hệ thống tiếp nhận thông tin và thực hiện truy vấn dữ liệu, sau khi hệ thống truy vấn dữ liệu theo yêu cầu, phản hồi kết quả cho Quản trị hệ thống. Hệ thống xử lý theo yêu cầu và thông báo kết quả xử lý cho Quản trị hệ thống</t>
  </si>
  <si>
    <t>III.2</t>
  </si>
  <si>
    <t>Chuyển đổi dữ liệu</t>
  </si>
  <si>
    <t>Thao tác với trường dữ liệu</t>
  </si>
  <si>
    <t>Quản trị hệ thống có thể mapping trường dữ liệu;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</si>
  <si>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thêm trường dữ liệu; hệ thống tiếp nhận thông tin và thực hiện thêm mới, sau khi hệ thống thêm mới theo yêu cầu, phản hồi kết quả cho Quản trị hệ thống. Hệ thống xử lý theo yêu cầu và thông báo kết quả xử lý cho Quản trị hệ thống</t>
  </si>
  <si>
    <t>Quản trị hệ thống có thể xóa trường dữ liệu; hệ thống tiếp nhận thông tin và thực hiện xóa, sau khi hệ thống xóa theo yêu cầu, phản hồi kết quả cho Quản trị hệ thống. Hệ thống xử lý theo yêu cầu và thông báo kết quả xử lý cho Quản trị hệ thống</t>
  </si>
  <si>
    <t>Quản trị hệ thống có thể thay đổi kiểu dữ liệu; hệ thống tiếp nhận thông tin và thực hiện thay đổi kiểu dữ liệu, sau khi hệ thống thay đổi kiểu dữ liệu theo yêu cầu, phản hồi kết quả cho Quản trị hệ thống. Hệ thống xử lý theo yêu cầu và thông báo kết quả xử lý cho Quản trị hệ thống</t>
  </si>
  <si>
    <t>Quản trị hệ thống có thể sao chép cột dữ liệu;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</si>
  <si>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thiết lập trường dữ liệu làm khóa chính;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</si>
  <si>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chỉnh sửa tên trường dữ liệu;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</si>
  <si>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cấu hình cột dữ liêu được thêm mới;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</si>
  <si>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Định dạng trường dữ liệu</t>
  </si>
  <si>
    <t>Quản trị hệ thống có thể Cấu hình các luật thay thế giá trị dữ liệu kiểu số;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</si>
  <si>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Cấu hình các luật thay thế giá trị dữ liệu kiểu thời gian;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</si>
  <si>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Cấu hình các luật thay thế giá trị dữ liệu kiểu chuỗi;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</si>
  <si>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định nghĩa biển đổi biểu thức theo quy tắc viết hoa, viết thường của chuỗi;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</si>
  <si>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định nghĩa thay đổi thuật ngữ viết tắt;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</si>
  <si>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định nghĩa biểu thức nối chuỗi;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</si>
  <si>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định nghĩa lấy giá trị ngày tháng, giá trị giờ phút từ kiểu dữ liệu thời gian;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</si>
  <si>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Lọc dữ liệu theo điều kiện;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</si>
  <si>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Chuẩn hóa dữ liệu sai</t>
  </si>
  <si>
    <t>Quản trị hệ thống có thể cấu hình xóa dữ liệu rỗng;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</si>
  <si>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cấu hình xóa dữ liệu giá trị null;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</si>
  <si>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thiết lập quy tắc xóa dữ liệu lặp;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</si>
  <si>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thiết lập tiền tố, hậu tố cho dữ liệu; hệ thống tiếp nhận thông tin và thực hiện cập nhật cấu hình, sau khi hệ thống cập nhật cấu hình theo yêu cầu, phản hồi kết quả cho Quản trị hệ thống. Hệ thống xử lý theo yêu cầu và thông báo kết quả xử lý cho Quản trị hệ thống</t>
  </si>
  <si>
    <t>Quản trị hệ thống có thể cấu hình bổ sung dữ liệu thiếu; hệ thống tiếp nhận thông tin và thực hiện , sau khi hệ thống theo yêu cầu, phản hồi kết quả cho Quản trị hệ thống. Hệ thống xử lý theo yêu cầu và thông báo kết quả xử lý cho Quản trị hệ thống</t>
  </si>
  <si>
    <t>Lọc dữ liệu</t>
  </si>
  <si>
    <t>Quản trị hệ thống có thể cấu hình trích xuất dữ liệu theo điều kiện thời gian;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</si>
  <si>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lấy dữ liệu theo điều kiện max, min của giá trị chuỗi;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</si>
  <si>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cắt dữ liệu;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</si>
  <si>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Quản trị hệ thống có thể Cấu hình hàm đếm dữ liệu;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</si>
  <si>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Xuất dữ liệu</t>
  </si>
  <si>
    <t>Quản trị hệ thống có thể xuất dữ liệu ra file; hệ thống tiếp nhận thông tin và thực hiện xuất dữ liệu, sau khi hệ thống xuất dữ liệu theo yêu cầu, phản hồi kết quả cho Quản trị hệ thống. Hệ thống xử lý theo yêu cầu và thông báo kết quả xử lý cho Quản trị hệ thống</t>
  </si>
  <si>
    <t>Quản trị hệ thống có thể cấu hình lưu dữ liệu vào kho;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</si>
  <si>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III.3</t>
  </si>
  <si>
    <t>Đường ống dữ liệu (Data Pipeline)</t>
  </si>
  <si>
    <t>Quản lý danh sách đường ống dữ liệu (Data Pipeline)</t>
  </si>
  <si>
    <t>Quản trị hệ thống thêm mới đường ống dữ liệu (Data Pipeline). Hệ thống xử lý theo yêu cầu và thông báo kết quả xử lý cho Quản trị hệ thống</t>
  </si>
  <si>
    <t>Quản trị hệ thống chỉnh sửa đường ống dữ liệu (Data Pipeline). Hệ thống xử lý theo yêu cầu và thông báo kết quả xử lý cho Quản trị hệ thống</t>
  </si>
  <si>
    <t>Quản trị hệ thống xóa đường ống dữ liệu (Data Pipeline). Hệ thống xử lý theo yêu cầu và thông báo kết quả xử lý cho Quản trị hệ thống</t>
  </si>
  <si>
    <t>Quản trị hệ thống cấu hình chi tiết đường ống dữ liệu (Data Pipeline). Hệ thống xử lý theo yêu cầu và thông báo kết quả xử lý cho Quản trị hệ thống</t>
  </si>
  <si>
    <t>Phân quyền</t>
  </si>
  <si>
    <t>Quản trị hệ thống Thêm người dùng truy cập pipeline. Hệ thống xử lý theo yêu cầu và thông báo kết quả xử lý cho Quản trị hệ thống</t>
  </si>
  <si>
    <t>Quản trị hệ thống Chỉnh sửa người dùng truy cập pipeline. Hệ thống xử lý theo yêu cầu và thông báo kết quả xử lý cho Quản trị hệ thống</t>
  </si>
  <si>
    <t>Quản trị hệ thống Xóa người dùng truy cập. Hệ thống xử lý theo yêu cầu và thông báo kết quả xử lý cho Quản trị hệ thống</t>
  </si>
  <si>
    <t>III.4</t>
  </si>
  <si>
    <t>Quản trị nhóm tiến trình xử lý (Group process)</t>
  </si>
  <si>
    <t>Quản lý nhóm tiến trình xử lý (Group process)</t>
  </si>
  <si>
    <t>Quản trị hệ thống thêm mới nhóm tiến trình xử lý (Group process). Hệ thống xử lý theo yêu cầu và thông báo kết quả xử lý cho Quản trị hệ thống</t>
  </si>
  <si>
    <t>Quản trị hệ thống chỉnh sửa nhóm tiến trình xử lý (Group process). Hệ thống xử lý theo yêu cầu và thông báo kết quả xử lý cho Quản trị hệ thống</t>
  </si>
  <si>
    <t>Quản trị hệ thống xóa nhóm tiến trình xử lý (Group process). Hệ thống xử lý theo yêu cầu và thông báo kết quả xử lý cho Quản trị hệ thống</t>
  </si>
  <si>
    <t>Quản trị hệ thống cấu hình nhóm tiến trình xử lý (Group process). Hệ thống xử lý theo yêu cầu và thông báo kết quả xử lý cho Quản trị hệ thống</t>
  </si>
  <si>
    <t>Cấu hình chung nhóm tiến trình xử lý (Group process)</t>
  </si>
  <si>
    <t>Quản trị hệ thống cấu hình tên nhóm tiến trình xử lý (Group process). Hệ thống xử lý theo yêu cầu và thông báo kết quả xử lý cho Quản trị hệ thống</t>
  </si>
  <si>
    <t>Quản trị hệ thống cấu hình các tham số thiết lập nhóm tiến trình xử lý (Group process)s. Hệ thống xử lý theo yêu cầu và thông báo kết quả xử lý cho Quản trị hệ thống</t>
  </si>
  <si>
    <t>Quản lý tham số được định nghĩa trước</t>
  </si>
  <si>
    <t>Quản trị hệ thống tạo tham số mới. Hệ thống xử lý theo yêu cầu và thông báo kết quả xử lý cho Quản trị hệ thống</t>
  </si>
  <si>
    <t>Quản trị hệ thống cấu hình định nghĩa. Hệ thống xử lý theo yêu cầu và thông báo kết quả xử lý cho Quản trị hệ thống</t>
  </si>
  <si>
    <t>Quản trị hệ thống chỉnh sửa cấu hình. Hệ thống xử lý theo yêu cầu và thông báo kết quả xử lý cho Quản trị hệ thống</t>
  </si>
  <si>
    <t>Quản trị hệ thống xóa tham số. Hệ thống xử lý theo yêu cầu và thông báo kết quả xử lý cho Quản trị hệ thống</t>
  </si>
  <si>
    <t>Quản lý các biến (Variables) cho nhóm tiến trình xử lý (Group process)</t>
  </si>
  <si>
    <t>Quản trị hệ thống tạo mới biến. Hệ thống xử lý theo yêu cầu và thông báo kết quả xử lý cho Quản trị hệ thống</t>
  </si>
  <si>
    <t>Quản trị hệ thống chỉnh sửa biến. Hệ thống xử lý theo yêu cầu và thông báo kết quả xử lý cho Quản trị hệ thống</t>
  </si>
  <si>
    <t>Quản trị hệ thống xóa biến. Hệ thống xử lý theo yêu cầu và thông báo kết quả xử lý cho Quản trị hệ thống</t>
  </si>
  <si>
    <t>Quản trị hệ thống cấu hình định nghĩa biến. Hệ thống xử lý theo yêu cầu và thông báo kết quả xử lý cho Quản trị hệ thống</t>
  </si>
  <si>
    <t>Điều hành hoạt động nhóm tiến trình xử lý (Group process)</t>
  </si>
  <si>
    <t>Quản trị hệ thống khởi chạy cho group process. Hệ thống xử lý theo yêu cầu và thông báo kết quả xử lý cho Quản trị hệ thống</t>
  </si>
  <si>
    <t>Quản trị hệ thống tạm dừng group process. Hệ thống xử lý theo yêu cầu và thông báo kết quả xử lý cho Quản trị hệ thống</t>
  </si>
  <si>
    <t>Quản trị hệ thống bật trạng thái vô hiệu hóa group process. Hệ thống xử lý theo yêu cầu và thông báo kết quả xử lý cho Quản trị hệ thống</t>
  </si>
  <si>
    <t>Quản trị hệ thống tắt trạng thái vô hiệu hóa group process. Hệ thống xử lý theo yêu cầu và thông báo kết quả xử lý cho Quản trị hệ thống</t>
  </si>
  <si>
    <t>Xem lịch sử hoạt động của nhóm tiến trình xử lý (Group process)</t>
  </si>
  <si>
    <t>Quản trị hệ thống Theo dõi lịch sử hoạt động của nhóm tiến trình xử lý (Group process). Hệ thống xử lý theo yêu cầu và thông báo kết quả xử lý cho Quản trị hệ thống</t>
  </si>
  <si>
    <t>Quản trị hệ thống Theo dõi lịch sử hoạt động của tiến trình xử lý trong group. Hệ thống xử lý theo yêu cầu và thông báo kết quả xử lý cho Quản trị hệ thống</t>
  </si>
  <si>
    <t>Tính năng thao tác nhóm tiến trình xử lý (Group process)</t>
  </si>
  <si>
    <t>Quản trị hệ thống cấu hình thêm process cho group. Hệ thống xử lý theo yêu cầu và thông báo kết quả xử lý cho Quản trị hệ thống</t>
  </si>
  <si>
    <t>Quản trị hệ thống loại bỏ process cho group. Hệ thống xử lý theo yêu cầu và thông báo kết quả xử lý cho Quản trị hệ thống</t>
  </si>
  <si>
    <t>Quản trị hệ thống cấu hình cho process trong group. Hệ thống xử lý theo yêu cầu và thông báo kết quả xử lý cho Quản trị hệ thống</t>
  </si>
  <si>
    <t>Sử dụng công cụ điều hướng cho nhóm tiến trình xử lý (Group process)</t>
  </si>
  <si>
    <t>Quản trị hệ thống phóng to group process. Hệ thống xử lý theo yêu cầu và thông báo kết quả xử lý cho Quản trị hệ thống</t>
  </si>
  <si>
    <t>Quản trị hệ thống thu nhỏ group process. Hệ thống xử lý theo yêu cầu và thông báo kết quả xử lý cho Quản trị hệ thống</t>
  </si>
  <si>
    <t>Quản trị hệ thống di chuyển lên xuống, trái phải. Hệ thống xử lý theo yêu cầu và thông báo kết quả xử lý cho Quản trị hệ thống</t>
  </si>
  <si>
    <t>Quản trị hệ thống tương tác với group process. Hệ thống xử lý theo yêu cầu và thông báo kết quả xử lý cho Quản trị hệ thống</t>
  </si>
  <si>
    <t>III.5</t>
  </si>
  <si>
    <t>Dịch vụ nhận messages</t>
  </si>
  <si>
    <t>Dịch vụ nhận messages từ Apache Kafka (ConsumeKafka hoặc ConsumeKafkaRecord)</t>
  </si>
  <si>
    <t>Quản trị hệ thống Tạo cấu hình nhận messages từ Kafka. Hệ thống xử lý theo yêu cầu và thông báo kết quả xử lý cho Quản trị hệ thống</t>
  </si>
  <si>
    <t>Quản trị hệ thống Chỉnh sửa cấu hình nhận messages từ Kafka. Hệ thống xử lý theo yêu cầu và thông báo kết quả xử lý cho Quản trị hệ thống</t>
  </si>
  <si>
    <t>Quản trị hệ thống Bật cấu hình nhận messages từ Kafka. Hệ thống xử lý theo yêu cầu và thông báo kết quả xử lý cho Quản trị hệ thống</t>
  </si>
  <si>
    <t>Quản trị hệ thống Tắt cấu hình nhận messages từ Kafka. Hệ thống xử lý theo yêu cầu và thông báo kết quả xử lý cho Quản trị hệ thống</t>
  </si>
  <si>
    <t>Dịch vụ nhận messages qua giao thức AMQP (ConsumeAMQP )</t>
  </si>
  <si>
    <t>Quản trị hệ thống Tạo cấu hình nhận messages từ AMQP. Hệ thống xử lý theo yêu cầu và thông báo kết quả xử lý cho Quản trị hệ thống</t>
  </si>
  <si>
    <t>Quản trị hệ thống Chỉnh sửa cấu hình nhận messages từ AMQP. Hệ thống xử lý theo yêu cầu và thông báo kết quả xử lý cho Quản trị hệ thống</t>
  </si>
  <si>
    <t>Quản trị hệ thống Bật cấu hình nhận messages từ AMQP. Hệ thống xử lý theo yêu cầu và thông báo kết quả xử lý cho Quản trị hệ thống</t>
  </si>
  <si>
    <t>Quản trị hệ thống tắt cấu hình nhận messages từ AMQP. Hệ thống xử lý theo yêu cầu và thông báo kết quả xử lý cho Quản trị hệ thống</t>
  </si>
  <si>
    <t>Dịch vụ nhận messages từ trung tâm sự kiện Microsoft Azure (ConsumeAzureEventHub )</t>
  </si>
  <si>
    <t>Quản trị hệ thống Tạo cấu hình nhận messages từ Microsoft Azure. Hệ thống xử lý theo yêu cầu và thông báo kết quả xử lý cho Quản trị hệ thống</t>
  </si>
  <si>
    <t>Quản trị hệ thống Chỉnh sửa cấu hình nhận messages từ Microsoft Azure. Hệ thống xử lý theo yêu cầu và thông báo kết quả xử lý cho Quản trị hệ thống</t>
  </si>
  <si>
    <t>Dịch vụ nhận messages từ máy chủ Email bằng giao thức POP3 (ConsumePOP3 )</t>
  </si>
  <si>
    <t>Quản trị hệ thống Tạo cấu hình nhận messages từ máy chủ Email bằng giao thức POP3. Hệ thống xử lý theo yêu cầu và thông báo kết quả xử lý cho Quản trị hệ thống</t>
  </si>
  <si>
    <t>Quản trị hệ thống nhận messages từ máy chủ Email bằng giao thức POP3. Hệ thống xử lý theo yêu cầu và thông báo kết quả xử lý cho Quản trị hệ thống</t>
  </si>
  <si>
    <t>Quản trị hệ thống Bật cấu hình nhận messages từ máy chủ Email bằng giao thức POP3. Hệ thống xử lý theo yêu cầu và thông báo kết quả xử lý cho Quản trị hệ thống</t>
  </si>
  <si>
    <t>Quản trị hệ thống tắt cấu hình nhận messages từ máy chủ Email bằng giao thức POP3. Hệ thống xử lý theo yêu cầu và thông báo kết quả xử lý cho Quản trị hệ thống</t>
  </si>
  <si>
    <t>Dịch vụ gửi messages từ Apache Kafka (PublishKafka hoặc PublishKafkaRecord)</t>
  </si>
  <si>
    <t>Quản trị hệ thống cấu hình gửi messages từ Kafka. Hệ thống xử lý theo yêu cầu và thông báo kết quả xử lý cho Quản trị hệ thống</t>
  </si>
  <si>
    <t>Quản trị hệ thống Chỉnh sửa cấu hình gửi messages từ Kafka. Hệ thống xử lý theo yêu cầu và thông báo kết quả xử lý cho Quản trị hệ thống</t>
  </si>
  <si>
    <t>Quản trị hệ thống Bật cấu hình gửi messages từ Kafka. Hệ thống xử lý theo yêu cầu và thông báo kết quả xử lý cho Quản trị hệ thống</t>
  </si>
  <si>
    <t>Quản trị hệ thống Tắt cấu hình gửi messages từ Kafka. Hệ thống xử lý theo yêu cầu và thông báo kết quả xử lý cho Quản trị hệ thống</t>
  </si>
  <si>
    <t>III.6</t>
  </si>
  <si>
    <t>Dịch vụ cấu hình truy cập các file</t>
  </si>
  <si>
    <t>Dịch vụ lắng nghe và nhận các email thông qua giao thức SMTP (ListenSMTP )</t>
  </si>
  <si>
    <t>Quản trị hệ thống Tạo cấu hình tiếp nhận email qua giao thức SMTP. Hệ thống xử lý theo yêu cầu và thông báo kết quả xử lý cho Quản trị hệ thống</t>
  </si>
  <si>
    <t>Quản trị hệ thống Chỉnh sửa cấu hình tiếp nhận email qua giao thức SMTP. Hệ thống xử lý theo yêu cầu và thông báo kết quả xử lý cho Quản trị hệ thống</t>
  </si>
  <si>
    <t>Quản trị hệ thống Bật cấu hình tiếp nhận email qua giao thức SMTP. Hệ thống xử lý theo yêu cầu và thông báo kết quả xử lý cho Quản trị hệ thống</t>
  </si>
  <si>
    <t>Quản trị hệ thống Tắt cấu hình tiếp nhận email qua giao thức SMTP. Hệ thống xử lý theo yêu cầu và thông báo kết quả xử lý cho Quản trị hệ thống</t>
  </si>
  <si>
    <t>Quản trị hệ thống Chỉnh sửa xác thực bảo mật giao thức SMTP. Hệ thống xử lý theo yêu cầu và thông báo kết quả xử lý cho Quản trị hệ thống</t>
  </si>
  <si>
    <t>Dịch vụ đọc nội dung file trên máy và chuyển thành Flowfile (FetchFile và GetFile)</t>
  </si>
  <si>
    <t>Quản trị hệ thống Tạo cấu hình truy xuất dữ liệu từ File. Hệ thống xử lý theo yêu cầu và thông báo kết quả xử lý cho Quản trị hệ thống</t>
  </si>
  <si>
    <t>Quản trị hệ thống Chỉnh sửa cấu hình truy xuất dữ liệu từ File. Hệ thống xử lý theo yêu cầu và thông báo kết quả xử lý cho Quản trị hệ thống</t>
  </si>
  <si>
    <t>Quản trị hệ thống Bật cấu hình truy xuất dữ liệu từ File. Hệ thống xử lý theo yêu cầu và thông báo kết quả xử lý cho Quản trị hệ thống</t>
  </si>
  <si>
    <t>Quản trị hệ thống Tắt cấu hình truy xuất dữ liệu từ File. Hệ thống xử lý theo yêu cầu và thông báo kết quả xử lý cho Quản trị hệ thống</t>
  </si>
  <si>
    <t>Quản trị hệ thống Chỉnh sửa cấu hình tình trạng của file sau khi xử lý. Hệ thống xử lý theo yêu cầu và thông báo kết quả xử lý cho Quản trị hệ thống</t>
  </si>
  <si>
    <t>Dịch vụ truy xuất tệp từ HDFS (FetchHDFS và GetHDFS )</t>
  </si>
  <si>
    <t>Quản trị hệ thống Tạo cấu hình truy xuất tệp từ HDFS. Hệ thống xử lý theo yêu cầu và thông báo kết quả xử lý cho Quản trị hệ thống</t>
  </si>
  <si>
    <t>Quản trị hệ thống Chỉnh sửa cấu hình truy xuất tệp từ HDFS. Hệ thống xử lý theo yêu cầu và thông báo kết quả xử lý cho Quản trị hệ thống</t>
  </si>
  <si>
    <t>Quản trị hệ thống Bật cấu hình truy xuất tệp từ HDFS. Hệ thống xử lý theo yêu cầu và thông báo kết quả xử lý cho Quản trị hệ thống</t>
  </si>
  <si>
    <t>Quản trị hệ thống Tắt cấu hình truy xuất tệp từ HDFS. Hệ thống xử lý theo yêu cầu và thông báo kết quả xử lý cho Quản trị hệ thống</t>
  </si>
  <si>
    <t>Quản trị hệ thống Cấu hình xác thực Kerberos. Hệ thống xử lý theo yêu cầu và thông báo kết quả xử lý cho Quản trị hệ thống</t>
  </si>
  <si>
    <t>Quản trị hệ thống Cấu hình mã hóa nén file. Hệ thống xử lý theo yêu cầu và thông báo kết quả xử lý cho Quản trị hệ thống</t>
  </si>
  <si>
    <t>Dịch vụ đọc nội dung file từ máy chủ SFTP từ xa (FetchSFTP và GetSFTP )</t>
  </si>
  <si>
    <t>Quản trị hệ thống tạo cấu hình truy xuất file từ SFTP. Hệ thống xử lý theo yêu cầu và thông báo kết quả xử lý cho Quản trị hệ thống</t>
  </si>
  <si>
    <t>Quản trị hệ thống Chỉnh sửa cấu hình truy xuất file từ SFTP. Hệ thống xử lý theo yêu cầu và thông báo kết quả xử lý cho Quản trị hệ thống</t>
  </si>
  <si>
    <t>Quản trị hệ thống Bật cấu hình truy xuất file từ SFTP. Hệ thống xử lý theo yêu cầu và thông báo kết quả xử lý cho Quản trị hệ thống</t>
  </si>
  <si>
    <t>Quản trị hệ thống Tắt cấu hình truy xuất file từ SFTP. Hệ thống xử lý theo yêu cầu và thông báo kết quả xử lý cho Quản trị hệ thống</t>
  </si>
  <si>
    <t>Quản trị hệ thống Chỉnh sửa cấu hình tình trạng của file gốc sau khi xử lý. Hệ thống xử lý theo yêu cầu và thông báo kết quả xử lý cho Quản trị hệ thống</t>
  </si>
  <si>
    <t>Quản trị hệ thống Cấu hình thông tin đăng nhập vào máy chủ SFTP. Hệ thống xử lý theo yêu cầu và thông báo kết quả xử lý cho Quản trị hệ thống</t>
  </si>
  <si>
    <t>Quản trị hệ thống Cấu hình nén file khi xử lý. Hệ thống xử lý theo yêu cầu và thông báo kết quả xử lý cho Quản trị hệ thống</t>
  </si>
  <si>
    <t>Quản trị hệ thống Cấu hình mã hóa UTF-8 khi xử lý tệp. Hệ thống xử lý theo yêu cầu và thông báo kết quả xử lý cho Quản trị hệ thống</t>
  </si>
  <si>
    <t>Dịch vụ ghi dữ liệu bản ghi vào File trên máy chủ (PutFile )</t>
  </si>
  <si>
    <t>Quản trị hệ thống Tạo cấu hình lưu trữ file vào trên máy chủ. Hệ thống xử lý theo yêu cầu và thông báo kết quả xử lý cho Quản trị hệ thống</t>
  </si>
  <si>
    <t>Quản trị hệ thống Chỉnh sửa cấu hình lưu trữ file vào trên máy chủ. Hệ thống xử lý theo yêu cầu và thông báo kết quả xử lý cho Quản trị hệ thống</t>
  </si>
  <si>
    <t>Quản trị hệ thống Bật cấu hình lưu trữ file vào trên máy chủ. Hệ thống xử lý theo yêu cầu và thông báo kết quả xử lý cho Quản trị hệ thống</t>
  </si>
  <si>
    <t>Quản trị hệ thống Tắt cấu hình lưu trữ file vào trên máy chủ. Hệ thống xử lý theo yêu cầu và thông báo kết quả xử lý cho Quản trị hệ thống</t>
  </si>
  <si>
    <t>Quản trị hệ thống Chỉnh sửa quyền trên tệp lưu trữ. Hệ thống xử lý theo yêu cầu và thông báo kết quả xử lý cho Quản trị hệ thống</t>
  </si>
  <si>
    <t>Quản trị hệ thống Chỉnh sửa chủ sở hữu của tệp. Hệ thống xử lý theo yêu cầu và thông báo kết quả xử lý cho Quản trị hệ thống</t>
  </si>
  <si>
    <t>Quản trị hệ thống Đặt tên file khi lưu trữ. Hệ thống xử lý theo yêu cầu và thông báo kết quả xử lý cho Quản trị hệ thống</t>
  </si>
  <si>
    <t>Quản trị hệ thống Cấu hình ghi đè khi có file cùng tên trong thư mục. Hệ thống xử lý theo yêu cầu và thông báo kết quả xử lý cho Quản trị hệ thống</t>
  </si>
  <si>
    <t>QUẢN LÝ CẤU HÌNH TRÌNH DIỄN DỮ LIỆU</t>
  </si>
  <si>
    <t>IV.1</t>
  </si>
  <si>
    <t>Quản trị nguồn dữ liệu</t>
  </si>
  <si>
    <t>Quản lý nguồn dữ liệu</t>
  </si>
  <si>
    <t>Quản trị hệ thống Xem danh sách nguồn dữ liệu. Hệ thống xử lý theo yêu cầu và thông báo kết quả xử lý cho Quản trị hệ thống</t>
  </si>
  <si>
    <t>Quản trị hệ thống Thêm mới nguồn dữ liệu. Hệ thống xử lý theo yêu cầu và thông báo kết quả xử lý cho Quản trị hệ thống</t>
  </si>
  <si>
    <t>Quản trị hệ thống chỉnh sửa nguồn dữ liệu. Hệ thống xử lý theo yêu cầu và thông báo kết quả xử lý cho Quản trị hệ thống</t>
  </si>
  <si>
    <t>Quản trị hệ thống xóa nguồn dữ liệu. Hệ thống xử lý theo yêu cầu và thông báo kết quả xử lý cho Quản trị hệ thống</t>
  </si>
  <si>
    <t>View dữ liệu</t>
  </si>
  <si>
    <t>Quản trị hệ thống View danh sách nguồn dữ liệu. Hệ thống xử lý theo yêu cầu và thông báo kết quả xử lý cho Quản trị hệ thống</t>
  </si>
  <si>
    <t>Quản trị hệ thống view thông tin chi tiết nguồn dữ liệu. Hệ thống xử lý theo yêu cầu và thông báo kết quả xử lý cho Quản trị hệ thống</t>
  </si>
  <si>
    <t>Quản trị hệ thống view danh sách bảng dữ liệu của nguồn. Hệ thống xử lý theo yêu cầu và thông báo kết quả xử lý cho Quản trị hệ thống</t>
  </si>
  <si>
    <t>Quản trị hệ thống view dữ liệu từng của bảng dữ liệu. Hệ thống xử lý theo yêu cầu và thông báo kết quả xử lý cho Quản trị hệ thống</t>
  </si>
  <si>
    <t>Quản trị hệ thống View dữ liệu theo các trang dữ liệu. Hệ thống xử lý theo yêu cầu và thông báo kết quả xử lý cho Quản trị hệ thống</t>
  </si>
  <si>
    <t>Quản lý bảng dữ liệu</t>
  </si>
  <si>
    <t>Quản trị hệ thống Xem danh sách bảng dữ liệu. Hệ thống xử lý theo yêu cầu và thông báo kết quả xử lý cho Quản trị hệ thống</t>
  </si>
  <si>
    <t>Quản trị hệ thống Xem chi tiết các thuộc tính của bảng dữ liệu. Hệ thống xử lý theo yêu cầu và thông báo kết quả xử lý cho Quản trị hệ thống</t>
  </si>
  <si>
    <t>Quản trị hệ thống tìm kiếm bảng dữ liệu. Hệ thống xử lý theo yêu cầu và thông báo kết quả xử lý cho Quản trị hệ thống</t>
  </si>
  <si>
    <t>Quản trị hệ thống xem dữ liệu của bảng dữ liệu. Hệ thống xử lý theo yêu cầu và thông báo kết quả xử lý cho Quản trị hệ thống</t>
  </si>
  <si>
    <t>Quản lý đồng bộ bảng dữ liệu</t>
  </si>
  <si>
    <t>Quản trị hệ thống đồng bộ bảng dữ liệu. Hệ thống xử lý theo yêu cầu và thông báo kết quả xử lý cho Quản trị hệ thống</t>
  </si>
  <si>
    <t>Quản trị hệ thống đồng bộ dữ liệu của bảng dữ liệu. Hệ thống xử lý theo yêu cầu và thông báo kết quả xử lý cho Quản trị hệ thống</t>
  </si>
  <si>
    <t>Quản lý trường dữ liệu</t>
  </si>
  <si>
    <t>Quản trị hệ thống Thêm trường dữ liệu. Hệ thống xử lý theo yêu cầu và thông báo kết quả xử lý cho Quản trị hệ thống</t>
  </si>
  <si>
    <t>Quản trị hệ thống Sửa trường dữ liệu. Hệ thống xử lý theo yêu cầu và thông báo kết quả xử lý cho Quản trị hệ thống</t>
  </si>
  <si>
    <t>Quản trị hệ thống Xóa trường dữ liệu. Hệ thống xử lý theo yêu cầu và thông báo kết quả xử lý cho Quản trị hệ thống</t>
  </si>
  <si>
    <t>Quản trị hệ thống xem danh sách trường dữ liệu. Hệ thống xử lý theo yêu cầu và thông báo kết quả xử lý cho Quản trị hệ thống</t>
  </si>
  <si>
    <t>Cấu hình trường dữ liệu mới</t>
  </si>
  <si>
    <t>Quản trị hệ thống Kéo trường dữ liệu có sẵn từ bảng nguồn. Hệ thống xử lý theo yêu cầu và thông báo kết quả xử lý cho Quản trị hệ thống</t>
  </si>
  <si>
    <t>Quản trị hệ thống Cấu hình trường dữ liệu bằng công thức. Hệ thống xử lý theo yêu cầu và thông báo kết quả xử lý cho Quản trị hệ thống</t>
  </si>
  <si>
    <t>Quản trị hệ thống Cấu hình trường dữ liệu bằng số liệu mặc định. Hệ thống xử lý theo yêu cầu và thông báo kết quả xử lý cho Quản trị hệ thống</t>
  </si>
  <si>
    <t>Quản trị hệ thống Cấu hình loại dữ liệu đầu ra cho trường dữ liệu. Hệ thống xử lý theo yêu cầu và thông báo kết quả xử lý cho Quản trị hệ thống</t>
  </si>
  <si>
    <t>Quản lý dashboard</t>
  </si>
  <si>
    <t>Quản trị hệ thống xem danh sách dashboard. Hệ thống xử lý theo yêu cầu và thông báo kết quả xử lý cho Quản trị hệ thống</t>
  </si>
  <si>
    <t>Quản trị hệ thống Xem chi tiết dashboard. Hệ thống xử lý theo yêu cầu và thông báo kết quả xử lý cho Quản trị hệ thống</t>
  </si>
  <si>
    <t>Quản trị hệ thống phát hành dashboard. Hệ thống xử lý theo yêu cầu và thông báo kết quả xử lý cho Quản trị hệ thống</t>
  </si>
  <si>
    <t>Quản trị hệ thống hủy phát hành dashboard. Hệ thống xử lý theo yêu cầu và thông báo kết quả xử lý cho Quản trị hệ thống</t>
  </si>
  <si>
    <t>Quản trị hệ thống Copy dashboard. Hệ thống xử lý theo yêu cầu và thông báo kết quả xử lý cho Quản trị hệ thống</t>
  </si>
  <si>
    <t>Quản trị hệ thống Xem công khai. Hệ thống xử lý theo yêu cầu và thông báo kết quả xử lý cho Quản trị hệ thống</t>
  </si>
  <si>
    <t>Quản trị hệ thống Xem local. Hệ thống xử lý theo yêu cầu và thông báo kết quả xử lý cho Quản trị hệ thống</t>
  </si>
  <si>
    <t>Quản trị hệ thống Xóa dashboard. Hệ thống xử lý theo yêu cầu và thông báo kết quả xử lý cho Quản trị hệ thống</t>
  </si>
  <si>
    <t>IV.2</t>
  </si>
  <si>
    <t>Quản trị biểu đồ</t>
  </si>
  <si>
    <t>Quản lý danh sách biểu đồ</t>
  </si>
  <si>
    <t>Quản trị hệ thống Xem danh sách biểu đồ. Hệ thống xử lý theo yêu cầu và thông báo kết quả xử lý cho Quản trị hệ thống</t>
  </si>
  <si>
    <t>Quản trị hệ thống Thêm mới biểu đồ. Hệ thống xử lý theo yêu cầu và thông báo kết quả xử lý cho Quản trị hệ thống</t>
  </si>
  <si>
    <t>Quản trị hệ thống sao chép biểu đồ. Hệ thống xử lý theo yêu cầu và thông báo kết quả xử lý cho Quản trị hệ thống</t>
  </si>
  <si>
    <t>Quản trị hệ thống chỉnh sửa biểu đồ. Hệ thống xử lý theo yêu cầu và thông báo kết quả xử lý cho Quản trị hệ thống</t>
  </si>
  <si>
    <t>Quản trị hệ thống Xóa biểu đồ. Hệ thống xử lý theo yêu cầu và thông báo kết quả xử lý cho Quản trị hệ thống</t>
  </si>
  <si>
    <t>Quản trị hệ thống xem trước biểu diễn dữ liệu. Hệ thống xử lý theo yêu cầu và thông báo kết quả xử lý cho Quản trị hệ thống</t>
  </si>
  <si>
    <t>Quản trị hệ thống Cấu hình biểu đồ. Hệ thống xử lý theo yêu cầu và thông báo kết quả xử lý cho Quản trị hệ thống</t>
  </si>
  <si>
    <t>Quản trị hệ thống Tìm kiếm biểu đồ. Hệ thống xử lý theo yêu cầu và thông báo kết quả xử lý cho Quản trị hệ thống</t>
  </si>
  <si>
    <t>Cấu hình tạo trường dữ liệu tùy chỉnh cho biểu đồ</t>
  </si>
  <si>
    <t>Quản trị hệ thống Thêm mới trường dữ liệu cho biểu đồ. Hệ thống xử lý theo yêu cầu và thông báo kết quả xử lý cho Quản trị hệ thống</t>
  </si>
  <si>
    <t>Quản trị hệ thống chỉnh sửa trường dữ liệu cho biểu đồ. Hệ thống xử lý theo yêu cầu và thông báo kết quả xử lý cho Quản trị hệ thống</t>
  </si>
  <si>
    <t>Quản trị hệ thống xóa trường dữ liệu cho biểu đồ. Hệ thống xử lý theo yêu cầu và thông báo kết quả xử lý cho Quản trị hệ thống</t>
  </si>
  <si>
    <t>Quản trị hệ thống xem danh sách từ nguồn. Hệ thống xử lý theo yêu cầu và thông báo kết quả xử lý cho Quản trị hệ thống</t>
  </si>
  <si>
    <t>Quản trị hệ thống xem thông tin cấu hình chi tiết. Hệ thống xử lý theo yêu cầu và thông báo kết quả xử lý cho Quản trị hệ thống</t>
  </si>
  <si>
    <t>Cấu hình biểu đồ number</t>
  </si>
  <si>
    <t>Quản trị hệ thống Thêm nguồn dữ liệu. Hệ thống xử lý theo yêu cầu và thông báo kết quả xử lý cho Quản trị hệ thống</t>
  </si>
  <si>
    <t>Quản trị hệ thống Thay đổi nguồn dữ liệu. Hệ thống xử lý theo yêu cầu và thông báo kết quả xử lý cho Quản trị hệ thống</t>
  </si>
  <si>
    <t>Quản trị hệ thống Trộn nguồn dữ liệu. Hệ thống xử lý theo yêu cầu và thông báo kết quả xử lý cho Quản trị hệ thống</t>
  </si>
  <si>
    <t>Quản trị hệ thống Kéo thả trường dữ liệu biểu diễn. Hệ thống xử lý theo yêu cầu và thông báo kết quả xử lý cho Quản trị hệ thống</t>
  </si>
  <si>
    <t>Quản trị hệ thống Thêm trường dữ liệu tự định nghĩa. Hệ thống xử lý theo yêu cầu và thông báo kết quả xử lý cho Quản trị hệ thống</t>
  </si>
  <si>
    <t>Quản trị hệ thống Thay đổi trưởng dữ liệu biểu diễn. Hệ thống xử lý theo yêu cầu và thông báo kết quả xử lý cho Quản trị hệ thống</t>
  </si>
  <si>
    <t>Quản trị hệ thống kéo thả trường dữ liệu vào điều kiện lọc. Hệ thống xử lý theo yêu cầu và thông báo kết quả xử lý cho Quản trị hệ thống</t>
  </si>
  <si>
    <t>Quản trị hệ thống Cấu hình biểu diễn bằng hàm SUM. Hệ thống xử lý theo yêu cầu và thông báo kết quả xử lý cho Quản trị hệ thống</t>
  </si>
  <si>
    <t>Quản trị hệ thống Cấu hình biểu diễn bằng hàm AVG. Hệ thống xử lý theo yêu cầu và thông báo kết quả xử lý cho Quản trị hệ thống</t>
  </si>
  <si>
    <t>Quản trị hệ thống Cấu hình biểu diễn bằng hàm MAX. Hệ thống xử lý theo yêu cầu và thông báo kết quả xử lý cho Quản trị hệ thống</t>
  </si>
  <si>
    <t>Quản trị hệ thống Cấu hình biểu diễn bằng hàm MIN. Hệ thống xử lý theo yêu cầu và thông báo kết quả xử lý cho Quản trị hệ thống</t>
  </si>
  <si>
    <t>Quản trị hệ thống Cấu hình biểu diễn bằng hàm COUNT. Hệ thống xử lý theo yêu cầu và thông báo kết quả xử lý cho Quản trị hệ thống</t>
  </si>
  <si>
    <t>Cấu hình biểu đồ smart-number</t>
  </si>
  <si>
    <t>Quản trị hệ thống Thêm nguồn dữ liệu cho biểu đồ smart-number. Hệ thống xử lý theo yêu cầu và thông báo kết quả xử lý cho Quản trị hệ thống</t>
  </si>
  <si>
    <t>Quản trị hệ thống Thay đổi nguồn dữ liệu cho biểu đồ smart-number. Hệ thống xử lý theo yêu cầu và thông báo kết quả xử lý cho Quản trị hệ thống</t>
  </si>
  <si>
    <t>Quản trị hệ thống Trộn nguồn dữ liệu cho biểu đồ smart-number. Hệ thống xử lý theo yêu cầu và thông báo kết quả xử lý cho Quản trị hệ thống</t>
  </si>
  <si>
    <t>Quản trị hệ thống Kéo thả một hoặc nhiều trường dữ liệu thể hiện cho biểu đồ smart-number. Hệ thống xử lý theo yêu cầu và thông báo kết quả xử lý cho Quản trị hệ thống</t>
  </si>
  <si>
    <t>Quản trị hệ thống Thêm trường dữ liệu tự định nghĩa cho biểu đồ smart-number. Hệ thống xử lý theo yêu cầu và thông báo kết quả xử lý cho Quản trị hệ thống</t>
  </si>
  <si>
    <t>Quản trị hệ thống Thay đổi trưởng dữ liệu biểu diễn cho biểu đồ smart-number. Hệ thống xử lý theo yêu cầu và thông báo kết quả xử lý cho Quản trị hệ thống</t>
  </si>
  <si>
    <t>Quản trị hệ thống kéo thả trường dữ liệu vào điều kiện lọc cho biểu đồ smart-number. Hệ thống xử lý theo yêu cầu và thông báo kết quả xử lý cho Quản trị hệ thống</t>
  </si>
  <si>
    <t>Quản trị hệ thống kéo thả nhiều trường dữ liệu vào điều kiện lọc cho biểu đồ smart-number. Hệ thống xử lý theo yêu cầu và thông báo kết quả xử lý cho Quản trị hệ thống</t>
  </si>
  <si>
    <t>Quản trị hệ thống Cấu hình đơn vị tính cho biểu đồ cho biểu đồ smart-number. Hệ thống xử lý theo yêu cầu và thông báo kết quả xử lý cho Quản trị hệ thống</t>
  </si>
  <si>
    <t>Quản trị hệ thống Cấu hình biểu diễn bằng các hàm cho biểu đồ smart-number. Hệ thống xử lý theo yêu cầu và thông báo kết quả xử lý cho Quản trị hệ thống</t>
  </si>
  <si>
    <t>Cấu hình biểu đồ multi-number</t>
  </si>
  <si>
    <t>Quản trị hệ thống Thêm nguồn dữ liệu cho biểu cho biểu đồ multi-number. Hệ thống xử lý theo yêu cầu và thông báo kết quả xử lý cho Quản trị hệ thống</t>
  </si>
  <si>
    <t>Quản trị hệ thống Thay đổi nguồn dữ liệu cho biểu đồ multi-number. Hệ thống xử lý theo yêu cầu và thông báo kết quả xử lý cho Quản trị hệ thống</t>
  </si>
  <si>
    <t>Quản trị hệ thống Trộn nguồn dữ liệu cho biểu đồ multi-number. Hệ thống xử lý theo yêu cầu và thông báo kết quả xử lý cho Quản trị hệ thống</t>
  </si>
  <si>
    <t>Quản trị hệ thống Kéo thả một hoặc nhiều trường dữ liệu thể hiện cho biểu đồ multi-number. Hệ thống xử lý theo yêu cầu và thông báo kết quả xử lý cho Quản trị hệ thống</t>
  </si>
  <si>
    <t>Quản trị hệ thống Thêm trường dữ liệu tự định nghĩa cho biểu đồ multi-number. Hệ thống xử lý theo yêu cầu và thông báo kết quả xử lý cho Quản trị hệ thống</t>
  </si>
  <si>
    <t>Quản trị hệ thống Thay đổi trưởng dữ liệu biểu diễn cho biểu đồ multi-number. Hệ thống xử lý theo yêu cầu và thông báo kết quả xử lý cho Quản trị hệ thống</t>
  </si>
  <si>
    <t>Quản trị hệ thống kéo thả trường dữ liệu vào điều kiện lọc cho biểu đồ multi-number. Hệ thống xử lý theo yêu cầu và thông báo kết quả xử lý cho Quản trị hệ thống</t>
  </si>
  <si>
    <t>Quản trị hệ thống kéo thả nhiều trường dữ liệu vào điều kiện lọc cho biểu đồ multi-number. Hệ thống xử lý theo yêu cầu và thông báo kết quả xử lý cho Quản trị hệ thống</t>
  </si>
  <si>
    <t>Quản trị hệ thống Cấu hình đơn vị tính cho biểu đồ cho biểu đồ multi-number. Hệ thống xử lý theo yêu cầu và thông báo kết quả xử lý cho Quản trị hệ thống</t>
  </si>
  <si>
    <t>Quản trị hệ thống Cấu hình biểu diễn bằng các hàm cho biểu đồ multi-number. Hệ thống xử lý theo yêu cầu và thông báo kết quả xử lý cho Quản trị hệ thống</t>
  </si>
  <si>
    <t>Cấu hình biểu đồ column</t>
  </si>
  <si>
    <t>Quản trị hệ thống Thêm nguồn dữ liệu cho biểu đồ column. Hệ thống xử lý theo yêu cầu và thông báo kết quả xử lý cho Quản trị hệ thống</t>
  </si>
  <si>
    <t>Quản trị hệ thống Thay đổi nguồn dữ liệu cho biểu đồ column. Hệ thống xử lý theo yêu cầu và thông báo kết quả xử lý cho Quản trị hệ thống</t>
  </si>
  <si>
    <t>Quản trị hệ thống Trộn nguồn dữ liệu cho biểu đồ column. Hệ thống xử lý theo yêu cầu và thông báo kết quả xử lý cho Quản trị hệ thống</t>
  </si>
  <si>
    <t>Quản trị hệ thống Cấu hình trường dữ liệu làm Rows cho biểu đồ column. Hệ thống xử lý theo yêu cầu và thông báo kết quả xử lý cho Quản trị hệ thống</t>
  </si>
  <si>
    <t>Quản trị hệ thống Cấu hình trường dữ liệu làm Columns cho biểu đồ column. Hệ thống xử lý theo yêu cầu và thông báo kết quả xử lý cho Quản trị hệ thống</t>
  </si>
  <si>
    <t>Quản trị hệ thống Cấu hình hạn chế dữ liệu cần lấy cho biểu đồ column. Hệ thống xử lý theo yêu cầu và thông báo kết quả xử lý cho Quản trị hệ thống</t>
  </si>
  <si>
    <t>Quản trị hệ thống kéo thả trường dữ liệu vào điều kiện lọc cho biểu đồ column. Hệ thống xử lý theo yêu cầu và thông báo kết quả xử lý cho Quản trị hệ thống</t>
  </si>
  <si>
    <t>Quản trị hệ thống kéo thả nhiều trường dữ liệu vào điều kiện lọc cho biểu đồ column. Hệ thống xử lý theo yêu cầu và thông báo kết quả xử lý cho Quản trị hệ thống</t>
  </si>
  <si>
    <t>Quản trị hệ thống Cấu hình nhóm dữ liệu cho biểu đồ cho biểu đồ column. Hệ thống xử lý theo yêu cầu và thông báo kết quả xử lý cho Quản trị hệ thống</t>
  </si>
  <si>
    <t>Quản trị hệ thống Cấu hình hàm thể hiện dữ liệu biểu đồ column. Hệ thống xử lý theo yêu cầu và thông báo kết quả xử lý cho Quản trị hệ thống</t>
  </si>
  <si>
    <t>Quản trị hệ thống Cấu hình thể hiện giao diện thể hiện biểu đồ column. Hệ thống xử lý theo yêu cầu và thông báo kết quả xử lý cho Quản trị hệ thống</t>
  </si>
  <si>
    <t>Quản trị hệ thống Cấu hình hiển thị trục X biểu đồ column. Hệ thống xử lý theo yêu cầu và thông báo kết quả xử lý cho Quản trị hệ thống</t>
  </si>
  <si>
    <t>Quản trị hệ thống Cấu hình hiển thị trục Y biểu đồ column. Hệ thống xử lý theo yêu cầu và thông báo kết quả xử lý cho Quản trị hệ thống</t>
  </si>
  <si>
    <t>Cấu hình biểu đồ Bar</t>
  </si>
  <si>
    <t>Quản trị hệ thống Thêm nguồn dữ liệu cho biểu đồ Bar. Hệ thống xử lý theo yêu cầu và thông báo kết quả xử lý cho Quản trị hệ thống</t>
  </si>
  <si>
    <t>Quản trị hệ thống Thay đổi nguồn dữ liệu cho biểu đồ Bar. Hệ thống xử lý theo yêu cầu và thông báo kết quả xử lý cho Quản trị hệ thống</t>
  </si>
  <si>
    <t>Quản trị hệ thống Trộn nguồn dữ liệu cho biểu đồ Bar. Hệ thống xử lý theo yêu cầu và thông báo kết quả xử lý cho Quản trị hệ thống</t>
  </si>
  <si>
    <t>Quản trị hệ thống Cấu hình trường dữ liệu làm Rows cho biểu đồ Bar. Hệ thống xử lý theo yêu cầu và thông báo kết quả xử lý cho Quản trị hệ thống</t>
  </si>
  <si>
    <t>Quản trị hệ thống Cấu hình trường dữ liệu làm Columns cho biểu đồ Bar. Hệ thống xử lý theo yêu cầu và thông báo kết quả xử lý cho Quản trị hệ thống</t>
  </si>
  <si>
    <t>Quản trị hệ thống Cấu hình hạn chế dữ liệu cần lấy cho biểu đồ Bar. Hệ thống xử lý theo yêu cầu và thông báo kết quả xử lý cho Quản trị hệ thống</t>
  </si>
  <si>
    <t>Quản trị hệ thống kéo thả trường dữ liệu vào điều kiện lọc cho biểu đồ Bar. Hệ thống xử lý theo yêu cầu và thông báo kết quả xử lý cho Quản trị hệ thống</t>
  </si>
  <si>
    <t>Quản trị hệ thống kéo thả nhiều trường dữ liệu vào điều kiện lọc cho biểu đồ Bar. Hệ thống xử lý theo yêu cầu và thông báo kết quả xử lý cho Quản trị hệ thống</t>
  </si>
  <si>
    <t>Quản trị hệ thống Cấu hình nhóm dữ liệu cho biểu đồ cho biểu đồ Bar. Hệ thống xử lý theo yêu cầu và thông báo kết quả xử lý cho Quản trị hệ thống</t>
  </si>
  <si>
    <t>Quản trị hệ thống Cấu hình hàm thể hiện dữ liệu biểu đồ Bar. Hệ thống xử lý theo yêu cầu và thông báo kết quả xử lý cho Quản trị hệ thống</t>
  </si>
  <si>
    <t>Quản trị hệ thống Cấu hình thể hiện giao diện thể hiện biểu đồ Bar. Hệ thống xử lý theo yêu cầu và thông báo kết quả xử lý cho Quản trị hệ thống</t>
  </si>
  <si>
    <t>Quản trị hệ thống Cấu hình hiển thị trục X biểu đồ Bar. Hệ thống xử lý theo yêu cầu và thông báo kết quả xử lý cho Quản trị hệ thống</t>
  </si>
  <si>
    <t>Quản trị hệ thống Cấu hình hiển thị trục Y biểu đồ Bar. Hệ thống xử lý theo yêu cầu và thông báo kết quả xử lý cho Quản trị hệ thống</t>
  </si>
  <si>
    <t>Cấu hình biểu đồ Combo</t>
  </si>
  <si>
    <t>Quản trị hệ thống Thêm nguồn dữ liệu cho biểu đồ Combo. Hệ thống xử lý theo yêu cầu và thông báo kết quả xử lý cho Quản trị hệ thống</t>
  </si>
  <si>
    <t>Quản trị hệ thống Thay đổi nguồn dữ liệu cho biểu đồ Combo. Hệ thống xử lý theo yêu cầu và thông báo kết quả xử lý cho Quản trị hệ thống</t>
  </si>
  <si>
    <t>Quản trị hệ thống Trộn nguồn dữ liệu cho biểu đồ Combo. Hệ thống xử lý theo yêu cầu và thông báo kết quả xử lý cho Quản trị hệ thống</t>
  </si>
  <si>
    <t>Quản trị hệ thống Cấu hình trường dữ liệu làm Rows cho biểu đồ Combo. Hệ thống xử lý theo yêu cầu và thông báo kết quả xử lý cho Quản trị hệ thống</t>
  </si>
  <si>
    <t>Quản trị hệ thống Cấu hình trường dữ liệu làm Columns cho biểu đồ Combo. Hệ thống xử lý theo yêu cầu và thông báo kết quả xử lý cho Quản trị hệ thống</t>
  </si>
  <si>
    <t>Quản trị hệ thống Cấu hình hạn chế dữ liệu cần lấy cho biểu đồ Combo. Hệ thống xử lý theo yêu cầu và thông báo kết quả xử lý cho Quản trị hệ thống</t>
  </si>
  <si>
    <t>Quản trị hệ thống kéo thả trường dữ liệu vào điều kiện lọc cho biểu đồ Combo. Hệ thống xử lý theo yêu cầu và thông báo kết quả xử lý cho Quản trị hệ thống</t>
  </si>
  <si>
    <t>Quản trị hệ thống kéo thả nhiều trường dữ liệu vào điều kiện lọc cho biểu đồ Combo. Hệ thống xử lý theo yêu cầu và thông báo kết quả xử lý cho Quản trị hệ thống</t>
  </si>
  <si>
    <t>Quản trị hệ thống Cấu hình nhóm dữ liệu cho biểu đồ cho biểu đồ Combo. Hệ thống xử lý theo yêu cầu và thông báo kết quả xử lý cho Quản trị hệ thống</t>
  </si>
  <si>
    <t>Quản trị hệ thống Cấu hình hàm thể hiện dữ liệu biểu đồ Combo. Hệ thống xử lý theo yêu cầu và thông báo kết quả xử lý cho Quản trị hệ thống</t>
  </si>
  <si>
    <t>Quản trị hệ thống Cấu hình thể hiện giao diện thể hiện biểu đồ Combo. Hệ thống xử lý theo yêu cầu và thông báo kết quả xử lý cho Quản trị hệ thống</t>
  </si>
  <si>
    <t>Quản trị hệ thống Cấu hình hiển thị trục X biểu đồ Combo. Hệ thống xử lý theo yêu cầu và thông báo kết quả xử lý cho Quản trị hệ thống</t>
  </si>
  <si>
    <t>Quản trị hệ thống Cấu hình hiển thị trục Y biểu đồ Combo. Hệ thống xử lý theo yêu cầu và thông báo kết quả xử lý cho Quản trị hệ thống</t>
  </si>
  <si>
    <t>Cấu hình biểu đồ Line</t>
  </si>
  <si>
    <t>Quản trị hệ thống Thêm nguồn dữ liệu cho biểu đồ Line. Hệ thống xử lý theo yêu cầu và thông báo kết quả xử lý cho Quản trị hệ thống</t>
  </si>
  <si>
    <t>Quản trị hệ thống Thay đổi nguồn dữ liệu cho biểu đồ Line. Hệ thống xử lý theo yêu cầu và thông báo kết quả xử lý cho Quản trị hệ thống</t>
  </si>
  <si>
    <t>Quản trị hệ thống Trộn nguồn dữ liệu cho biểu đồ Line. Hệ thống xử lý theo yêu cầu và thông báo kết quả xử lý cho Quản trị hệ thống</t>
  </si>
  <si>
    <t>Quản trị hệ thống Cấu hình trường dữ liệu làm Rows cho biểu đồ Line. Hệ thống xử lý theo yêu cầu và thông báo kết quả xử lý cho Quản trị hệ thống</t>
  </si>
  <si>
    <t>Quản trị hệ thống Cấu hình trường dữ liệu làm Columns cho biểu đồ Line. Hệ thống xử lý theo yêu cầu và thông báo kết quả xử lý cho Quản trị hệ thống</t>
  </si>
  <si>
    <t>Quản trị hệ thống Cấu hình hạn chế dữ liệu cần lấy cho biểu đồ Line. Hệ thống xử lý theo yêu cầu và thông báo kết quả xử lý cho Quản trị hệ thống</t>
  </si>
  <si>
    <t>Quản trị hệ thống kéo thả trường dữ liệu vào điều kiện lọc cho biểu đồ Line. Hệ thống xử lý theo yêu cầu và thông báo kết quả xử lý cho Quản trị hệ thống</t>
  </si>
  <si>
    <t>Quản trị hệ thống kéo thả nhiều trường dữ liệu vào điều kiện lọc cho biểu đồ Line. Hệ thống xử lý theo yêu cầu và thông báo kết quả xử lý cho Quản trị hệ thống</t>
  </si>
  <si>
    <t>Quản trị hệ thống Cấu hình nhóm dữ liệu cho biểu đồ cho biểu đồ Line. Hệ thống xử lý theo yêu cầu và thông báo kết quả xử lý cho Quản trị hệ thống</t>
  </si>
  <si>
    <t>Quản trị hệ thống Cấu hình hàm thể hiện dữ liệu biểu đồ Line. Hệ thống xử lý theo yêu cầu và thông báo kết quả xử lý cho Quản trị hệ thống</t>
  </si>
  <si>
    <t>Quản trị hệ thống Cấu hình thể hiện giao diện thể hiện biểu đồ Line. Hệ thống xử lý theo yêu cầu và thông báo kết quả xử lý cho Quản trị hệ thống</t>
  </si>
  <si>
    <t>Quản trị hệ thống Cấu hình hiển thị trục X biểu đồ Line. Hệ thống xử lý theo yêu cầu và thông báo kết quả xử lý cho Quản trị hệ thống</t>
  </si>
  <si>
    <t>Quản trị hệ thống Cấu hình hiển thị trục Y biểu đồ Line. Hệ thống xử lý theo yêu cầu và thông báo kết quả xử lý cho Quản trị hệ thống</t>
  </si>
  <si>
    <t>Cấu hình biểu đồ Area</t>
  </si>
  <si>
    <t>Quản trị hệ thống Thêm nguồn dữ liệu cho biểu đồ Area. Hệ thống xử lý theo yêu cầu và thông báo kết quả xử lý cho Quản trị hệ thống</t>
  </si>
  <si>
    <t>Quản trị hệ thống Thay đổi nguồn dữ liệu cho biểu đồ Area. Hệ thống xử lý theo yêu cầu và thông báo kết quả xử lý cho Quản trị hệ thống</t>
  </si>
  <si>
    <t>Quản trị hệ thống Trộn nguồn dữ liệu cho biểu đồ Area. Hệ thống xử lý theo yêu cầu và thông báo kết quả xử lý cho Quản trị hệ thống</t>
  </si>
  <si>
    <t>Quản trị hệ thống Cấu hình trường dữ liệu làm Rows cho biểu đồ Area. Hệ thống xử lý theo yêu cầu và thông báo kết quả xử lý cho Quản trị hệ thống</t>
  </si>
  <si>
    <t>Quản trị hệ thống Cấu hình trường dữ liệu làm Columns cho biểu đồ Area. Hệ thống xử lý theo yêu cầu và thông báo kết quả xử lý cho Quản trị hệ thống</t>
  </si>
  <si>
    <t>Quản trị hệ thống Cấu hình hạn chế dữ liệu cần lấy cho biểu đồ Area. Hệ thống xử lý theo yêu cầu và thông báo kết quả xử lý cho Quản trị hệ thống</t>
  </si>
  <si>
    <t>Quản trị hệ thống kéo thả trường dữ liệu vào điều kiện lọc cho biểu đồ Area. Hệ thống xử lý theo yêu cầu và thông báo kết quả xử lý cho Quản trị hệ thống</t>
  </si>
  <si>
    <t>Quản trị hệ thống kéo thả nhiều trường dữ liệu vào điều kiện lọc cho biểu đồ Area. Hệ thống xử lý theo yêu cầu và thông báo kết quả xử lý cho Quản trị hệ thống</t>
  </si>
  <si>
    <t>Quản trị hệ thống Cấu hình nhóm dữ liệu cho biểu đồ cho biểu đồ Area. Hệ thống xử lý theo yêu cầu và thông báo kết quả xử lý cho Quản trị hệ thống</t>
  </si>
  <si>
    <t>Quản trị hệ thống Cấu hình hàm thể hiện dữ liệu biểu đồ Area. Hệ thống xử lý theo yêu cầu và thông báo kết quả xử lý cho Quản trị hệ thống</t>
  </si>
  <si>
    <t>Quản trị hệ thống Cấu hình thể hiện giao diện thể hiện biểu đồ Area. Hệ thống xử lý theo yêu cầu và thông báo kết quả xử lý cho Quản trị hệ thống</t>
  </si>
  <si>
    <t>Quản trị hệ thống Cấu hình hiển thị trục X biểu đồ Area. Hệ thống xử lý theo yêu cầu và thông báo kết quả xử lý cho Quản trị hệ thống</t>
  </si>
  <si>
    <t>Quản trị hệ thống Cấu hình hiển thị trục Y biểu đồ Area. Hệ thống xử lý theo yêu cầu và thông báo kết quả xử lý cho Quản trị hệ thống</t>
  </si>
  <si>
    <t>Cấu hình biểu đồ Pie</t>
  </si>
  <si>
    <t>Quản trị hệ thống Thêm nguồn dữ liệu cho biểu đồ Pie. Hệ thống xử lý theo yêu cầu và thông báo kết quả xử lý cho Quản trị hệ thống</t>
  </si>
  <si>
    <t>Quản trị hệ thống Thay đổi nguồn dữ liệu cho biểu đồ Pie. Hệ thống xử lý theo yêu cầu và thông báo kết quả xử lý cho Quản trị hệ thống</t>
  </si>
  <si>
    <t>Quản trị hệ thống Trộn nguồn dữ liệu cho biểu đồ Pie. Hệ thống xử lý theo yêu cầu và thông báo kết quả xử lý cho Quản trị hệ thống</t>
  </si>
  <si>
    <t>Quản trị hệ thống Cấu hình trường dữ liệu làm Rows cho biểu đồ Pie. Hệ thống xử lý theo yêu cầu và thông báo kết quả xử lý cho Quản trị hệ thống</t>
  </si>
  <si>
    <t>Quản trị hệ thống Cấu hình trường dữ liệu làm Columns cho biểu đồ Pie. Hệ thống xử lý theo yêu cầu và thông báo kết quả xử lý cho Quản trị hệ thống</t>
  </si>
  <si>
    <t>Quản trị hệ thống Cấu hình hạn chế dữ liệu cần lấy cho biểu đồ Pie. Hệ thống xử lý theo yêu cầu và thông báo kết quả xử lý cho Quản trị hệ thống</t>
  </si>
  <si>
    <t>Quản trị hệ thống kéo thả trường dữ liệu vào điều kiện lọc cho biểu đồ Pie. Hệ thống xử lý theo yêu cầu và thông báo kết quả xử lý cho Quản trị hệ thống</t>
  </si>
  <si>
    <t>Quản trị hệ thống kéo thả nhiều trường dữ liệu vào điều kiện lọc cho biểu đồ Pie. Hệ thống xử lý theo yêu cầu và thông báo kết quả xử lý cho Quản trị hệ thống</t>
  </si>
  <si>
    <t>Quản trị hệ thống Cấu hình nhóm dữ liệu cho biểu đồ cho biểu đồ Pie. Hệ thống xử lý theo yêu cầu và thông báo kết quả xử lý cho Quản trị hệ thống</t>
  </si>
  <si>
    <t>Quản trị hệ thống Cấu hình hàm thể hiện dữ liệu biểu đồ Pie. Hệ thống xử lý theo yêu cầu và thông báo kết quả xử lý cho Quản trị hệ thống</t>
  </si>
  <si>
    <t>Quản trị hệ thống Cấu hình thể hiện giao diện thể hiện biểu đồ Pie. Hệ thống xử lý theo yêu cầu và thông báo kết quả xử lý cho Quản trị hệ thống</t>
  </si>
  <si>
    <t>Quản trị hệ thống Cấu hình Chú thích biểu đồ Pie. Hệ thống xử lý theo yêu cầu và thông báo kết quả xử lý cho Quản trị hệ thống</t>
  </si>
  <si>
    <t>Quản trị hệ thống Cấu hình thể hiện chuỗi Series biểu đồ Pie. Hệ thống xử lý theo yêu cầu và thông báo kết quả xử lý cho Quản trị hệ thống</t>
  </si>
  <si>
    <t>Cấu hình biểu đồ Table</t>
  </si>
  <si>
    <t>Quản trị hệ thống Thêm nguồn dữ liệu cho biểu đồ Table. Hệ thống xử lý theo yêu cầu và thông báo kết quả xử lý cho Quản trị hệ thống</t>
  </si>
  <si>
    <t>Quản trị hệ thống Thay đổi nguồn dữ liệu cho biểu đồ Table. Hệ thống xử lý theo yêu cầu và thông báo kết quả xử lý cho Quản trị hệ thống</t>
  </si>
  <si>
    <t>Quản trị hệ thống Trộn nguồn dữ liệu cho biểu đồ Table. Hệ thống xử lý theo yêu cầu và thông báo kết quả xử lý cho Quản trị hệ thống</t>
  </si>
  <si>
    <t>Quản trị hệ thống Cấu hình trường dữ liệu làm Rows cho biểu đồ Table. Hệ thống xử lý theo yêu cầu và thông báo kết quả xử lý cho Quản trị hệ thống</t>
  </si>
  <si>
    <t>Quản trị hệ thống Cấu hình trường dữ liệu làm Columns cho biểu đồ Table. Hệ thống xử lý theo yêu cầu và thông báo kết quả xử lý cho Quản trị hệ thống</t>
  </si>
  <si>
    <t>Quản trị hệ thống Cấu hình hạn chế dữ liệu cần lấy cho biểu đồ Table. Hệ thống xử lý theo yêu cầu và thông báo kết quả xử lý cho Quản trị hệ thống</t>
  </si>
  <si>
    <t>Quản trị hệ thống kéo thả trường dữ liệu vào điều kiện lọc cho biểu đồ Table. Hệ thống xử lý theo yêu cầu và thông báo kết quả xử lý cho Quản trị hệ thống</t>
  </si>
  <si>
    <t>Quản trị hệ thống kéo thả nhiều trường dữ liệu vào điều kiện lọc cho biểu đồ Table. Hệ thống xử lý theo yêu cầu và thông báo kết quả xử lý cho Quản trị hệ thống</t>
  </si>
  <si>
    <t>Quản trị hệ thống Cấu hình nhóm dữ liệu cho biểu đồ cho biểu đồ Table. Hệ thống xử lý theo yêu cầu và thông báo kết quả xử lý cho Quản trị hệ thống</t>
  </si>
  <si>
    <t>Quản trị hệ thống Cấu hình hàm thể hiện dữ liệu biểu đồ Table. Hệ thống xử lý theo yêu cầu và thông báo kết quả xử lý cho Quản trị hệ thống</t>
  </si>
  <si>
    <t>Quản trị hệ thống Cấu hình chung thể hiện giao diện table. Hệ thống xử lý theo yêu cầu và thông báo kết quả xử lý cho Quản trị hệ thống</t>
  </si>
  <si>
    <t>Quản trị hệ thống Cấu hình header cho table. Hệ thống xử lý theo yêu cầu và thông báo kết quả xử lý cho Quản trị hệ thống</t>
  </si>
  <si>
    <t>Quản trị hệ thống Cấu hình thể hiện dữ liệu biểu đồ table. Hệ thống xử lý theo yêu cầu và thông báo kết quả xử lý cho Quản trị hệ thống</t>
  </si>
  <si>
    <t>Cấu hình biểu đồ Timeline</t>
  </si>
  <si>
    <t>Quản trị hệ thống Thêm nguồn dữ liệu biểu đồ Timeline. Hệ thống xử lý theo yêu cầu và thông báo kết quả xử lý cho Quản trị hệ thống</t>
  </si>
  <si>
    <t>Quản trị hệ thống Thay đổi nguồn dữ liệu biểu đồ Timeline. Hệ thống xử lý theo yêu cầu và thông báo kết quả xử lý cho Quản trị hệ thống</t>
  </si>
  <si>
    <t>Quản trị hệ thống Trộn nguồn dữ liệu biểu đồ Timeline. Hệ thống xử lý theo yêu cầu và thông báo kết quả xử lý cho Quản trị hệ thống</t>
  </si>
  <si>
    <t>Quản trị hệ thống Cấu hình trường dữ liệu làm Rows biểu đồ Timeline. Hệ thống xử lý theo yêu cầu và thông báo kết quả xử lý cho Quản trị hệ thống</t>
  </si>
  <si>
    <t>Quản trị hệ thống Cấu hình trường dữ liệu làm Columns biểu đồ Timeline. Hệ thống xử lý theo yêu cầu và thông báo kết quả xử lý cho Quản trị hệ thống</t>
  </si>
  <si>
    <t>Quản trị hệ thống Cấu hình hạn chế dữ liệu cần lấy biểu đồ Timeline. Hệ thống xử lý theo yêu cầu và thông báo kết quả xử lý cho Quản trị hệ thống</t>
  </si>
  <si>
    <t>Quản trị hệ thống kéo thả trường dữ liệu vào điều kiện lọc biểu đồ Timeline. Hệ thống xử lý theo yêu cầu và thông báo kết quả xử lý cho Quản trị hệ thống</t>
  </si>
  <si>
    <t>Quản trị hệ thống kéo thả nhiều trường dữ liệu vào điều kiện lọc biểu đồ Timeline. Hệ thống xử lý theo yêu cầu và thông báo kết quả xử lý cho Quản trị hệ thống</t>
  </si>
  <si>
    <t>Quản trị hệ thống Cấu hình nhóm dữ liệu cho biểu đồ biểu đồ Timeline. Hệ thống xử lý theo yêu cầu và thông báo kết quả xử lý cho Quản trị hệ thống</t>
  </si>
  <si>
    <t>Quản trị hệ thống Cấu hình hàm thể hiện dữ liệu biểu đồ Timeline. Hệ thống xử lý theo yêu cầu và thông báo kết quả xử lý cho Quản trị hệ thống</t>
  </si>
  <si>
    <t>Cấu hình biểu đồ Geomap</t>
  </si>
  <si>
    <t>Quản trị hệ thống Thêm nguồn dữ liệu biểu đồ Geomap. Hệ thống xử lý theo yêu cầu và thông báo kết quả xử lý cho Quản trị hệ thống</t>
  </si>
  <si>
    <t>Quản trị hệ thống Thay đổi nguồn dữ liệu biểu đồ Geomap. Hệ thống xử lý theo yêu cầu và thông báo kết quả xử lý cho Quản trị hệ thống</t>
  </si>
  <si>
    <t>Quản trị hệ thống Trộn nguồn dữ liệu biểu đồ Geomap. Hệ thống xử lý theo yêu cầu và thông báo kết quả xử lý cho Quản trị hệ thống</t>
  </si>
  <si>
    <t>Quản trị hệ thống Cấu hình trường dữ liệu làm Rows biểu đồ Geomap. Hệ thống xử lý theo yêu cầu và thông báo kết quả xử lý cho Quản trị hệ thống</t>
  </si>
  <si>
    <t>Quản trị hệ thống Cấu hình trường dữ liệu làm Columns biểu đồ Geomap. Hệ thống xử lý theo yêu cầu và thông báo kết quả xử lý cho Quản trị hệ thống</t>
  </si>
  <si>
    <t>Quản trị hệ thống Cấu hình hạn chế dữ liệu cần lấy biểu đồ Geomap. Hệ thống xử lý theo yêu cầu và thông báo kết quả xử lý cho Quản trị hệ thống</t>
  </si>
  <si>
    <t>Quản trị hệ thống kéo thả trường dữ liệu vào điều kiện lọc biểu đồ Geomap. Hệ thống xử lý theo yêu cầu và thông báo kết quả xử lý cho Quản trị hệ thống</t>
  </si>
  <si>
    <t>Quản trị hệ thống kéo thả nhiều trường dữ liệu vào điều kiện lọc biểu đồ Geomap. Hệ thống xử lý theo yêu cầu và thông báo kết quả xử lý cho Quản trị hệ thống</t>
  </si>
  <si>
    <t>Quản trị hệ thống Cấu hình nhóm dữ liệu cho biểu đồ biểu đồ Geomap. Hệ thống xử lý theo yêu cầu và thông báo kết quả xử lý cho Quản trị hệ thống</t>
  </si>
  <si>
    <t>Quản trị hệ thống Cấu hình hàm thể hiện dữ liệu biểu đồ GeoMap. Hệ thống xử lý theo yêu cầu và thông báo kết quả xử lý cho Quản trị hệ thống</t>
  </si>
  <si>
    <t>Quản trị hệ thống Cấu hình thể hiện thành phần biểu đồ Geo map. Hệ thống xử lý theo yêu cầu và thông báo kết quả xử lý cho Quản trị hệ thống</t>
  </si>
  <si>
    <t>IV.3</t>
  </si>
  <si>
    <t>Quản lý Landingpage</t>
  </si>
  <si>
    <t>Quản lý danh sách landingpage</t>
  </si>
  <si>
    <t>Quản trị hệ thống Xem danh sách Landing Page. Hệ thống xử lý theo yêu cầu và thông báo kết quả xử lý cho Quản trị hệ thống</t>
  </si>
  <si>
    <t>Quản trị hệ thống Xem chi tiết Landingpage. Hệ thống xử lý theo yêu cầu và thông báo kết quả xử lý cho Quản trị hệ thống</t>
  </si>
  <si>
    <t>Quản trị hệ thống Sửa thông tin Landingpage. Hệ thống xử lý theo yêu cầu và thông báo kết quả xử lý cho Quản trị hệ thống</t>
  </si>
  <si>
    <t>Quản trị hệ thống Xóa landingpage. Hệ thống xử lý theo yêu cầu và thông báo kết quả xử lý cho Quản trị hệ thống</t>
  </si>
  <si>
    <t>Quản trị hệ thống tìm kiếm landingpage. Hệ thống xử lý theo yêu cầu và thông báo kết quả xử lý cho Quản trị hệ thống</t>
  </si>
  <si>
    <t>Quản trị hệ thống Thêm mới landingpage. Hệ thống xử lý theo yêu cầu và thông báo kết quả xử lý cho Quản trị hệ thống</t>
  </si>
  <si>
    <t>Cấu hình menu cho landingpage</t>
  </si>
  <si>
    <t>Quản trị hệ thống Cấu hình hiển thị. Hệ thống xử lý theo yêu cầu và thông báo kết quả xử lý cho Quản trị hệ thống</t>
  </si>
  <si>
    <t>Quản trị hệ thống Cấu hình font chữ. Hệ thống xử lý theo yêu cầu và thông báo kết quả xử lý cho Quản trị hệ thống</t>
  </si>
  <si>
    <t>Quản trị hệ thống Cấu hình kích cỡ phần tử menu. Hệ thống xử lý theo yêu cầu và thông báo kết quả xử lý cho Quản trị hệ thống</t>
  </si>
  <si>
    <t>Quản trị hệ thống Cấu hình màu nèn. Hệ thống xử lý theo yêu cầu và thông báo kết quả xử lý cho Quản trị hệ thống</t>
  </si>
  <si>
    <t>Quản trị hệ thống Cấu hình chuyển động. Hệ thống xử lý theo yêu cầu và thông báo kết quả xử lý cho Quản trị hệ thống</t>
  </si>
  <si>
    <t>Quản trị hệ thống Cấu hình liên kết. Hệ thống xử lý theo yêu cầu và thông báo kết quả xử lý cho Quản trị hệ thống</t>
  </si>
  <si>
    <t>Quản trị hệ thống Cấu hình logo. Hệ thống xử lý theo yêu cầu và thông báo kết quả xử lý cho Quản trị hệ thống</t>
  </si>
  <si>
    <t>Quản trị hệ thống Cấu hình thay đổi cho theme. Hệ thống xử lý theo yêu cầu và thông báo kết quả xử lý cho Quản trị hệ thống</t>
  </si>
  <si>
    <t>Cấu hình gắn trang Dashboard chỉ số lên cây menu</t>
  </si>
  <si>
    <t>Quản trị hệ thống Cấu hình từng node. Hệ thống xử lý theo yêu cầu và thông báo kết quả xử lý cho Quản trị hệ thống</t>
  </si>
  <si>
    <t>Quản trị hệ thống Cấu hình icon node. Hệ thống xử lý theo yêu cầu và thông báo kết quả xử lý cho Quản trị hệ thống</t>
  </si>
  <si>
    <t>Quản trị hệ thống Cấu hình tên node. Hệ thống xử lý theo yêu cầu và thông báo kết quả xử lý cho Quản trị hệ thống</t>
  </si>
  <si>
    <t>Quản trị hệ thống Cấu hình link dashboard thể hiện node. Hệ thống xử lý theo yêu cầu và thông báo kết quả xử lý cho Quản trị hệ thống</t>
  </si>
  <si>
    <t>Phân quyền truy cập landingpage</t>
  </si>
  <si>
    <t>Quản trị hệ thống Phân quyền truy cập từng node. Hệ thống xử lý theo yêu cầu và thông báo kết quả xử lý cho Quản trị hệ thống</t>
  </si>
  <si>
    <t>Quản trị hệ thống phân quyền truy cập cho từng phòng ban từng node. Hệ thống xử lý theo yêu cầu và thông báo kết quả xử lý cho Quản trị hệ thống</t>
  </si>
  <si>
    <t>Quản trị hệ thống phân quyền truy cập cho từng người dùng truy cập từng node. Hệ thống xử lý theo yêu cầu và thông báo kết quả xử lý cho Quản trị hệ thống</t>
  </si>
  <si>
    <t>Quản trị hệ thống phân quyền truy cập cho toàn bộ landingpage. Hệ thống xử lý theo yêu cầu và thông báo kết quả xử lý cho Quản trị hệ thống</t>
  </si>
  <si>
    <t>Quản trị hệ thống Quản trị hệ thống có thể cập nhật cấu hình tham số kết nối đến database; hệ thống tiếp nhận thông tin và thực hiện lưu cấu hình, sau khi hệ thống lưu cấu hình theo yêu cầu, phản hồi kết quả cho Quản trị hệ thống. Hệ thống xử lý theo yêu cầu và thông báo kết quả xử lý cho Quản trị hệ thống</t>
  </si>
  <si>
    <t>TẠO LẬP BÁO CÁO CHỈ TIÊU</t>
  </si>
  <si>
    <t>V.1</t>
  </si>
  <si>
    <t>Thiết kế báo cáo chỉ tiêu</t>
  </si>
  <si>
    <t>Tạo mới loại báo cáo số liệu</t>
  </si>
  <si>
    <t>Quản trị đơn vị</t>
  </si>
  <si>
    <t>Quản trị đơn vị vào danh mục báo cáo số liệu trên hệ thống, chọn chức năng tạo mới loại báo cáo. Hệ thống xử lý yêu cầu và hiển thị thông báo kết quả xử lý</t>
  </si>
  <si>
    <t>Quản trị đơn vị chọn kỳ báo cáo. Hệ thống xử lý yêu cầu và hiển thị thông báo kết quả xử lý</t>
  </si>
  <si>
    <t>Quản trị đơn vị chọn cấp hành chính. Hệ thống xử lý yêu cầu và hiển thị thông báo kết quả xử lý</t>
  </si>
  <si>
    <t>Quản trị đơn vị chọn lĩnh vực báo cáo. Hệ thống xử lý yêu cầu và hiển thị thông báo kết quả xử lý</t>
  </si>
  <si>
    <t>Quản trị đơn vị nhập tên báo cáo số liệu/báo cáo danh sách. Hệ thống xử lý yêu cầu và hiển thị thông báo kết quả xử lý</t>
  </si>
  <si>
    <t>Quản trị đơn vị chọn phòng ban cho báo cáo số liệu/báo cáo danh sách và ghi lại. Hệ thống xử lý yêu cầu và hiển thị thông báo kết quả xử lý</t>
  </si>
  <si>
    <t>Sửa loại báo cáo số liệu</t>
  </si>
  <si>
    <t>Quản trị đơn vị vào danh mục báo cáo số liệu/báo cáo danh sách trên hệ thống, chọn loại báo cáo cần sửa thông tin. Hệ thống xử lý yêu cầu và hiển thị thông báo kết quả xử lý</t>
  </si>
  <si>
    <t>Quản trị đơn vị thay đổi chọn kỳ báo cáo. Hệ thống xử lý yêu cầu và hiển thị thông báo kết quả xử lý</t>
  </si>
  <si>
    <t>Quản trị đơn vị thay đổi chọn cấp hành chính. Hệ thống xử lý yêu cầu và hiển thị thông báo kết quả xử lý</t>
  </si>
  <si>
    <t>Quản trị đơn vị thay đổi chọn lĩnh vực báo cáo. Hệ thống xử lý yêu cầu và hiển thị thông báo kết quả xử lý</t>
  </si>
  <si>
    <t>Quản trị đơn vị sửa tên báo cáo số liệu/báo cáo danh sách. Hệ thống xử lý yêu cầu và hiển thị thông báo kết quả xử lý</t>
  </si>
  <si>
    <t>Quản trị đơn vị thay đổi chọn phòng ban cho báo cáo số liệu/báo cáo danh sách và ghi lại. Hệ thống xử lý yêu cầu và hiển thị thông báo kết quả xử lý</t>
  </si>
  <si>
    <t>Xóa loại báo cáo số liệu</t>
  </si>
  <si>
    <t>Quản trị đơn vị vào danh mục báo cáo số liệu/báo cáo danh sách trên hệ thống để xóa báo cáo. Hệ thống xử lý yêu cầu và hiển thị thông báo kết quả xử lý</t>
  </si>
  <si>
    <t>Quản trị đơn vị chọn loại báo cáo cần xóa trên hệ thống. Hệ thống xử lý yêu cầu và hiển thị thông báo kết quả xử lý</t>
  </si>
  <si>
    <t>Quản trị đơn vị nhập lý do trước khi xác nhận xóa báo cáo. Hệ thống xử lý yêu cầu và hiển thị thông báo kết quả xử lý</t>
  </si>
  <si>
    <t>Quản trị đơn vị chọn Xác nhận để xóa loại báo cáo trên hệ thống. Hệ thống xử lý yêu cầu và hiển thị thông báo kết quả xử lý</t>
  </si>
  <si>
    <t>Kích hoạt trạng thái báo cáo số liệu</t>
  </si>
  <si>
    <t>Quản trị đơn vị vào danh mục báo cáo số liệu/báo cáo danh sách trên hệ thống, chọn loại báo cáo cần kích hoạt trạng thái báo cáo. Hệ thống xử lý yêu cầu và hiển thị thông báo kết quả xử lý</t>
  </si>
  <si>
    <t>Quản trị đơn vị thực hiện kích hoạt trạng thái báo cáo. Hệ thống xử lý yêu cầu và hiển thị thông báo kết quả xử lý</t>
  </si>
  <si>
    <t>Hủy kích trạng thái báo cáo số liệu</t>
  </si>
  <si>
    <t>Quản trị đơn vị vào danh mục báo cáo số liệu/báo cáo danh sách trên hệ thống, chọn loại báo cáo cần hủy kích hoạt trạng thái báo cáo. Hệ thống xử lý yêu cầu và hiển thị thông báo kết quả xử lý</t>
  </si>
  <si>
    <t>Quản trị đơn vị thực hiện hủy kích hoạt trạng thái báo cáo. Hệ thống xử lý yêu cầu và hiển thị thông báo kết quả xử lý</t>
  </si>
  <si>
    <t>Cấu hình thông báo báo cáo số liệu quá hạn</t>
  </si>
  <si>
    <t>Quản trị đơn vị vào danh mục báo cáo số liệu. Hệ thống xử lý yêu cầu và hiển thị thông báo kết quả xử lý</t>
  </si>
  <si>
    <t>Quản trị đơn vị lựa chọn báo cáo số liệu để kích hoạt báo cáo quá hạn. Hệ thống xử lý yêu cầu và hiển thị thông báo kết quả xử lý</t>
  </si>
  <si>
    <t>Quản trị đơn vị lựa chọn cấu hình thời điểm kích hoạt chu kỳ. Hệ thống xử lý yêu cầu và hiển thị thông báo kết quả xử lý</t>
  </si>
  <si>
    <t>Quản trị đơn vị xác nhận để kích hoạt báo cáo quá hạn. Hệ thống xử lý yêu cầu và hiển thị thông báo kết quả xử lý</t>
  </si>
  <si>
    <t>Sửa cấu hình báo cáo số liệu quá hạn</t>
  </si>
  <si>
    <t>Quản trị đơn vị chọn báo cáo số liệu để sửa cấu hình báo cáo quá hạn. Hệ thống xử lý yêu cầu và hiển thị thông báo kết quả xử lý</t>
  </si>
  <si>
    <t>Quản trị đơn vị thay đổi cấu hình thời điểm kích hoạt chu kỳ. Hệ thống xử lý yêu cầu và hiển thị thông báo kết quả xử lý</t>
  </si>
  <si>
    <t>Quản trị đơn vị xác nhận để sửa cấu hình. Hệ thống xử lý yêu cầu và hiển thị thông báo kết quả xử lý</t>
  </si>
  <si>
    <t>Cấu hình tiêu đề cột biểu mẫu báo cáo số liệu</t>
  </si>
  <si>
    <t>Quản trị đơn vị chọn báo cáo số liệu cần cấu hình tiêu đề cột biểu mẫu báo cáo. Hệ thống xử lý yêu cầu và hiển thị thông báo kết quả xử lý</t>
  </si>
  <si>
    <t>Quản trị đơn vị thêm cột biểu mẫu báo cáo và nhập tên tiêu đề. Hệ thống xử lý yêu cầu và hiển thị thông báo kết quả xử lý</t>
  </si>
  <si>
    <t>Quản trị đơn vị xác nhận để thêm tiêu đề cột biểu mẫu báo cáo. Hệ thống xử lý yêu cầu và hiển thị thông báo kết quả xử lý</t>
  </si>
  <si>
    <t>Cấu hình tiêu đề dòng biểu mẫu báo cáo số liệu</t>
  </si>
  <si>
    <t>Quản trị đơn vị chọn báo cáo số liệu cần cấu hình tiêu đề dòng biểu mẫu báo cáo. Hệ thống xử lý yêu cầu và hiển thị thông báo kết quả xử lý</t>
  </si>
  <si>
    <t>Quản trị đơn vị thêm dòng biểu mẫu báo cáo và tên tiêu đề. Hệ thống xử lý yêu cầu và hiển thị thông báo kết quả xử lý</t>
  </si>
  <si>
    <t>Quản trị đơn vị xác nhận để thêm tiêu đề dòng biểu mẫu báo cáo. Hệ thống xử lý yêu cầu và hiển thị thông báo kết quả xử lý</t>
  </si>
  <si>
    <t>Sửa cấu hình tiêu đề cột biểu mẫu báo cáo số liệu</t>
  </si>
  <si>
    <t>Quản trị đơn vị chọn báo cáo số liệu cần sửa cấu hình tiêu đề cột biểu mẫu báo cáo. Hệ thống xử lý yêu cầu và hiển thị thông báo kết quả xử lý</t>
  </si>
  <si>
    <t>Quản trị đơn vị sửa tên tiêu đề cột biểu mẫu báo cáo. Hệ thống xử lý yêu cầu và hiển thị thông báo kết quả xử lý</t>
  </si>
  <si>
    <t>Quản trị đơn vị xác nhận để sửa tiêu đề cột biểu mẫu báo cáo. Hệ thống xử lý yêu cầu và hiển thị thông báo kết quả xử lý</t>
  </si>
  <si>
    <t>Sửa cấu hình tiêu đề dòng biểu mẫu báo cáo số liệu</t>
  </si>
  <si>
    <t>Quản trị đơn vị chọn báo cáo số liệu cần sửa cấu hình tiêu đề dòng biểu mẫu báo cáo. Hệ thống xử lý yêu cầu và hiển thị thông báo kết quả xử lý</t>
  </si>
  <si>
    <t>Quản trị đơn vị sửa tên tiêu đề dòng biểu mẫu báo cáo. Hệ thống xử lý yêu cầu và hiển thị thông báo kết quả xử lý</t>
  </si>
  <si>
    <t>Quản trị đơn vị xác nhận để sửa tiêu đề dòng biểu mẫu báo cáo. Hệ thống xử lý yêu cầu và hiển thị thông báo kết quả xử lý</t>
  </si>
  <si>
    <t>Xóa cấu hình tiêu đề cột biểu mẫu báo cáo số liệu</t>
  </si>
  <si>
    <t>Quản trị đơn vị chọn báo cáo cấu hình tiêu đề cột biểu mẫu báo cáo số liệu cần xóa. Hệ thống xử lý yêu cầu và hiển thị thông báo kết quả xử lý</t>
  </si>
  <si>
    <t>Quản trị đơn vị xóa cấu hình tiêu đề cột biểu mẫu báo cáo. Hệ thống xử lý yêu cầu và hiển thị thông báo kết quả xử lý</t>
  </si>
  <si>
    <t>Quản trị đơn vị xác nhận để xóa tên tiêu đề cột biểu mẫu báo cáo. Hệ thống xử lý yêu cầu và hiển thị thông báo kết quả xử lý</t>
  </si>
  <si>
    <t>Xóa cấu hình tiêu đề dòng biểu mẫu báo cáo số liệu</t>
  </si>
  <si>
    <t>Quản trị đơn vị chọn báo cáo số liệu cần xóa cấu hình tiêu đề dòng biểu mẫu báo cáo. Hệ thống xử lý yêu cầu và hiển thị thông báo kết quả xử lý</t>
  </si>
  <si>
    <t>Quản trị đơn vị xóa cấu hình tiêu đề dòng biểu mẫu báo cáo. Hệ thống xử lý yêu cầu và hiển thị thông báo kết quả xử lý</t>
  </si>
  <si>
    <t>Quản trị đơn vị xác nhận để xóa tên tiêu đề dòng biểu mẫu báo cáo. Hệ thống xử lý yêu cầu và hiển thị thông báo kết quả xử lý</t>
  </si>
  <si>
    <t>Cấu hình kiểu dữ liệu cho các cột của báo cáo số liệu</t>
  </si>
  <si>
    <t>Quản trị đơn vị chọn cấu hình kiểu dữ liệu. Hệ thống xử lý yêu cầu và hiển thị thông báo kết quả xử lý</t>
  </si>
  <si>
    <t>Quản trị đơn vị chọn kiểu dữ liệu tương ứng với tiêu đề. Hệ thống xử lý yêu cầu và hiển thị thông báo kết quả xử lý</t>
  </si>
  <si>
    <t>Quản trị đơn vị cấu hình các kiểu dữ liệu (chỉ đọc tiêu đề dữ liệu, ẩn cột trên mobile hoặc desktop). Hệ thống xử lý yêu cầu và hiển thị thông báo kết quả xử lý</t>
  </si>
  <si>
    <t>Quản trị đơn vị xác nhận cấu hình. Hệ thống xử lý yêu cầu và hiển thị thông báo kết quả xử lý</t>
  </si>
  <si>
    <t>Sửa cấu hình kiểu dữ liệu cho các cột của báo cáo số liệu</t>
  </si>
  <si>
    <t>Quản trị đơn vị chọn cấu hình kiểu dữ liệu cần sửa. Hệ thống xử lý yêu cầu và hiển thị thông báo kết quả xử lý</t>
  </si>
  <si>
    <t>Quản trị đơn vị thay đổi kiểu dữ liệu tương ứng với tiêu đề. Hệ thống xử lý yêu cầu và hiển thị thông báo kết quả xử lý</t>
  </si>
  <si>
    <t>Quản trị đơn vị sửa cấu hình các kiểu dữ liệu (chỉ đọc tiêu đề dữ liệu, ẩn cột trên mobile hoặc desktop). Hệ thống xử lý yêu cầu và hiển thị thông báo kết quả xử lý</t>
  </si>
  <si>
    <t>Gán quy trình vào biểu mẫu báo cáo số liệu</t>
  </si>
  <si>
    <t>Quản trị đơn vị chọn báo cáo số liệu cần gán quy trình biểu mẫu. Hệ thống xử lý yêu cầu và hiển thị thông báo kết quả xử lý</t>
  </si>
  <si>
    <t>Quản trị đơn vị tìm kiếm tên quy trình cần gán vào biểu mẫu báo cáo. Hệ thống xử lý yêu cầu và hiển thị thông báo kết quả xử lý</t>
  </si>
  <si>
    <t>Quản trị đơn vị nhấn chọn quy trình để thêm và ghi lại. Hệ thống xử lý yêu cầu và hiển thị thông báo kết quả xử lý</t>
  </si>
  <si>
    <t>Bỏ gán quy trình vào biểu mẫu báo cáo số liệu</t>
  </si>
  <si>
    <t>Quản trị đơn vị chọn biểu mẫu cần bỏ gán quy trình. Hệ thống xử lý yêu cầu và hiển thị thông báo kết quả xử lý</t>
  </si>
  <si>
    <t>Quản trị đơn vị chọn xóa quy trình trên biểu mẫu. Hệ thống xử lý yêu cầu và hiển thị thông báo kết quả xử lý</t>
  </si>
  <si>
    <t>Tạo header báo cáo số liệu</t>
  </si>
  <si>
    <t>Quản trị đơn vị chọn loại báo cáo số liệu cần tạo header/footer. Hệ thống xử lý yêu cầu và hiển thị thông báo kết quả xử lý</t>
  </si>
  <si>
    <t>Quản trị đơn vị chọn header/footer của báo cáo. Hệ thống xử lý yêu cầu và hiển thị thông báo kết quả xử lý</t>
  </si>
  <si>
    <t>Quản trị đơn vị thêm thông tin của header/footer báo cáo. Hệ thống xử lý yêu cầu và hiển thị thông báo kết quả xử lý</t>
  </si>
  <si>
    <t>Quản trị đơn vị xác nhận tạo header/footer báo cáo. Hệ thống xử lý yêu cầu và hiển thị thông báo kết quả xử lý</t>
  </si>
  <si>
    <t>Tạo footer báo cáo số liệu</t>
  </si>
  <si>
    <t>Quản trị đơn vị chọn loại báo cáo (số liệu) cần tạo footer. Hệ thống xử lý yêu cầu và hiển thị thông báo kết quả xử lý</t>
  </si>
  <si>
    <t>Quản trị đơn vị chọn footer và thêm thông tin của báo cáo. Hệ thống xử lý yêu cầu và hiển thị thông báo kết quả xử lý</t>
  </si>
  <si>
    <t>Quản trị đơn vị xác nhận để tạo footer báo cáo. Hệ thống xử lý yêu cầu và hiển thị thông báo kết quả xử lý</t>
  </si>
  <si>
    <t>Sửa header báo cáo số liệu</t>
  </si>
  <si>
    <t>Quản trị đơn vị chọn loại báo cáo (số liệu) cần sửa. Hệ thống xử lý yêu cầu và hiển thị thông báo kết quả xử lý</t>
  </si>
  <si>
    <t>Quản trị đơn vị chọn header và sửa thông tin của báo cáo. Hệ thống xử lý yêu cầu và hiển thị thông báo kết quả xử lý</t>
  </si>
  <si>
    <t>Quản trị đơn vị xác nhận để sửa thông tin của header báo cáo. Hệ thống xử lý yêu cầu và hiển thị thông báo kết quả xử lý</t>
  </si>
  <si>
    <t>Sửa footer báo cáo số liệu</t>
  </si>
  <si>
    <t>Quản trị đơn vị chọn footer và sửa thông tin của báo cáo. Hệ thống xử lý yêu cầu và hiển thị thông báo kết quả xử lý</t>
  </si>
  <si>
    <t>Quản trị đơn vị xác nhận để sửa thông tin của footer báo cáo. Hệ thống xử lý yêu cầu và hiển thị thông báo kết quả xử lý</t>
  </si>
  <si>
    <t>Xóa header báo cáo số liệu</t>
  </si>
  <si>
    <t>Quản trị đơn vị vào danh sách báo cáo số liệu, chọn loại báo cáo cần xoá header. Hệ thống xử lý yêu cầu và hiển thị thông báo kết quả xử lý</t>
  </si>
  <si>
    <t>Quản trị đơn vị xóa thông tin của header. Hệ thống xử lý yêu cầu và hiển thị thông báo kết quả xử lý</t>
  </si>
  <si>
    <t>Quản trị đơn vị xác nhận để xóa thông tin của header báo cáo. Hệ thống xử lý yêu cầu và hiển thị thông báo kết quả xử lý</t>
  </si>
  <si>
    <t>Xóa footer báo cáo số liệu</t>
  </si>
  <si>
    <t>Quản trị đơn vị vào danh sách báo cáo số liệu, chọn loại báo cáo cần xoá footer. Hệ thống xử lý yêu cầu và hiển thị thông báo kết quả xử lý</t>
  </si>
  <si>
    <t>Quản trị đơn vị xóa thông tin của footer. Hệ thống xử lý yêu cầu và hiển thị thông báo kết quả xử lý</t>
  </si>
  <si>
    <t>Quản trị đơn vị xác nhận để xóa thông tin của footer báo cáo. Hệ thống xử lý yêu cầu và hiển thị thông báo kết quả xử lý</t>
  </si>
  <si>
    <t>Sao chép loại báo cáo số liệu</t>
  </si>
  <si>
    <t>Quản trị đơn vị vào danh sách loại báo cáo (số liệu). Hệ thống xử lý yêu cầu và hiển thị thông báo kết quả xử lý</t>
  </si>
  <si>
    <t>Quản trị đơn vị chọn loại báo cáo cần sao chép. Hệ thống xử lý yêu cầu và hiển thị thông báo kết quả xử lý</t>
  </si>
  <si>
    <t>Quản trị đơn vị thực hiện sao chép báo cáo. Hệ thống xử lý yêu cầu và hiển thị thông báo kết quả xử lý</t>
  </si>
  <si>
    <t>Xuất tệp báo cáo số liệu</t>
  </si>
  <si>
    <t>Quản trị đơn vị chọn báo cáo cần xuất tệp. Hệ thống xử lý yêu cầu và hiển thị thông báo kết quả xử lý</t>
  </si>
  <si>
    <t>Quản trị đơn vị thực hiện xuất tệp báo cáo. Hệ thống xử lý yêu cầu và hiển thị thông báo kết quả xử lý</t>
  </si>
  <si>
    <t>Tìm kiếm loại báo cáo số liệu theo lĩnh vực</t>
  </si>
  <si>
    <t>Quản trị đơn vị tìm kiếm theo lĩnh vực báo cáo. Hệ thống xử lý yêu cầu và hiển thị thông báo kết quả xử lý</t>
  </si>
  <si>
    <t>Tìm kiếm loại báo cáo số liệu theo trạng thái</t>
  </si>
  <si>
    <t>Quản trị đơn vị tìm kiếm theo trạng thái báo cáo. Hệ thống xử lý yêu cầu và hiển thị thông báo kết quả xử lý</t>
  </si>
  <si>
    <t>Tìm kiếm loại báo cáo số liệu theo mã</t>
  </si>
  <si>
    <t>Quản trị đơn vị tìm kiếm theo mã báo cáo. Hệ thống xử lý yêu cầu và hiển thị thông báo kết quả xử lý</t>
  </si>
  <si>
    <t>Tìm kiếm loại báo cáo số liệu theo tên</t>
  </si>
  <si>
    <t>Quản trị đơn vị tìm kiếm theo tên loại văn bản/hồ sơ. Hệ thống xử lý yêu cầu và hiển thị thông báo kết quả xử lý</t>
  </si>
  <si>
    <t>Tìm kiếm loại báo cáo số liệu theo kỳ báo cáo</t>
  </si>
  <si>
    <t>Quản trị đơn vị tìm kiếm theo kỳ báo cáo. Hệ thống xử lý yêu cầu và hiển thị thông báo kết quả xử lý</t>
  </si>
  <si>
    <t>Tìm kiếm loại báo cáo số liệu theo phòng ban</t>
  </si>
  <si>
    <t>Quản trị đơn vị tìm kiếm theo phòng ban. Hệ thống xử lý yêu cầu và hiển thị thông báo kết quả xử lý</t>
  </si>
  <si>
    <t>Tạo mới thông tin quy trình báo cáo</t>
  </si>
  <si>
    <t>Quản trị hệ thống vào danh mục quy trình, chọn tạo mới quy trình. Hệ thống xử lý yêu cầu và hiển thị thông báo kết quả xử lý</t>
  </si>
  <si>
    <t>Quản trị hệ thống nhập tên quy trình cần tạo. Hệ thống xử lý yêu cầu và hiển thị thông báo kết quả xử lý</t>
  </si>
  <si>
    <t>Quản trị hệ thống nhập thời gian xử lý báo cáo. Hệ thống xử lý yêu cầu và hiển thị thông báo kết quả xử lý</t>
  </si>
  <si>
    <t>Quản trị hệ thống chọn kích hoạt trạng thái quy trình để được sử dụng trên hệ thống và ghi lại. Hệ thống xử lý yêu cầu và hiển thị thông báo kết quả xử lý</t>
  </si>
  <si>
    <t>Sửa thông tin quy trình báo cáo</t>
  </si>
  <si>
    <t>Quản trị hệ thống vào danh mục quy trình, chọn quy trình cần sửa. Hệ thống xử lý yêu cầu và hiển thị thông báo kết quả xử lý</t>
  </si>
  <si>
    <t>Quản trị hệ thống sửa tên quy trình. Hệ thống xử lý yêu cầu và hiển thị thông báo kết quả xử lý</t>
  </si>
  <si>
    <t>Quản trị hệ thống sửa thời gian xử lý báo cáo. Hệ thống xử lý yêu cầu và hiển thị thông báo kết quả xử lý</t>
  </si>
  <si>
    <t>Quản trị hệ thống chọn/bỏ chọn kích hoạt trạng thái quy trình để được sử dụng trên hệ thống và ghi lại. Hệ thống xử lý yêu cầu và hiển thị thông báo kết quả xử lý</t>
  </si>
  <si>
    <t>Xóa thông tin quy trình báo cáo</t>
  </si>
  <si>
    <t>Quản trị hệ thống vào danh mục quy trình trên hệ thống. Hệ thống xử lý yêu cầu và hiển thị thông báo kết quả xử lý</t>
  </si>
  <si>
    <t>Quản trị hệ thống chọn quy trình trên hệ thống cần xóa thông tin. Hệ thống xử lý yêu cầu và hiển thị thông báo kết quả xử lý</t>
  </si>
  <si>
    <t>Quản trị hệ thống chọn Xác nhận để xóa quy trình trên hệ thống. Hệ thống xử lý yêu cầu và hiển thị thông báo kết quả xử lý</t>
  </si>
  <si>
    <t>Cấu hình đối tượng quy trình</t>
  </si>
  <si>
    <t>Quản trị hệ thống vào danh mục quy trình trên hệ thống để cấu hình quy trình. Hệ thống xử lý yêu cầu và hiển thị thông báo kết quả xử lý</t>
  </si>
  <si>
    <t>Quản trị hệ thống thêm đối tượng Người sử dụng trên quy trình và ghi lại. Hệ thống xử lý yêu cầu và hiển thị thông báo kết quả xử lý</t>
  </si>
  <si>
    <t>Sửa cấu hình đối tượng quy trình</t>
  </si>
  <si>
    <t>Quản trị hệ thống vào danh mục quy trình trên hệ thống để sửa cấu hình đối tượng quy trình. Hệ thống xử lý yêu cầu và hiển thị thông báo kết quả xử lý</t>
  </si>
  <si>
    <t>Quản trị hệ thống sửa đối tượng Người sử dụng trên quy trình và ghi lại. Hệ thống xử lý yêu cầu và hiển thị thông báo kết quả xử lý</t>
  </si>
  <si>
    <t>Xóa đối tượng trong quy trình</t>
  </si>
  <si>
    <t>Quản trị hệ thống chọn đối tượng trong quy trình cần xóa. Hệ thống xử lý yêu cầu và hiển thị thông báo kết quả xử lý</t>
  </si>
  <si>
    <t>Quản trị hệ thống chọn chức năng xóa đối tượng trong quy trình. Hệ thống xử lý yêu cầu và hiển thị thông báo kết quả xử lý</t>
  </si>
  <si>
    <t>Quản trị hệ thống xác nhận xóa đối tượng trong quy trình. Hệ thống xử lý yêu cầu và hiển thị thông báo kết quả xử lý</t>
  </si>
  <si>
    <t>Thêm luồng chuyển quy trình cho đối tượng</t>
  </si>
  <si>
    <t>Quản trị hệ thống chọn quy trình cần thêm luồng chuyển quy trình cho đối tượng. Hệ thống xử lý yêu cầu và hiển thị thông báo kết quả xử lý</t>
  </si>
  <si>
    <t>Quản trị hệ thống chọn thêm tên hành động cho luồng chuyển quy trình. Hệ thống xử lý yêu cầu và hiển thị thông báo kết quả xử lý</t>
  </si>
  <si>
    <t>Quản trị hệ thống chọn ký điện tử (nếu cần) và ghi lại. Hệ thống xử lý yêu cầu và hiển thị thông báo kết quả xử lý</t>
  </si>
  <si>
    <t>Sửa luồng chuyển quy trình cho đối tượng</t>
  </si>
  <si>
    <t>Quản trị hệ thống chọn quy trình cần sửa luồng chuyển quy trình cho đối tượng. Hệ thống xử lý yêu cầu và hiển thị thông báo kết quả xử lý</t>
  </si>
  <si>
    <t>Quản trị hệ thống sửa tên hành động cho luồng chuyển quy trình. Hệ thống xử lý yêu cầu và hiển thị thông báo kết quả xử lý</t>
  </si>
  <si>
    <t>Quản trị hệ thống bỏ chọn ký điện tử (nếu cần) và ghi lại. Hệ thống xử lý yêu cầu và hiển thị thông báo kết quả xử lý</t>
  </si>
  <si>
    <t>Xóa luồng chuyển quy trình cho đối tượng</t>
  </si>
  <si>
    <t>Quản trị hệ thống chọn luồng chuyển quy trình cho đối tượng cần xóa. Hệ thống xử lý yêu cầu và hiển thị thông báo kết quả xử lý</t>
  </si>
  <si>
    <t>Quản trị hệ thống chọn xóa luồng chuyển quy trình cho đối tượng. Hệ thống xử lý yêu cầu và hiển thị thông báo kết quả xử lý</t>
  </si>
  <si>
    <t>Quản trị hệ thống xác nhận để xóa luồng chuyển quy trình cho đối tượng. Hệ thống xử lý yêu cầu và hiển thị thông báo kết quả xử lý</t>
  </si>
  <si>
    <t>Xóa cấu hình quy trình</t>
  </si>
  <si>
    <t>Quản trị hệ thống vào danh mục quy trình để xóa cấu hình quy trình. Hệ thống xử lý yêu cầu và hiển thị thông báo kết quả xử lý</t>
  </si>
  <si>
    <t>Quản trị hệ thống chọn cấu hình quy trình cần xóa. Hệ thống xử lý yêu cầu và hiển thị thông báo kết quả xử lý</t>
  </si>
  <si>
    <t>Quản trị hệ thống xác nhận để xóa cấu hình quy trình trên hệ thống. Hệ thống xử lý yêu cầu và hiển thị thông báo kết quả xử lý</t>
  </si>
  <si>
    <t>V.2</t>
  </si>
  <si>
    <t>Quản lý cơ sở dữ liệu lưu trữ</t>
  </si>
  <si>
    <t>Tạo mới cơ sở dữ liệu lưu trữ</t>
  </si>
  <si>
    <t>Quản trị hệ thống vào danh mục kết nối cơ sở dữ liệu, chọn tạo mới nguồn dữ liệu. Hệ thống xử lý yêu cầu và hiển thị thông báo kết quả xử lý</t>
  </si>
  <si>
    <t>Quản trị hệ thống nhập tên nguồn dữ liệu cần kết nối. Hệ thống xử lý yêu cầu và hiển thị thông báo kết quả xử lý</t>
  </si>
  <si>
    <t>Quản trị hệ thống chọn tên đơn vị cần kết nối. Hệ thống xử lý yêu cầu và hiển thị thông báo kết quả xử lý</t>
  </si>
  <si>
    <t>Cấu hình cơ sở dữ liệu lưu trữ</t>
  </si>
  <si>
    <t>Quản trị hệ thống chọn loại cơ sở dữ liệu kết nối. Hệ thống xử lý yêu cầu và hiển thị thông báo kết quả xử lý</t>
  </si>
  <si>
    <t>Quản trị hệ thống nhập thông tin server/Port. Hệ thống xử lý yêu cầu và hiển thị thông báo kết quả xử lý</t>
  </si>
  <si>
    <t>Quản trị hệ thống nhập tên, tài khoản và mật khẩu cơ sở dữ liệu cần kết nối và ghi lại. Hệ thống xử lý yêu cầu và hiển thị thông báo kết quả xử lý</t>
  </si>
  <si>
    <t>Sửa cấu hình cơ sở dữ liệu lưu trữ</t>
  </si>
  <si>
    <t>Quản trị hệ thống thay đổi chọn loại cơ sở dữ liệu kết nối. Hệ thống xử lý yêu cầu và hiển thị thông báo kết quả xử lý</t>
  </si>
  <si>
    <t>Quản trị hệ thống thay đổi thông tin server/Port. Hệ thống xử lý yêu cầu và hiển thị thông báo kết quả xử lý</t>
  </si>
  <si>
    <t>Quản trị hệ thống thay đổi tên, tài khoản và mật khẩu cơ sở dữ liệu cần kết nối. Hệ thống xử lý yêu cầu và hiển thị thông báo kết quả xử lý</t>
  </si>
  <si>
    <t>Xóa cấu hình cơ sở dữ liệu lưu trữ</t>
  </si>
  <si>
    <t>Quản trị hệ thống vào danh mục kết nối cơ sở dữ liệu, chọn nguồn dữ liệu cần xóa. Hệ thống xử lý yêu cầu và hiển thị thông báo kết quả xử lý</t>
  </si>
  <si>
    <t>Quản trị hệ thống chọn Xác nhận để xóa nguồn dữ liệu trên hệ thống. Hệ thống xử lý yêu cầu và hiển thị thông báo kết quả xử lý</t>
  </si>
  <si>
    <t>Đồng bộ thủ công cho bảng dữ liệu</t>
  </si>
  <si>
    <t>Quản trị hệ thống chọn nguồn dữ liệu cần đồng bộ thủ công cho bảng dữ liệu. Hệ thống xử lý yêu cầu và hiển thị thông báo kết quả xử lý</t>
  </si>
  <si>
    <t>Quản trị hệ thống chọn "Table" để hiển thị danh sách bảng dữ liệu để đồng bộ trên hệ thống. Hệ thống xử lý yêu cầu và hiển thị thông báo kết quả xử lý</t>
  </si>
  <si>
    <t>Quản trị hệ thống chọn "Đồng bộ" để đồng bộ bảng dữ liệu trên hệ thống. Hệ thống xử lý yêu cầu và hiển thị thông báo kết quả xử lý</t>
  </si>
  <si>
    <t>Sửa bảng dữ liệu</t>
  </si>
  <si>
    <t>Quản trị hệ thống chọn nguồn kết nối đến cơ sở dữ liệu, chọn bảng dữ liệu cần sửa. Hệ thống xử lý yêu cầu và hiển thị thông báo kết quả xử lý</t>
  </si>
  <si>
    <t>Chọn kích hoạt trạng thái bảng dữ liệu. Hệ thống xử lý yêu cầu và hiển thị thông báo kết quả xử lý</t>
  </si>
  <si>
    <t>Chọn Ghi lại để sửa bảng dữ liệu. Hệ thống xử lý yêu cầu và hiển thị thông báo kết quả xử lý</t>
  </si>
  <si>
    <t>Xem chi tiết bảng dữ liệu</t>
  </si>
  <si>
    <t>Quản trị hệ thống chọn nguồn kết nối cơ sở dữ liệu để tìm kiếm bảng dữ liệu. Hệ thống xử lý yêu cầu và hiển thị thông báo kết quả xử lý</t>
  </si>
  <si>
    <t>Quản trị hệ thống nhập thông tin bảng dữ liệu cần tìm kiếm. Hệ thống xử lý yêu cầu và hiển thị thông báo kết quả xử lý</t>
  </si>
  <si>
    <t>Đồng bộ tên trường dữ liệu</t>
  </si>
  <si>
    <t>Quản trị hệ thống chọn nguồn dữ liệu để đồng bộ trường dữ liệu. Hệ thống xử lý yêu cầu và hiển thị thông báo kết quả xử lý</t>
  </si>
  <si>
    <t>Quản trị hệ thống chọn quản lý trường dữ liệu trên bảng dữ liệu để đồng bộ trường dữ liệu. Hệ thống xử lý yêu cầu và hiển thị thông báo kết quả xử lý</t>
  </si>
  <si>
    <t>Quản trị hệ thống chọn chức năng Đồng bộ để đồng bộ trường dữ liệu. Hệ thống xử lý yêu cầu và hiển thị thông báo kết quả xử lý</t>
  </si>
  <si>
    <t>Sửa trường dữ liệu</t>
  </si>
  <si>
    <t>Quản trị hệ thống chọn nguồn dữ liệu để sửa trường dữ liệu. Hệ thống xử lý yêu cầu và hiển thị thông báo kết quả xử lý</t>
  </si>
  <si>
    <t>Quản trị hệ thống chọn quản lý trường dữ liệu trên bảng dữ liệu để sửa trường dữ liệu. Hệ thống xử lý yêu cầu và hiển thị thông báo kết quả xử lý</t>
  </si>
  <si>
    <t>Quản trị hệ thống chọn thông tin trường dữ liệu cần sửa và ghi lại. Hệ thống xử lý yêu cầu và hiển thị thông báo kết quả xử lý</t>
  </si>
  <si>
    <t>Xem trường dữ liệu</t>
  </si>
  <si>
    <t>Quản trị hệ thống chọn nguồn dữ liệu để xem trường dữ liệu trong bảng dữ liệu. Hệ thống xử lý yêu cầu và hiển thị thông báo kết quả xử lý</t>
  </si>
  <si>
    <t>Quản trị hệ thống chọn quản lý trường dữ liệu trên bảng dữ liệu để xem trường dữ liệu. Hệ thống xử lý yêu cầu và hiển thị thông báo kết quả xử lý</t>
  </si>
  <si>
    <t>Quản trị hệ thống chọn xem dữ liệu trên trường dữ liệu. Hệ thống xử lý yêu cầu và hiển thị thông báo kết quả xử lý</t>
  </si>
  <si>
    <t>Thêm thông tin chỉ tiêu</t>
  </si>
  <si>
    <t>Quản trị đơn vị vào danh mục chỉ tiêu đơn vị, chọn tạo mới chỉ tiêu đơn vị. Hệ thống xử lý yêu cầu và hiển thị thông báo kết quả xử lý</t>
  </si>
  <si>
    <t>Quản trị đơn vị nhập mã, tên, mô tả chỉ tiêu. Hệ thống xử lý yêu cầu và hiển thị thông báo kết quả xử lý</t>
  </si>
  <si>
    <t>Quản trị đơn vị xác nhận để thêm mới thông tin tiêu đơn vị. Hệ thống xử lý yêu cầu và hiển thị thông báo kết quả xử lý</t>
  </si>
  <si>
    <t>Cấu hình chỉ tiêu</t>
  </si>
  <si>
    <t>Quản trị đơn vị chọn đơn vị quy đổi. Hệ thống xử lý yêu cầu và hiển thị thông báo kết quả xử lý</t>
  </si>
  <si>
    <t>Quản trị đơn vị chọn chỉ tiêu cha. Hệ thống xử lý yêu cầu và hiển thị thông báo kết quả xử lý</t>
  </si>
  <si>
    <t>Quản trị đơn vị chọn loại số liệu. Hệ thống xử lý yêu cầu và hiển thị thông báo kết quả xử lý</t>
  </si>
  <si>
    <t>Quản trị đơn vị xác nhận để cấu hình chỉ tiêu đơn vị. Hệ thống xử lý yêu cầu và hiển thị thông báo kết quả xử lý</t>
  </si>
  <si>
    <t>Sửa chỉ tiêu</t>
  </si>
  <si>
    <t>Quản trị đơn vị vào danh mục chỉ tiêu đơn vị, chọn sửa chỉ tiêu đơn vị. Hệ thống xử lý yêu cầu và hiển thị thông báo kết quả xử lý</t>
  </si>
  <si>
    <t>Quản trị đơn vị sửa mã, tên, mô tả chỉ tiêu. Hệ thống xử lý yêu cầu và hiển thị thông báo kết quả xử lý</t>
  </si>
  <si>
    <t>Quản trị đơn vị xác nhận để sửa chỉ tiêu đơn vị. Hệ thống xử lý yêu cầu và hiển thị thông báo kết quả xử lý</t>
  </si>
  <si>
    <t>Sửa cấu hình chỉ tiêu</t>
  </si>
  <si>
    <t>Quản trị đơn vị sửa đơn vị quy đổi. Hệ thống xử lý yêu cầu và hiển thị thông báo kết quả xử lý</t>
  </si>
  <si>
    <t>Quản trị đơn vị sửa chỉ tiêu cha. Hệ thống xử lý yêu cầu và hiển thị thông báo kết quả xử lý</t>
  </si>
  <si>
    <t>Quản trị đơn vị sửa loại số liệu. Hệ thống xử lý yêu cầu và hiển thị thông báo kết quả xử lý</t>
  </si>
  <si>
    <t>Xóa chỉ tiêu</t>
  </si>
  <si>
    <t>Quản trị đơn vị vào danh sách chỉ tiêu đơn vị, chọn chỉ tiêu đơn vị cần xóa. Hệ thống xử lý yêu cầu và hiển thị thông báo kết quả xử lý</t>
  </si>
  <si>
    <t>Quản trị đơn vị thực hiện xóa chỉ tiêu đơn vị. Hệ thống xử lý yêu cầu và hiển thị thông báo kết quả xử lý</t>
  </si>
  <si>
    <t>Tìm kiếm chỉ tiêu</t>
  </si>
  <si>
    <t>Quản trị đơn vị vào danh sách chỉ tiêu đơn vị, chọn chỉ tiêu đơn vị cần tìm kiếm. Hệ thống xử lý yêu cầu và hiển thị thông báo kết quả xử lý</t>
  </si>
  <si>
    <t>Quản trị đơn vị nhập tìm kiếm theo tên chỉ tiêu. Hệ thống xử lý yêu cầu và hiển thị thông báo kết quả xử lý</t>
  </si>
  <si>
    <t>Thêm mới loại số liệu</t>
  </si>
  <si>
    <t>Quản trị đơn vị vào danh sách loại báo cáo chọn thêm mới loại số liệu. Hệ thống xử lý yêu cầu và hiển thị thông báo kết quả xử lý</t>
  </si>
  <si>
    <t>Quản trị đơn vị nhập mã, tên, mô tả số liệu. Hệ thống xử lý yêu cầu và hiển thị thông báo kết quả xử lý</t>
  </si>
  <si>
    <t>Quản trị đơn vị xác nhận để tạo loại số liệu. Hệ thống xử lý yêu cầu và hiển thị thông báo kết quả xử lý</t>
  </si>
  <si>
    <t>Kích hoạt loại số liệu</t>
  </si>
  <si>
    <t>Quản trị đơn vị kích hoạt loại số liệu để sử dụng. Hệ thống xử lý yêu cầu và hiển thị thông báo kết quả xử lý</t>
  </si>
  <si>
    <t>Quản trị đơn vị yêu cầu lưu thông tin kích hoạt loại số liệu. Hệ thống xử lý yêu cầu và hiển thị thông báo kết quả xử lý</t>
  </si>
  <si>
    <t>Tìm kiếm loại số liệu</t>
  </si>
  <si>
    <t>Quản trị đơn vị vào danh sách loại báo cáo để tìm kiếm loại số liệu. Hệ thống xử lý yêu cầu và hiển thị thông báo kết quả xử lý</t>
  </si>
  <si>
    <t>Quản trị đơn vị nhập loại số liệu cần tìm kiếm. Hệ thống xử lý yêu cầu và hiển thị thông báo kết quả xử lý</t>
  </si>
  <si>
    <t>Phân quyền cán bộ xử lý</t>
  </si>
  <si>
    <t>Quản trị đơn vị vào danh sách báo cáo, chọn báo cáo cần phân quyền xử lý. Hệ thống xử lý yêu cầu và hiển thị thông báo kết quả xử lý</t>
  </si>
  <si>
    <t>Quản trị đơn vị chọn người xử lý chính cho báo cáo được phân quyền. Hệ thống xử lý yêu cầu và hiển thị thông báo kết quả xử lý</t>
  </si>
  <si>
    <t>Quản trị đơn vị chọn chức năng Giao báo cáo cho cán bộ xử lý . Hệ thống xử lý yêu cầu và hiển thị thông báo kết quả xử lý</t>
  </si>
  <si>
    <t>Duyệt báo cáo do đơn vị thực hiện gửi lên</t>
  </si>
  <si>
    <t>Lãnh đạo</t>
  </si>
  <si>
    <t>Lãnh đạo chọn báo cáo cần duyệt. Hệ thống xử lý yêu cầu và hiển thị thông báo kết quả xử lý</t>
  </si>
  <si>
    <t>Lãnh đạo nhập thông tin ý kiến duyệt báo cáo. Hệ thống xử lý yêu cầu và hiển thị thông báo kết quả xử lý</t>
  </si>
  <si>
    <t>Lãnh đạo đính kèm file báo cáo. Hệ thống xử lý yêu cầu và hiển thị thông báo kết quả xử lý</t>
  </si>
  <si>
    <t>Lãnh đạo xác nhận duyệt báo cáo do đơn vị thực hiện gửi lên. Hệ thống xử lý yêu cầu và hiển thị thông báo kết quả xử lý</t>
  </si>
  <si>
    <t>Từ chối duyệt báo cáo do đơn vị thực hiện gửi lên</t>
  </si>
  <si>
    <t>Lãnh đạo chọn báo cáo từ chối duyệt. Hệ thống xử lý yêu cầu và hiển thị thông báo kết quả xử lý</t>
  </si>
  <si>
    <t>Nhập ý kiến từ chối duyệt. Hệ thống xử lý yêu cầu và hiển thị thông báo kết quả xử lý</t>
  </si>
  <si>
    <t>Lãnh đạo đính kèm file (nếu cần). Hệ thống xử lý yêu cầu và hiển thị thông báo kết quả xử lý</t>
  </si>
  <si>
    <t>Lãnh đạo chuyển lại cho đơn vị xử lý. Hệ thống xử lý yêu cầu và hiển thị thông báo kết quả xử lý</t>
  </si>
  <si>
    <t>V.3</t>
  </si>
  <si>
    <t>Gửi báo cáo</t>
  </si>
  <si>
    <t>Gửi báo cáo cho đơn vị</t>
  </si>
  <si>
    <t>Cán bộ nhập liệu</t>
  </si>
  <si>
    <t>Cán bộ nhập liệu chọn báo cáo cần gửi. Hệ thống xử lý yêu cầu và hiển thị thông báo kết quả xử lý</t>
  </si>
  <si>
    <t>Cán bộ nhập liệu chọn đính kèm file báo cáo. Hệ thống xử lý yêu cầu và hiển thị thông báo kết quả xử lý</t>
  </si>
  <si>
    <t>Cán bộ nhập liệu chọn chức năng gửi để gửi báo cáo cho đơn vị. Hệ thống xử lý yêu cầu và hiển thị thông báo kết quả xử lý</t>
  </si>
  <si>
    <t>Đính chính dữ liệu báo cáo</t>
  </si>
  <si>
    <t>Cán bộ nhập liệu vào danh sách báo cáo. Hệ thống xử lý yêu cầu và hiển thị thông báo kết quả xử lý</t>
  </si>
  <si>
    <t>Cán bộ nhập liệu chọn báo cáo cần đính chính. Hệ thống xử lý yêu cầu và hiển thị thông báo kết quả xử lý</t>
  </si>
  <si>
    <t>Cán bộ nhập liệu xác nhận đính chính báo cáo. Hệ thống xử lý yêu cầu và hiển thị thông báo kết quả xử lý</t>
  </si>
  <si>
    <t>Theo dõi trạng thái báo cáo</t>
  </si>
  <si>
    <t>Cán bộ nhập liệu vào danh sách theo dõi trạng thái báo cáo. Hệ thống xử lý yêu cầu và hiển thị thông báo kết quả xử lý</t>
  </si>
  <si>
    <t>Cán bộ nhập liệu chọn báo cáo cần xem trạng thái. Hệ thống xử lý yêu cầu và hiển thị thông báo kết quả xử lý</t>
  </si>
  <si>
    <t>Cán bộ nhập liệu chọn chức năng luồng chuyển báo cáo để xem chi tiết. Hệ thống xử lý yêu cầu và hiển thị thông báo kết quả xử lý</t>
  </si>
  <si>
    <t>V.4</t>
  </si>
  <si>
    <t>Nhập liệu báo cáo số liệu</t>
  </si>
  <si>
    <t>Tạo mới báo cáo số liệu</t>
  </si>
  <si>
    <t>Cán bộ nhập liệu vào danh mục báo cáo số liệu, chọn báo cáo cần nhập liệu. Hệ thống xử lý yêu cầu và hiển thị thông báo kết quả xử lý</t>
  </si>
  <si>
    <t>Cán bộ nhập liệu chọn lập mới báo cáo số liệu. Hệ thống xử lý yêu cầu và hiển thị thông báo kết quả xử lý</t>
  </si>
  <si>
    <t>Cán bộ nhập liệu chọn Kỳ báo cáo. Hệ thống xử lý yêu cầu và hiển thị thông báo kết quả xử lý</t>
  </si>
  <si>
    <t>Cán bộ nhập liệu nhập thông tin số liệu vào báo cáo. Hệ thống xử lý yêu cầu và hiển thị thông báo kết quả xử lý</t>
  </si>
  <si>
    <t>Cán bộ nhập liệu thêm ý kiến xử lý. Hệ thống xử lý yêu cầu và hiển thị thông báo kết quả xử lý</t>
  </si>
  <si>
    <t>Import file excel theo biểu mẫu báo cáo số liệu</t>
  </si>
  <si>
    <t>Cán bộ nhập liệu chọn báo cáo số liệu cần báo cáo để import file excel theo biểu mẫu có sẵn. Hệ thống xử lý yêu cầu và hiển thị thông báo kết quả xử lý</t>
  </si>
  <si>
    <t>Cán bộ nhập liệu chọn nhập file excel. Hệ thống xử lý yêu cầu và hiển thị thông báo kết quả xử lý</t>
  </si>
  <si>
    <t>Cán bộ nhập liệu chọn file excel cần import. Hệ thống xử lý yêu cầu và hiển thị thông báo kết quả xử lý</t>
  </si>
  <si>
    <t>Cán bộ nhập liệu xác nhận để import dữ liệu biểu mẫu lên hệ thống. Hệ thống xử lý yêu cầu và hiển thị thông báo kết quả xử lý</t>
  </si>
  <si>
    <t>Xuất file báo cáo số liệu</t>
  </si>
  <si>
    <t>Cán bộ nhập liệu chọn báo cáo số liệu cần xuất báo cáo. Hệ thống xử lý yêu cầu và hiển thị thông báo kết quả xử lý</t>
  </si>
  <si>
    <t>Cán bộ nhập liệu chọn chức năng Xuất file báo cáo. Hệ thống xử lý yêu cầu và hiển thị thông báo kết quả xử lý</t>
  </si>
  <si>
    <t>Cán bộ nhập liệu chọn xuất file báo cáo theo định dạng: pdf/doc. Hệ thống xử lý yêu cầu và hiển thị thông báo kết quả xử lý</t>
  </si>
  <si>
    <t>Sao chép dữ liệu giữa các vùng của biểu mẫu báo cáo số liệu</t>
  </si>
  <si>
    <t>Cán bộ nhập liệu vào danh sách biểu mẫu, chọn biểu mẫu báo cáo cần sao chép dữ liệu giữa các vùng của biểu mẫu. Hệ thống xử lý yêu cầu và hiển thị thông báo kết quả xử lý</t>
  </si>
  <si>
    <t>Cán bộ nhập liệu sao chép dữ liệu giữa các vùng của biểu mẫu báo cáo. Hệ thống xử lý yêu cầu và hiển thị thông báo kết quả xử lý</t>
  </si>
  <si>
    <t>Sao chép dữ liệu giữa các biểu mẫu của chế độ báo cáo số liệu</t>
  </si>
  <si>
    <t>Cán bộ nhập liệu vào danh sách biểu mẫu, chọn biểu mẫu báo cáo cần sao chép dữ liệu giữa các biểu mẫu của chế độ báo cáo. Hệ thống xử lý yêu cầu và hiển thị thông báo kết quả xử lý</t>
  </si>
  <si>
    <t>Cán bộ nhập liệu sao chép dữ liệu giữa các biểu mẫu của chế độ báo cáo. Hệ thống xử lý yêu cầu và hiển thị thông báo kết quả xử lý</t>
  </si>
  <si>
    <t>Tự động kiểm tra định dạng/loại số liệu đang nhập</t>
  </si>
  <si>
    <t>Cán bộ nhập dữ liệu có thể nhập số liệu vào màn hình nhập liệu và enter để chuyển qua ô tiếp theo. Hệ thống tự động kiểm tra định dạng/loại số liệu đang nhập và hiển thị thông báo kết quả xử lý.</t>
  </si>
  <si>
    <t>Cán bộ nhập liệu có thể xem dữ liệu vừa nhập. Hệ thống xử lý và hiển thị số liệu.</t>
  </si>
  <si>
    <t>Tự động tính toán số liệu theo công thức đã cấu hình</t>
  </si>
  <si>
    <t>Cán bộ nhập liệu có thể nhập dữ liệu vào các trường dữ liệu. Hệ thống tự động tính toán số liệu theo công thức đã cấu hình.</t>
  </si>
  <si>
    <t>Cán bộ nhập liệu có thể xem dữ liệu được nhập và tính toán theo công thức. Hệ thống xử lý và hiển thị số liệu theo công thức đã được cấu hình</t>
  </si>
  <si>
    <t>Xem danh sách báo cáo số liệu chờ duyệt</t>
  </si>
  <si>
    <t>Cán bộ nhập liệu vào danh sách báo cáo số liệu chờ duyệt. Hệ thống xử lý yêu cầu và hiển thị thông báo kết quả xử lý</t>
  </si>
  <si>
    <t>Cán bộ nhập liệu tìm kiếm người tạo báo cáo số liệu. Hệ thống xử lý yêu cầu và hiển thị thông báo kết quả xử lý</t>
  </si>
  <si>
    <t>Cán bộ nhập liệu tìm kiếm đơn vị báo cáo số liệu. Hệ thống xử lý yêu cầu và hiển thị thông báo kết quả xử lý</t>
  </si>
  <si>
    <t>Cán bộ nhập liệu tìm kiếm tên báo cáo số liệu. Hệ thống xử lý yêu cầu và hiển thị thông báo kết quả xử lý</t>
  </si>
  <si>
    <t>Cán bộ nhập liệu tìm kiếm ngày gửi báo cáo số liệu. Hệ thống xử lý yêu cầu và hiển thị thông báo kết quả xử lý</t>
  </si>
  <si>
    <t>Cán bộ nhập liệu lọc báo cáo đã xử lý/ chưa xử lý. Hệ thống xử lý yêu cầu và hiển thị thông báo kết quả xử lý</t>
  </si>
  <si>
    <t>Xem báo cáo số liệu chi tiết</t>
  </si>
  <si>
    <t>Cán bộ nhập liệu vào danh sách báo cáo, chọn báo cáo cần xem chi tiết. Hệ thống xử lý yêu cầu và hiển thị thông báo kết quả xử lý</t>
  </si>
  <si>
    <t>Cán bộ nhập liệu chọn chi tiết để xem báo cáo số liệu. Hệ thống xử lý yêu cầu và hiển thị thông báo kết quả xử lý</t>
  </si>
  <si>
    <t>Tìm kiếm báo cáo theo đơn vị ban hành báo cáo số liệu</t>
  </si>
  <si>
    <t>Cán bộ nhập liệu chọn tìm kiếm theo đơn vị ban hành báo cáo. Hệ thống xử lý yêu cầu và hiển thị thông báo kết quả xử lý</t>
  </si>
  <si>
    <t>Tìm kiếm báo cáo theo chế độ báo cáo số liệu</t>
  </si>
  <si>
    <t>Cán bộ nhập liệu chọn tìm kiếm theo chế độ báo cáo. Hệ thống xử lý yêu cầu và hiển thị thông báo kết quả xử lý</t>
  </si>
  <si>
    <t>Xem trước màn hình in báo cáo số liệu</t>
  </si>
  <si>
    <t>Cán bộ nhập liệu yêu cầu xem trước màn hình in báo cáo số liệu. Hệ thống xử lý yêu cầu và hiển thị thông báo kết quả xử lý</t>
  </si>
  <si>
    <t>V.5</t>
  </si>
  <si>
    <t xml:space="preserve">Tích hợp với hệ thống khác </t>
  </si>
  <si>
    <t>Quản lý API kết nối với hệ thống quản lý văn bản, điều hành thông qua trục LGSP</t>
  </si>
  <si>
    <t>QTHT có thể xem thông tin dịch vụ kết nối tới hệ thống Quản lý văn bản điều hành. Hệ thống xử lý và hiển thị thông số dịch vụ kết nối (API) .</t>
  </si>
  <si>
    <t>QTHT có thể sửa thông tin dịch vụ kết nối tới hệ thống Quản lý văn bản điều hành. Hệ thống thực hiện cập nhật các thông tin kết nối của dịch vụ</t>
  </si>
  <si>
    <t>QTHT có thể kiểm tra kết nối tới hệ thống Quản lý văn bản điều hành. Hệ thống xử lý và thông báo kết quả kiểm tra tới QTHT</t>
  </si>
  <si>
    <t>Quản lý API kết nối tới hệ thống họp không giấy tờ qua trục LGSP</t>
  </si>
  <si>
    <t>QTHT, LGSP</t>
  </si>
  <si>
    <t>QTHT có thể xem thông tin dịch vụ kết nối tới hệ thống Họp không giấy tờ. Hệ thống xử lý và hiển thị thông số dịch vụ kết nối (API) .</t>
  </si>
  <si>
    <t>QTHT có thể sửa thông tin dịch vụ kết nối tới hệ thống Họp không giấy tờ. Hệ thống thực hiện cập nhật các thông tin kết nối của dịch vụ</t>
  </si>
  <si>
    <t>QTHT có thể kiểm tra kết nối tới hệ thống Họp không giấy tờ. Hệ thống xử lý và thông báo kết quả kiểm tra tới QTHT</t>
  </si>
  <si>
    <t>Quản lý API lấy dữ liệu thực hiện TTHCC của các đơn vị từ LGSP</t>
  </si>
  <si>
    <t>QTHT có thể xem thông tin dịch vụ kết nối tới hệ thống giải quyết TTHCC . Hệ thống xử lý và hiển thị thông số dịch vụ kết nối (API) .</t>
  </si>
  <si>
    <t>QTHT có thể sửa thông tin dịch vụ kết nối tới hệ thống giải quyết TTHCC . Hệ thống thực hiện cập nhật các thông tin kết nối của dịch vụ</t>
  </si>
  <si>
    <t>QTHT có thể kiểm tra kết nối tới hệ thống giải quyết TTHCC . Hệ thống xử lý và thông báo kết quả kiểm tra tới QTHT</t>
  </si>
  <si>
    <t>Quản lý API kết nối tới Kho dữ liệu dùng chung thông qua trục LGSP để khai thác nhóm dữ liệu hòa giải cơ sở</t>
  </si>
  <si>
    <t>QTHT có thể xem thông tin dịch vụ kết nối tới hệ thống Kho dữ liệu dùng chung -dữ liệu hòa giải cơ sở . Hệ thống xử lý và hiển thị thông số dịch vụ kết nối (API) .</t>
  </si>
  <si>
    <t>QTHT có thể sửa thông tin dịch vụ kết nối tới hệ thống Kho dữ liệu dùng chung -dữ liệu hòa giải cơ sở. Hệ thống thực hiện cập nhật các thông tin kết nối của dịch vụ</t>
  </si>
  <si>
    <t>QTHT có thể kiểm tra kết nối tới hệ thống Kho dữ liệu dùng chung -dữ liệu hòa giải cơ sở. Hệ thống xử lý và thông báo kết quả kiểm tra tới QTHT</t>
  </si>
  <si>
    <t xml:space="preserve">Quản lý API kết nối tới kho dữ liệu dùng chung thông qua trục LGSP về nhóm dữ liệu trợ giúp pháp lý </t>
  </si>
  <si>
    <t>QTHT có thể xem thông tin dịch vụ kết nối tới hệ thống Kho dữ liệu dùng chung - dữ liệu trợ giúp pháp lý . Hệ thống xử lý và hiển thị thông số dịch vụ kết nối (API) .</t>
  </si>
  <si>
    <t>QTHT có thể sửa thông tin dịch vụ kết nối tới hệ thống Kho dữ liệu dùng chung - dữ liệu trợ giúp pháp lý. Hệ thống thực hiện cập nhật các thông tin kết nối của dịch vụ</t>
  </si>
  <si>
    <t>QTHT có thể kiểm tra kết nối tới hệ thống Kho dữ liệu dùng chung - dữ liệu trợ giúp pháp lý. Hệ thống xử lý và thông báo kết quả kiểm tra tới QTHT</t>
  </si>
  <si>
    <t>Quản lý API kết nối tới kho dữ liệu dùng chung về nhóm dữ liệu hộ tịch qua trục LGSP</t>
  </si>
  <si>
    <t>QTHT có thể xem thông tin dịch vụ kết nối tới hệ thống Kho dữ liệu dùng chung - dữ liệu Hộ tịch. Hệ thống xử lý và hiển thị thông số dịch vụ kết nối (API) .</t>
  </si>
  <si>
    <t>QTHT có thể sửa thông tin dịch vụ kết nối tới hệ thống Kho dữ liệu dùng chung - dữ liệu Hộ tịchh. Hệ thống thực hiện cập nhật các thông tin kết nối của dịch vụ</t>
  </si>
  <si>
    <t>QTHT có thể kiểm tra kết nối tới hệ thống Kho dữ liệu dùng chung - dữ liệu Hộ tịch. Hệ thống xử lý và thông báo kết quả kiểm tra tới QTHT</t>
  </si>
  <si>
    <t>Quản lý API kết nối tới kho dữ liệu dùng chung về nhóm dữ liệu bổ trợ tư pháp - Luật sư qua trục LGSP</t>
  </si>
  <si>
    <t>QTHT có thể xem thông tin dịch vụ kết nối tới hệ thống Kho dữ liệu dùng chung - dữ liệu luật sư. Hệ thống xử lý và hiển thị thông số dịch vụ kết nối (API) .</t>
  </si>
  <si>
    <t>QTHT có thể sửa thông tin dịch vụ kết nối tới hệ thống Kho dữ liệu dùng chung - dữ liệu luật sư. Hệ thống thực hiện cập nhật các thông tin kết nối của dịch vụ</t>
  </si>
  <si>
    <t>QTHT có thể kiểm tra kết nối tới hệ thống Kho dữ liệu dùng chung - dữ liệu luật sư. Hệ thống xử lý và thông báo kết quả kiểm tra tới QTHT</t>
  </si>
  <si>
    <t>Quản lý API kết nối tới hệ thống QLNV Trung ương Đảng qua trục LGSP</t>
  </si>
  <si>
    <t>QTHT có thể xem thông tin dịch vụ kết nối tới hệ thống QLNV Trung ương Đảng. Hệ thống xử lý và hiển thị thông số dịch vụ kết nối (API) .</t>
  </si>
  <si>
    <t>QTHT có thể sửa thông tin dịch vụ kết nối tới hệ thống Kho dữ liệu dùng chung - dữ liệu công chứngQLNV Trung ương Đảng</t>
  </si>
  <si>
    <t>QTHT có thể kiểm tra kết nối tới hệ thống QLNV Trung ương Đảng. Hệ thống xử lý và thông báo kết quả kiểm tra tới QTHT</t>
  </si>
  <si>
    <t>Quản lý API kết nối tới kho dữ liệu dùng chung về nhóm dữ liệu bổ trợ tư pháp - CSDL giám định tư pháp qua trục LGSP</t>
  </si>
  <si>
    <t>QTHT có thể xem thông tin dịch vụ kết nối tới hệ thống Kho dữ liệu dùng chung - dữ liệu giám định tư pháp. Hệ thống xử lý và hiển thị thông số dịch vụ kết nối (API) .</t>
  </si>
  <si>
    <t>QTHT có thể sửa thông tin dịch vụ kết nối tới hệ thống Kho dữ liệu dùng chung - dữ liệu giám định tư pháp. Hệ thống thực hiện cập nhật các thông tin kết nối của dịch vụ</t>
  </si>
  <si>
    <t>QTHT có thể kiểm tra kết nối tới hệ thống Kho dữ liệu dùng chung - dữ liệu giám định tư pháp. Hệ thống xử lý và thông báo kết quả kiểm tra tới QTHT</t>
  </si>
  <si>
    <t>Quản lý API kết nối tới kho dữ liệu dùng chung về nhóm dữ liệu bổ trợ tư pháp - CSDL đấu giá tài sản qua trục LGSP</t>
  </si>
  <si>
    <t>QTHT có thể xem thông tin dịch vụ kết nối tới hệ thống Kho dữ liệu dùng chung - dữ liệu đấu giá tài sản. Hệ thống xử lý và hiển thị thông số dịch vụ kết nối (API) .</t>
  </si>
  <si>
    <t>QTHT có thể sửa thông tin dịch vụ kết nối tới hệ thống Kho dữ liệu dùng chung - dữ liệu đấu giá tài sản. Hệ thống thực hiện cập nhật các thông tin kết nối của dịch vụ</t>
  </si>
  <si>
    <t>QTHT có thể kiểm tra kết nối tới hệ thống Kho dữ liệu dùng chung - dữ liệu đấu giá tài sản. Hệ thống xử lý và thông báo kết quả kiểm tra tới QTHT</t>
  </si>
  <si>
    <t>Quản lý API kết nối tới kho dữ liệu dùng chung về nhóm dữ liệu bổ trợ tư pháp - CSDL trọng tài thương mại qua trục LGSP</t>
  </si>
  <si>
    <t>QTHT có thể xem thông tin dịch vụ kết nối tới hệ thống Kho dữ liệu dùng chung - dữ liệu trọng tài thương mại. Hệ thống xử lý và hiển thị thông số dịch vụ kết nối (API) .</t>
  </si>
  <si>
    <t>QTHT có thể sửa thông tin dịch vụ kết nối tới hệ thống Kho dữ liệu dùng chung - dữ liệu trọng tài thương mại. Hệ thống thực hiện cập nhật các thông tin kết nối của dịch vụ</t>
  </si>
  <si>
    <t>QTHT có thể kiểm tra kết nối tới hệ thống Kho dữ liệu dùng chung - dữ liệu trọng tài thương mại. Hệ thống xử lý và thông báo kết quả kiểm tra tới QTHT</t>
  </si>
  <si>
    <t>Quản lý API kết nối tới kho dữ liệu dùng chung về nhóm dữ liệu bổ trợ tư pháp - CSDL hòa giải thương mại qua trục LGSP</t>
  </si>
  <si>
    <t>QTHT có thể xem thông tin dịch vụ kết nối tới hệ thống Kho dữ liệu dùng chung - dữ liệu hòa giải thương mại. Hệ thống xử lý và hiển thị thông số dịch vụ kết nối (API) .</t>
  </si>
  <si>
    <t>QTHT có thể sửa thông tin dịch vụ kết nối tới hệ thống Kho dữ liệu dùng chung - dữ liệu hòa giải thương mại. Hệ thống thực hiện cập nhật các thông tin kết nối của dịch vụ</t>
  </si>
  <si>
    <t>QTHT có thể kiểm tra kết nối tới hệ thống Kho dữ liệu dùng chung - dữ liệu hòa giải thương mại. Hệ thống xử lý và thông báo kết quả kiểm tra tới QTHT</t>
  </si>
  <si>
    <t>Quản lý API kết nối tới kho dữ liệu dùng chung về nhóm dữ liệu bổ trợ tư pháp - CSDL Công chứng qua trục LGSP</t>
  </si>
  <si>
    <t>QTHT có thể xem thông tin dịch vụ kết nối tới hệ thống Kho dữ liệu dùng chung - dữ liệu công chứng. Hệ thống xử lý và hiển thị thông số dịch vụ kết nối (API) .</t>
  </si>
  <si>
    <t>QTHT có thể sửa thông tin dịch vụ kết nối tới hệ thống Kho dữ liệu dùng chung - dữ liệu công chứng. Hệ thống thực hiện cập nhật các thông tin kết nối của dịch vụ</t>
  </si>
  <si>
    <t>QTHT có thể kiểm tra kết nối tới hệ thống Kho dữ liệu dùng chung - dữ liệu công chứng. Hệ thống xử lý và thông báo kết quả kiểm tra tới QTHT</t>
  </si>
  <si>
    <t>Quản lý API kết nối tới phần mềm quản lý đầu tư công qua trục LGSP</t>
  </si>
  <si>
    <t>QTHT có thể xem thông tin dịch vụ kết nối tới hệ thống phần mềm quản lý đầu tư công. Hệ thống xử lý và hiển thị thông số dịch vụ kết nối (API) .</t>
  </si>
  <si>
    <t>QTHT có thể sửa thông tin dịch vụ kết nối tới hệ thống phần mềm quản lý đầu tư công. Hệ thống thực hiện cập nhật các thông tin kết nối của dịch vụ</t>
  </si>
  <si>
    <t>QTHT có thể kiểm tra kết nối tới hệ thống phần mềm quản lý đầu tư công. Hệ thống xử lý và thông báo kết quả kiểm tra tới QTHT</t>
  </si>
  <si>
    <t>Quản lý API kết nối tới hệ thống thông kê báo cáo ngành tư pháp qua trục LGSP</t>
  </si>
  <si>
    <t>QTHT có thể xem thông tin dịch vụ kết nối tới hệ thống thông kê báo cáo ngành tư pháph. Hệ thống xử lý và hiển thị thông số dịch vụ kết nối (API) .</t>
  </si>
  <si>
    <t>QTHT có thể kiểm tra kết nối tới hệ thống thông kê báo cáo ngành tư pháp. Hệ thống xử lý và thông báo kết quả kiểm tra tới QTHT</t>
  </si>
  <si>
    <t>Quản lý API kết nối tới kho dữ liệu dùng chung lĩnh vực đăng ký giao dịch bảo đảm qua trục LGSP</t>
  </si>
  <si>
    <t>QTHT có thể xem thông tin dịch vụ kết nối tới hệ thống kho dữ liệu dùng chung lĩnh vực đăng ký giao dịch bảo đảm. Hệ thống xử lý và hiển thị thông số dịch vụ kết nối (API) .</t>
  </si>
  <si>
    <t>QTHT có thể sửa thông tin dịch vụ kết nối tới hệ thống kho dữ liệu dùng chung lĩnh vực đăng ký giao dịch bảo đảm. Hệ thống thực hiện cập nhật các thông tin kết nối của dịch vụ</t>
  </si>
  <si>
    <t>QTHT có thể kiểm tra kết nối tới hệ thống kho dữ liệu dùng chung lĩnh vực đăng ký giao dịch bảo đảm. Hệ thống xử lý và thông báo kết quả kiểm tra tới QTHT</t>
  </si>
  <si>
    <t>Quản lý API kết nối tới kho dữ liệu dùng chung lĩnh vực phổ biến giáo dục pháp luật qua trục LGSP</t>
  </si>
  <si>
    <t>QTHT có thể xem thông tin dịch vụ kết nối tới hệ thống kho dữ liệu dùng chung lĩnh vực phổ biến giáo dục pháp luật. Hệ thống xử lý và hiển thị thông số dịch vụ kết nối (API) .</t>
  </si>
  <si>
    <t>QTHT có thể sửa thông tin dịch vụ kết nối tới hệ thống kho dữ liệu dùng chung lĩnh vực phổ biến giáo dục pháp luật. Hệ thống thực hiện cập nhật các thông tin kết nối của dịch vụ</t>
  </si>
  <si>
    <t>QTHT có thể kiểm tra kết nối tới hệ thống kho dữ liệu dùng chung lĩnh vực phổ biến giáo dục pháp luật. Hệ thống xử lý và thông báo kết quả kiểm tra tới QTHT</t>
  </si>
  <si>
    <t>Quản lý API kết nối tới kho dữ liệu dùng chung lĩnh vực tương trợ tư pháp qua trục LGSP</t>
  </si>
  <si>
    <t>QTHT có thể xem thông tin dịch vụ kết nối tới hệ thống kho dữ liệu dùng chung lĩnh vực tương trợ tư pháp. Hệ thống xử lý và hiển thị thông số dịch vụ kết nối (API) .</t>
  </si>
  <si>
    <t>QTHT có thể sửa thông tin dịch vụ kết nối tới hệ thống kho dữ liệu dùng chung lĩnh vực tương trợ tư pháp. Hệ thống thực hiện cập nhật các thông tin kết nối của dịch vụ</t>
  </si>
  <si>
    <t>QTHT có thể kiểm tra kết nối tới hệ thống kho dữ liệu dùng chung lĩnh vực tương trợ tư pháp. Hệ thống xử lý và thông báo kết quả kiểm tra tới QTHT</t>
  </si>
  <si>
    <t>VI</t>
  </si>
  <si>
    <t>TRÌNH DIỄN DỮ LIỆU, PHÂN TÍCH BIỂU DIỄN DƯỚI DẠNG HÌNH ẢNH GIAO DIỆN WEB</t>
  </si>
  <si>
    <r>
      <rPr>
        <b/>
        <sz val="13"/>
        <color rgb="FF0000FF"/>
        <rFont val="Times New Roman"/>
      </rPr>
      <t>Quản lý nhiệm vụ Trung ương giao</t>
    </r>
    <r>
      <rPr>
        <b/>
        <sz val="13"/>
        <color rgb="FF000000"/>
        <rFont val="Times New Roman"/>
      </rPr>
      <t xml:space="preserve"> </t>
    </r>
    <r>
      <rPr>
        <b/>
        <strike/>
        <sz val="13"/>
        <color rgb="FFFF0000"/>
        <rFont val="Times New Roman"/>
      </rPr>
      <t>Theo dõi nhiệm vụ chính phủ giao</t>
    </r>
  </si>
  <si>
    <r>
      <rPr>
        <sz val="13"/>
        <color rgb="FF000000"/>
        <rFont val="Times New Roman"/>
      </rPr>
      <t xml:space="preserve">Theo dõi trực quan tổng số nhiệm vụ </t>
    </r>
    <r>
      <rPr>
        <strike/>
        <sz val="13"/>
        <color rgb="FFFF0000"/>
        <rFont val="Times New Roman"/>
      </rPr>
      <t>Chính phủ giao</t>
    </r>
    <r>
      <rPr>
        <sz val="13"/>
        <color rgb="FF000000"/>
        <rFont val="Times New Roman"/>
      </rPr>
      <t xml:space="preserve"> </t>
    </r>
    <r>
      <rPr>
        <sz val="13"/>
        <color rgb="FF0000FF"/>
        <rFont val="Times New Roman"/>
      </rPr>
      <t>Trung ương giao (Nhiệm vụ Bộ chính trị, ban bí thư giao và nhiệm vụ Chính phủ giao)</t>
    </r>
    <r>
      <rPr>
        <sz val="13"/>
        <color rgb="FF000000"/>
        <rFont val="Times New Roman"/>
      </rPr>
      <t xml:space="preserve"> cần thực hiện</t>
    </r>
  </si>
  <si>
    <r>
      <rPr>
        <strike/>
        <sz val="13"/>
        <color rgb="FFFF0000"/>
        <rFont val="Times New Roman"/>
      </rPr>
      <t xml:space="preserve">Lãnh đạo có thể xem trực quan tổng số nhiệm vụ Chính phủ giao. Hệ thống xử lý yêu cầu và hiển thị số liệu trực quan
</t>
    </r>
    <r>
      <rPr>
        <sz val="13"/>
        <color rgb="FF0000FF"/>
        <rFont val="Times New Roman"/>
      </rPr>
      <t>Cho phép Lãnh đạo theo dõi trực quan tổng số nhiệm vụ Trung ương giao (Nhiệm vụ Bộ chính trị, ban bí thư giao và nhiệm vụ Chính phủ giao) cần thực hiện. Hệ thống tự động tổng hợp, xử lý và hiển thị dữ liệu.</t>
    </r>
  </si>
  <si>
    <r>
      <rPr>
        <strike/>
        <sz val="13"/>
        <color rgb="FFFF0000"/>
        <rFont val="Times New Roman"/>
      </rPr>
      <t xml:space="preserve">Lãnh đạo có thể ghi chú vào biểu đồ tổng số nhiệm vụ chính phủ, thủ tưởng chính phủ giao . Hệ thống hiển thị giao diện nhập ghi chú và lưu lại thông tin ghi chú
</t>
    </r>
    <r>
      <rPr>
        <sz val="13"/>
        <color rgb="FF0000FF"/>
        <rFont val="Times New Roman"/>
      </rPr>
      <t>Lãnh đạo thực hiện xuất ảnh cho biểu đồ tổng số nhiệm vụ do Trung ương giao cần thực hiện. Hệ thống thực hiện xuất biểu đồ dưới dạng hình ảnh.</t>
    </r>
  </si>
  <si>
    <r>
      <rPr>
        <sz val="13"/>
        <color rgb="FF000000"/>
        <rFont val="Times New Roman"/>
      </rPr>
      <t xml:space="preserve">Theo dõi trực quan tổng số nhiệm vụ </t>
    </r>
    <r>
      <rPr>
        <strike/>
        <sz val="13"/>
        <color rgb="FFFF0000"/>
        <rFont val="Times New Roman"/>
      </rPr>
      <t>Chính phủ giao</t>
    </r>
    <r>
      <rPr>
        <sz val="13"/>
        <color rgb="FF000000"/>
        <rFont val="Times New Roman"/>
      </rPr>
      <t xml:space="preserve"> </t>
    </r>
    <r>
      <rPr>
        <sz val="13"/>
        <color rgb="FF0000FF"/>
        <rFont val="Times New Roman"/>
      </rPr>
      <t>Trung ương giao (Nhiệm vụ Bộ chính trị, ban bí thư giao và nhiệm vụ Chính phủ giao)</t>
    </r>
    <r>
      <rPr>
        <sz val="13"/>
        <color rgb="FF000000"/>
        <rFont val="Times New Roman"/>
      </rPr>
      <t xml:space="preserve"> đã hoàn thành</t>
    </r>
  </si>
  <si>
    <r>
      <rPr>
        <strike/>
        <sz val="13"/>
        <color rgb="FFFF0000"/>
        <rFont val="Times New Roman"/>
      </rPr>
      <t xml:space="preserve">Lãnh đạo có thể xem trực quan tổng số nhiệm vụ Chính phủ giao đã hoàn thành. Hệ thống xử lý yêu cầu và hiển thị số liệu trực quan
</t>
    </r>
    <r>
      <rPr>
        <sz val="13"/>
        <color rgb="FF0000FF"/>
        <rFont val="Times New Roman"/>
      </rPr>
      <t>Cho phép Lãnh đạo theo dõi trực quan tổng số nhiệm vụ Trung ương giao đã hoàn thành. Hệ thống tự động tổng hợp, xử lý và hiển thị dữ liệu.</t>
    </r>
  </si>
  <si>
    <r>
      <rPr>
        <strike/>
        <sz val="13"/>
        <color rgb="FFFF0000"/>
        <rFont val="Times New Roman"/>
      </rPr>
      <t xml:space="preserve">Lãnh đạo có thể ghi chú vào biểu đồ tổng số nhiệm vụ chính phủ, thủ tưởng chính phủ giao đã hoàn thành . Hệ thống hiển thị giao diện nhập ghi chú và lưu lại thông tin ghi chú
</t>
    </r>
    <r>
      <rPr>
        <sz val="13"/>
        <color rgb="FF0000FF"/>
        <rFont val="Times New Roman"/>
      </rPr>
      <t>Lãnh đạo thực hiện xuất ảnh cho biểu đồ tổng số nhiệm vụ Trung ương giao đã hoàn thành. Hệ thống thực hiện xuất biểu đồ dưới dạng hình ảnh.</t>
    </r>
  </si>
  <si>
    <r>
      <rPr>
        <sz val="13"/>
        <color rgb="FF000000"/>
        <rFont val="Times New Roman"/>
      </rPr>
      <t xml:space="preserve">Theo dõi trực quan tổng số nhiệm vụ </t>
    </r>
    <r>
      <rPr>
        <strike/>
        <sz val="13"/>
        <color rgb="FFFF0000"/>
        <rFont val="Times New Roman"/>
      </rPr>
      <t xml:space="preserve">Chính phủ giao </t>
    </r>
    <r>
      <rPr>
        <sz val="13"/>
        <color rgb="FF0000FF"/>
        <rFont val="Times New Roman"/>
      </rPr>
      <t>Trung ương giao (Nhiệm vụ Bộ chính trị, ban bí thư giao và nhiệm vụ Chính phủ giao)</t>
    </r>
    <r>
      <rPr>
        <sz val="13"/>
        <color rgb="FF000000"/>
        <rFont val="Times New Roman"/>
      </rPr>
      <t xml:space="preserve"> đang thực hiện trong hạn</t>
    </r>
  </si>
  <si>
    <r>
      <rPr>
        <strike/>
        <sz val="13"/>
        <color rgb="FFFF0000"/>
        <rFont val="Times New Roman"/>
      </rPr>
      <t>Lãnh đạo có thể xem trực quan tổng số nhiệm vụ Chính phủ giao đang thực hiện trong hạn. Hệ thống xử lý yêu cầu và hiển thị số liệu trực quan</t>
    </r>
    <r>
      <rPr>
        <sz val="13"/>
        <color rgb="FF0000FF"/>
        <rFont val="Times New Roman"/>
      </rPr>
      <t xml:space="preserve">
Cho phép Lãnh đạo theo dõi trực quan tổng số nhiệm vụ Trung ương giao đang thực hiện trong hạn. Hệ thống tự động tổng hợp, xử lý và hiển thị dữ liệu.</t>
    </r>
  </si>
  <si>
    <r>
      <rPr>
        <strike/>
        <sz val="13"/>
        <color rgb="FFFF0000"/>
        <rFont val="Times New Roman"/>
      </rPr>
      <t xml:space="preserve">Lãnh đạo có thể ghi chú vào biểu đồ tổng số nhiệm vụ chính phủ, thủ tưởng chính phủ giao đang thực hiện trong hạn. Hệ thống hiển thị giao diện nhập ghi chú và lưu lại thông tin ghi chú
</t>
    </r>
    <r>
      <rPr>
        <sz val="13"/>
        <color rgb="FF0000FF"/>
        <rFont val="Times New Roman"/>
      </rPr>
      <t>Lãnh đạo thực hiện xuất ảnh cho biểu đồ tổng số nhiệm vụ Trung ương giao đang thực hiện trong hạn. Hệ thống thực hiện xuất biểu đồ dưới dạng hình ảnh.</t>
    </r>
  </si>
  <si>
    <r>
      <rPr>
        <sz val="13"/>
        <color rgb="FF000000"/>
        <rFont val="Times New Roman"/>
      </rPr>
      <t xml:space="preserve">Theo dõi trực quan tổng số nhiệm vụ </t>
    </r>
    <r>
      <rPr>
        <strike/>
        <sz val="13"/>
        <color rgb="FFFF0000"/>
        <rFont val="Times New Roman"/>
      </rPr>
      <t>Chính phủ giao</t>
    </r>
    <r>
      <rPr>
        <sz val="13"/>
        <color rgb="FF000000"/>
        <rFont val="Times New Roman"/>
      </rPr>
      <t xml:space="preserve"> </t>
    </r>
    <r>
      <rPr>
        <sz val="13"/>
        <color rgb="FF0000FF"/>
        <rFont val="Times New Roman"/>
      </rPr>
      <t>Trung ương giao (Nhiệm vụ Bộ chính trị, ban bí thư giao và nhiệm vụ Chính phủ giao)</t>
    </r>
    <r>
      <rPr>
        <sz val="13"/>
        <color rgb="FF000000"/>
        <rFont val="Times New Roman"/>
      </rPr>
      <t xml:space="preserve"> đang thực hiện quá hạn</t>
    </r>
  </si>
  <si>
    <r>
      <rPr>
        <strike/>
        <sz val="13"/>
        <color rgb="FFFF0000"/>
        <rFont val="Times New Roman"/>
      </rPr>
      <t xml:space="preserve">Lãnh đạo có thể xem trực quan tổng số nhiệm vụ Chính phủ giao đang thực hiện quá hạn. Hệ thống xử lý yêu cầu và hiển thị số liệu trực quan
</t>
    </r>
    <r>
      <rPr>
        <sz val="13"/>
        <color rgb="FF0000FF"/>
        <rFont val="Times New Roman"/>
      </rPr>
      <t>Cho phép Lãnh đạo theo dõi trực quan số liệu tổng số nhiệm vụ Trung ương giao đang thực hiện quá hạn. Hệ thống tự động tổng hợp, xử lý và hiển thị dữ liệu.</t>
    </r>
  </si>
  <si>
    <r>
      <rPr>
        <strike/>
        <sz val="13"/>
        <color rgb="FFFF0000"/>
        <rFont val="Times New Roman"/>
      </rPr>
      <t xml:space="preserve">Lãnh đạo có thể ghi chú vào biểu đồ tổng số nhiệm vụ chính phủ, thủ tưởng chính phủ giao đang thực hiện quá hạn . Hệ thống hiển thị giao diện nhập ghi chú và lưu lại thông tin ghi chú
</t>
    </r>
    <r>
      <rPr>
        <sz val="13"/>
        <color rgb="FF0000FF"/>
        <rFont val="Times New Roman"/>
      </rPr>
      <t>Lãnh đạo thực hiện xuất ảnh cho biểu đồ tổng số nhiệm vụ Trung ương giao đang thực hiện quá hạn. Hệ thống thực hiện xuất biểu đồ dưới dạng hình ảnh.</t>
    </r>
  </si>
  <si>
    <r>
      <rPr>
        <b/>
        <sz val="13"/>
        <color rgb="FF0000FF"/>
        <rFont val="Times New Roman"/>
      </rPr>
      <t>Quản lý nhiệm vụ Lãnh đạo Bộ giao</t>
    </r>
    <r>
      <rPr>
        <b/>
        <sz val="13"/>
        <color rgb="FF000000"/>
        <rFont val="Times New Roman"/>
      </rPr>
      <t xml:space="preserve"> </t>
    </r>
    <r>
      <rPr>
        <b/>
        <strike/>
        <sz val="13"/>
        <color rgb="FFFF0000"/>
        <rFont val="Times New Roman"/>
      </rPr>
      <t>Theo dõi nhiệm vụ Lãnh đạo Bộ giao</t>
    </r>
  </si>
  <si>
    <t>Theo dõi trực quan tổng số nhiệm vụ Lãnh đạo Bộ giao cần thực hiện</t>
  </si>
  <si>
    <r>
      <rPr>
        <strike/>
        <sz val="13"/>
        <color rgb="FFFF0000"/>
        <rFont val="Times New Roman"/>
      </rPr>
      <t>Lãnh đạo vào danh sách nhiệm vụ đã giao. Hệ thống xử lý yêu cầu và hiển thị thông báo kết quả xử lý</t>
    </r>
    <r>
      <rPr>
        <sz val="13"/>
        <color rgb="FF000000"/>
        <rFont val="Times New Roman"/>
      </rPr>
      <t xml:space="preserve">
</t>
    </r>
    <r>
      <rPr>
        <sz val="13"/>
        <color rgb="FF0000FF"/>
        <rFont val="Times New Roman"/>
      </rPr>
      <t>Cho phép Lãnh đạo theo dõi trực quan tổng số nhiệm vụ Lãnh đạo Bộ giao cần thực hiện. Hệ thống tự động tổng hợp, xử lý và hiển thị dữ liệu</t>
    </r>
    <r>
      <rPr>
        <sz val="13"/>
        <color rgb="FF000000"/>
        <rFont val="Times New Roman"/>
      </rPr>
      <t>.</t>
    </r>
  </si>
  <si>
    <r>
      <rPr>
        <strike/>
        <sz val="13"/>
        <color rgb="FFFF0000"/>
        <rFont val="Times New Roman"/>
      </rPr>
      <t xml:space="preserve">Lãnh đạo tìm kiếm nhiệm vụ đã giao. Hệ thống xử lý yêu cầu và hiển thị thông báo kết quả xử lý
</t>
    </r>
    <r>
      <rPr>
        <sz val="13"/>
        <color rgb="FF0000FF"/>
        <rFont val="Times New Roman"/>
      </rPr>
      <t>Lãnh đạo thực hiện xuất ảnh cho biểu đồ tổng số nhiệm vụ Lãnh đạo Bộ giao cần thực hiện. Hệ thống thực hiện xuất biểu đồ dưới dạng hình ảnh.</t>
    </r>
  </si>
  <si>
    <t>Lãnh đạo có thể xem trực quan thông tin chi tiết nhiệm vụ đã giao. Hệ thống xử lý yêu cầu và hiển thị kết quả xử lý</t>
  </si>
  <si>
    <t>Theo dõi trực quan tổng số nhiệm vụ Lãnh đạo Bộ giao đã hoàn thành</t>
  </si>
  <si>
    <r>
      <rPr>
        <strike/>
        <sz val="13"/>
        <color rgb="FFFF0000"/>
        <rFont val="Times New Roman"/>
      </rPr>
      <t xml:space="preserve">Lãnh đạo có thể xem trực quan tổng số nhiệm vụ lãnh đạo bộ giao đã hoàn thành. Hệ thống xử lý yêu cầu và hiển thị thông báo kết quả xử lý
</t>
    </r>
    <r>
      <rPr>
        <sz val="13"/>
        <color rgb="FF0000FF"/>
        <rFont val="Times New Roman"/>
      </rPr>
      <t>Cho phép Lãnh đạo theo dõi trực quan tổng số nhiệm vụ Lãnh đạo Bộ giao đã hoàn thành. Hệ thống tự động tổng hợp, xử lý và hiển thị dữ liệu.</t>
    </r>
  </si>
  <si>
    <t>Lãnh đạo thực hiện xuất ảnh cho biểu đồ tổng số nhiệm vụ Lãnh đạo Bộ giao đã hoàn thành. Hệ thống thực hiện xuất biểu đồ dưới dạng hình ảnh.</t>
  </si>
  <si>
    <t>Lãnh đạo có thể xem trực quan thông tin chi tiết nhiệm vụ đã hoàn thành. Hệ thống xử lý yêu cầu và hiển thị kết quả xử lý</t>
  </si>
  <si>
    <t>Theo dõi trực quan tổng số nhiệm vụ Lãnh đạo Bộ giao đang thực hiện trong hạn</t>
  </si>
  <si>
    <r>
      <rPr>
        <strike/>
        <sz val="13"/>
        <color rgb="FFFF0000"/>
        <rFont val="Times New Roman"/>
      </rPr>
      <t xml:space="preserve">Lãnh đạo vào danh sách nhiệm vụ đã tiếp nhận. Hệ thống xử lý yêu cầu và hiển thị thông báo kết quả xử lý
</t>
    </r>
    <r>
      <rPr>
        <sz val="13"/>
        <color rgb="FF0000FF"/>
        <rFont val="Times New Roman"/>
      </rPr>
      <t>Cho phép Lãnh đạo theo dõi trực quan tổng số nhiệm vụ Lãnh đạo Bộ giao đang thực hiện trong hạn. Hệ thống tự động tổng hợp, xử lý và hiển thị dữ liệu.</t>
    </r>
  </si>
  <si>
    <r>
      <rPr>
        <strike/>
        <sz val="13"/>
        <color rgb="FFFF0000"/>
        <rFont val="Times New Roman"/>
      </rPr>
      <t>Lãnh đạo tìm kiếm nhiệm vụ đã tiếp nhận. Hệ thống xử lý yêu cầu và hiển thị kết quả xử lý</t>
    </r>
    <r>
      <rPr>
        <strike/>
        <sz val="13"/>
        <color rgb="FF000000"/>
        <rFont val="Times New Roman"/>
      </rPr>
      <t xml:space="preserve">
</t>
    </r>
    <r>
      <rPr>
        <sz val="13"/>
        <color rgb="FF0000FF"/>
        <rFont val="Times New Roman"/>
      </rPr>
      <t>Lãnh đạo thực hiện xuất ảnh cho biểu đồ tổng số nhiệm vụ Lãnh đạo Bộ giao đang thực hiện trong hạn. Hệ thống thực hiện xuất biểu đồ dưới dạng hình ảnh.</t>
    </r>
  </si>
  <si>
    <r>
      <rPr>
        <sz val="13"/>
        <color rgb="FF000000"/>
        <rFont val="Times New Roman"/>
      </rPr>
      <t xml:space="preserve">Lãnh đạo có thể xem trực quan thông tin chi tiết nhiệm vụ </t>
    </r>
    <r>
      <rPr>
        <strike/>
        <sz val="13"/>
        <color rgb="FFFF0000"/>
        <rFont val="Times New Roman"/>
      </rPr>
      <t>đã tiếp nhận</t>
    </r>
    <r>
      <rPr>
        <sz val="13"/>
        <color rgb="FF000000"/>
        <rFont val="Times New Roman"/>
      </rPr>
      <t xml:space="preserve"> </t>
    </r>
    <r>
      <rPr>
        <sz val="13"/>
        <color rgb="FF0000FF"/>
        <rFont val="Times New Roman"/>
      </rPr>
      <t>đang thực hiện trong hạn</t>
    </r>
    <r>
      <rPr>
        <sz val="13"/>
        <color rgb="FF000000"/>
        <rFont val="Times New Roman"/>
      </rPr>
      <t>. Hệ thống xử lý yêu cầu và hiển thị kết quả xử lý</t>
    </r>
  </si>
  <si>
    <t>Theo dõi trực quan tổng số nhiệm vụ Lãnh đạo Bộ giao đang thực hiện quá hạn</t>
  </si>
  <si>
    <r>
      <rPr>
        <strike/>
        <sz val="13"/>
        <color rgb="FFFF0000"/>
        <rFont val="Times New Roman"/>
      </rPr>
      <t xml:space="preserve">Lãnh đạo vào danh sách nhiệm vụ lãnh đạo bộ giao đang thực hiện quá hạn. Hệ thống xử lý yêu cầu và hiển thị kết quả xử lý
</t>
    </r>
    <r>
      <rPr>
        <sz val="13"/>
        <color rgb="FF0000FF"/>
        <rFont val="Times New Roman"/>
      </rPr>
      <t>Cho phép Lãnh đạo theo dõi trực quan tổng số nhiệm vụ Lãnh đạo Bộ giao đang thực hiện quá hạn. Hệ thống tự động tổng hợp, xử lý và hiển thị dữ liệu.</t>
    </r>
  </si>
  <si>
    <r>
      <rPr>
        <strike/>
        <sz val="13"/>
        <color rgb="FFFF0000"/>
        <rFont val="Times New Roman"/>
      </rPr>
      <t xml:space="preserve">Lãnh đạo tìm kiếm nhiệm vụ đang thực hiện quá hạn. Hệ thống xử lý yêu cầu và hiển thị kết quả xử lý
</t>
    </r>
    <r>
      <rPr>
        <sz val="13"/>
        <color rgb="FF0000FF"/>
        <rFont val="Times New Roman"/>
      </rPr>
      <t>Lãnh đạo thực hiện xuất ảnh cho biểu đồ tổng số nhiệm vụ Lãnh đạo Bộ giao đang thực hiện quá hạn. Hệ thống thực hiện xuất biểu đồ dưới dạng hình ảnh.</t>
    </r>
  </si>
  <si>
    <t>Lãnh đạo có thể xem trực quan thông tin chi tiết nhiệm vụ đang thực hiện quá hạn. Hệ thống xử lý yêu cầu và hiển thị kết quả xử lý</t>
  </si>
  <si>
    <t>Theo dõi tình hình xử lý văn bản</t>
  </si>
  <si>
    <t>Theo dõi trực quan số liệu về văn bản đến trong kỳ báo cáo</t>
  </si>
  <si>
    <r>
      <rPr>
        <strike/>
        <sz val="13"/>
        <color rgb="FFFF0000"/>
        <rFont val="Times New Roman"/>
      </rPr>
      <t>Lãnh đạo có thể xem trực quan số liệu văn bản đến trong kỳ báo cáo. Hệ thống xử lý yêu cầu và hiển thị kết quả xử lý</t>
    </r>
    <r>
      <rPr>
        <sz val="13"/>
        <color rgb="FF0000FF"/>
        <rFont val="Times New Roman"/>
      </rPr>
      <t xml:space="preserve">
Cho phép Lãnh đạo theo dõi trực quan số liệu về văn bản đến trong kỳ báo cáo. Hệ thống tự động tổng hợp, xử lý và hiển thị dữ liệu.</t>
    </r>
  </si>
  <si>
    <r>
      <rPr>
        <strike/>
        <sz val="13"/>
        <color rgb="FFFF0000"/>
        <rFont val="Times New Roman"/>
      </rPr>
      <t xml:space="preserve">Lãnh đạo tìm kiếm văn bản đến trong kỳ báo cáo. Hệ thống xử lý yêu cầu và hiển thị kết quả xử lý
</t>
    </r>
    <r>
      <rPr>
        <sz val="13"/>
        <color rgb="FF0000FF"/>
        <rFont val="Times New Roman"/>
      </rPr>
      <t>Lãnh đạo thực hiện xuất ảnh cho biểu đồ văn bản đến trong kỳ báo cáo. Hệ thống thực hiện xuất biểu đồ dưới dạng hình ảnh.</t>
    </r>
  </si>
  <si>
    <t>Lãnh đạo có thể xem trực quan thông tin chi tiết văn bản đến trong kỳ báo cáo. Hệ thống xử lý yêu cầu và hiển thị kết quả xử lý</t>
  </si>
  <si>
    <t>Theo dõi trực quan số liệu văn bản đến trong kỳ báo cáo cần xử lý</t>
  </si>
  <si>
    <r>
      <rPr>
        <strike/>
        <sz val="13"/>
        <color rgb="FFFF0000"/>
        <rFont val="Times New Roman"/>
      </rPr>
      <t xml:space="preserve">Lãnh đạo có thể xem trực quan số liệu văn bản đến trong kỳ báo cáo cần xử lý. Hệ thống xử lý yêu cầu và hiển thị kết quả xử lý
</t>
    </r>
    <r>
      <rPr>
        <sz val="13"/>
        <color rgb="FF0000FF"/>
        <rFont val="Times New Roman"/>
      </rPr>
      <t>Cho phép Lãnh đạo theo dõi trực quan số liệu văn bản đến trong kỳ báo cáo cần xử lý. Hệ thống tự động tổng hợp, xử lý và hiển thị dữ liệu.</t>
    </r>
  </si>
  <si>
    <r>
      <rPr>
        <strike/>
        <sz val="13"/>
        <color rgb="FFFF0000"/>
        <rFont val="Times New Roman"/>
      </rPr>
      <t xml:space="preserve">Lãnh đạo tìm kiếm văn bản đến trong kỳ báo cáo cần xử lý. Hệ thống xử lý yêu cầu và hiển thị kết quả xử lý
</t>
    </r>
    <r>
      <rPr>
        <sz val="13"/>
        <color rgb="FF0000FF"/>
        <rFont val="Times New Roman"/>
      </rPr>
      <t>Lãnh đạo thực hiện xuất ảnh cho biểu đồ văn bản đến trong kỳ báo cáo cần xử lý. Hệ thống thực hiện xuất biểu đồ dưới dạng hình ảnh.</t>
    </r>
  </si>
  <si>
    <t>Lãnh đạo có thể xem trực quan thông tin chi tiết văn bản đến trong kỳ báo cáo cần xử lý. Hệ thống xử lý yêu cầu và hiển thị kết quả xử lý</t>
  </si>
  <si>
    <r>
      <rPr>
        <sz val="13"/>
        <color rgb="FF000000"/>
        <rFont val="Times New Roman"/>
      </rPr>
      <t xml:space="preserve">Theo dõi trực quan </t>
    </r>
    <r>
      <rPr>
        <sz val="13"/>
        <color rgb="FF0000FF"/>
        <rFont val="Times New Roman"/>
      </rPr>
      <t xml:space="preserve">số liệu </t>
    </r>
    <r>
      <rPr>
        <sz val="13"/>
        <color rgb="FF000000"/>
        <rFont val="Times New Roman"/>
      </rPr>
      <t>tổng số văn bản đến cần xử lý</t>
    </r>
  </si>
  <si>
    <r>
      <rPr>
        <strike/>
        <sz val="13"/>
        <color rgb="FFFF0000"/>
        <rFont val="Times New Roman"/>
      </rPr>
      <t xml:space="preserve">Lãnh đạo có thể xem trực quan số liệu tổng số văn bản đến trong kỳ báo cáo cần xử lý. Hệ thống xử lý yêu cầu và hiển thị kết quả xử lý
</t>
    </r>
    <r>
      <rPr>
        <sz val="13"/>
        <color rgb="FF0000FF"/>
        <rFont val="Times New Roman"/>
      </rPr>
      <t>Cho phép Lãnh đạo theo dõi trực quan số liệu tổng số văn bản đến cần xử lý. Hệ thống tự động tổng hợp, xử lý và hiển thị dữ liệu.</t>
    </r>
  </si>
  <si>
    <r>
      <rPr>
        <strike/>
        <sz val="13"/>
        <color rgb="FFFF0000"/>
        <rFont val="Times New Roman"/>
      </rPr>
      <t xml:space="preserve">Lãnh đạo tìm kiếm văn bản đến trong kỳ báo cáo cần xử lý. Hệ thống xử lý yêu cầu và hiển thị kết quả xử lý
</t>
    </r>
    <r>
      <rPr>
        <sz val="13"/>
        <color rgb="FF0000FF"/>
        <rFont val="Times New Roman"/>
      </rPr>
      <t>Lãnh đạo thực hiện xuất ảnh cho biểu đồ tổng số văn bản đến cần xử lý. Hệ thống thực hiện xuất biểu đồ dưới dạng hình ảnh.</t>
    </r>
  </si>
  <si>
    <t>Lãnh đạo có thể xem trực quan thông tin chi tiết văn bản đến cần xử lý. Hệ thống xử lý yêu cầu và hiển thị kết quả xử lý</t>
  </si>
  <si>
    <r>
      <rPr>
        <sz val="13"/>
        <color rgb="FF000000"/>
        <rFont val="Times New Roman"/>
      </rPr>
      <t xml:space="preserve">Theo dõi trực quan </t>
    </r>
    <r>
      <rPr>
        <sz val="13"/>
        <color rgb="FF0000FF"/>
        <rFont val="Times New Roman"/>
      </rPr>
      <t xml:space="preserve">số liệu </t>
    </r>
    <r>
      <rPr>
        <sz val="13"/>
        <color rgb="FF000000"/>
        <rFont val="Times New Roman"/>
      </rPr>
      <t>tổng số văn bản đến đã xử lý</t>
    </r>
  </si>
  <si>
    <r>
      <rPr>
        <strike/>
        <sz val="13"/>
        <color rgb="FFFF0000"/>
        <rFont val="Times New Roman"/>
      </rPr>
      <t xml:space="preserve">Lãnh đạo có thể xem trực quan số liệu tổng số văn bản đến trong kỳ báo cáo đã xử lý. Hệ thống xử lý yêu cầu và hiển thị kết quả xử lý
</t>
    </r>
    <r>
      <rPr>
        <sz val="13"/>
        <color rgb="FF0000FF"/>
        <rFont val="Times New Roman"/>
      </rPr>
      <t>Cho phép Lãnh đạo theo dõi trực quan số liệu tổng số văn bản đến đã xử lý. Hệ thống tự động tổng hợp, xử lý và hiển thị dữ liệu.</t>
    </r>
  </si>
  <si>
    <r>
      <rPr>
        <strike/>
        <sz val="13"/>
        <color rgb="FFFF0000"/>
        <rFont val="Times New Roman"/>
      </rPr>
      <t xml:space="preserve">Lãnh đạo tìm kiếm văn bản đến trong kỳ báo cáo đã xử lý. Hệ thống xử lý yêu cầu và hiển thị kết quả xử lý
</t>
    </r>
    <r>
      <rPr>
        <sz val="13"/>
        <color rgb="FF0000FF"/>
        <rFont val="Times New Roman"/>
      </rPr>
      <t>Lãnh đạo thực hiện xuất ảnh cho biểu đồ tổng số văn bản đến đã xử lý. Hệ thống thực hiện xuất biểu đồ dưới dạng hình ảnh.</t>
    </r>
  </si>
  <si>
    <t>Lãnh đạo có thể xem trực quan thông tin chi tiết văn bản đến đã xử lý. Hệ thống xử lý yêu cầu và hiển thị kết quả xử lý</t>
  </si>
  <si>
    <r>
      <rPr>
        <sz val="13"/>
        <color rgb="FF000000"/>
        <rFont val="Times New Roman"/>
      </rPr>
      <t xml:space="preserve">Theo dõi trực quan </t>
    </r>
    <r>
      <rPr>
        <sz val="13"/>
        <color rgb="FF0000FF"/>
        <rFont val="Times New Roman"/>
      </rPr>
      <t>số liệu</t>
    </r>
    <r>
      <rPr>
        <sz val="13"/>
        <color rgb="FF000000"/>
        <rFont val="Times New Roman"/>
      </rPr>
      <t xml:space="preserve"> tổng số văn bản đến đang xử lý quá hạn</t>
    </r>
  </si>
  <si>
    <r>
      <rPr>
        <strike/>
        <sz val="13"/>
        <color rgb="FFFF0000"/>
        <rFont val="Times New Roman"/>
      </rPr>
      <t xml:space="preserve">Lãnh đạo có thể xem trực quan số liệu tổng số văn bản đến đang xử lý quá hạn. Hệ thống xử lý yêu cầu và hiển thị kết quả xử lý
</t>
    </r>
    <r>
      <rPr>
        <sz val="13"/>
        <color rgb="FF0000FF"/>
        <rFont val="Times New Roman"/>
      </rPr>
      <t>Cho phép Lãnh đạo theo dõi trực quan số liệu tổng số văn bản đến đang xử lý quá hạn. Hệ thống tự động tổng hợp, xử lý và hiển thị dữ liệu.</t>
    </r>
  </si>
  <si>
    <r>
      <rPr>
        <strike/>
        <sz val="13"/>
        <color rgb="FFFF0000"/>
        <rFont val="Times New Roman"/>
      </rPr>
      <t xml:space="preserve">Lãnh đạo tìm kiếm văn bản đến đang xử lý quá hạn. Hệ thống xử lý yêu cầu và hiển thị kết quả xử lý
</t>
    </r>
    <r>
      <rPr>
        <sz val="13"/>
        <color rgb="FF0000FF"/>
        <rFont val="Times New Roman"/>
      </rPr>
      <t>Lãnh đạo thực hiện xuất ảnh cho biểu đồ tổng số văn bản đến đang xử lý quá hạn. Hệ thống thực hiện xuất biểu đồ dưới dạng hình ảnh.</t>
    </r>
  </si>
  <si>
    <t>Lãnh đạo có thể xem trực quan thông tin chi tiết văn bản đến đang xử lý quá hạn. Hệ thống xử lý yêu cầu và hiển thị kết quả xử lý</t>
  </si>
  <si>
    <t>Theo dõi trực quan số liệu văn bản đi trong kỳ báo cáo do đơn vị trực tiếp phát hành</t>
  </si>
  <si>
    <r>
      <rPr>
        <strike/>
        <sz val="13"/>
        <color rgb="FFFF0000"/>
        <rFont val="Times New Roman"/>
      </rPr>
      <t>Lãnh đạo có thể xem trực quan số liệu văn bản đi trong kỳ báo cáo do đơn vị trực tiếp phát hành. Hệ thống xử lý yêu cầu và hiển thị kết quả xử lý</t>
    </r>
    <r>
      <rPr>
        <sz val="13"/>
        <color rgb="FF0000FF"/>
        <rFont val="Times New Roman"/>
      </rPr>
      <t xml:space="preserve">
Cho phép Lãnh đạo theo dõi trực quan số liệu văn bản đi trong kỳ báo cáo do đơn vị trực tiếp phát hành. Hệ thống tự động tổng hợp, xử lý và hiển thị dữ liệu.</t>
    </r>
  </si>
  <si>
    <r>
      <rPr>
        <strike/>
        <sz val="13"/>
        <color rgb="FFFF0000"/>
        <rFont val="Times New Roman"/>
      </rPr>
      <t xml:space="preserve">Lãnh đạo tìm kiếm văn bản đi trong kỳ báo cáo do đơn vị trực tiếp phát hành. Hệ thống xử lý yêu cầu và hiển thị kết quả xử lý
</t>
    </r>
    <r>
      <rPr>
        <sz val="13"/>
        <color rgb="FF0000FF"/>
        <rFont val="Times New Roman"/>
      </rPr>
      <t>Lãnh đạo thực hiện xuất ảnh cho biểu đồ văn bản đi trong kỳ báo cáo do đơn vị trực tiếp phát hành. Hệ thống thực hiện xuất biểu đồ dưới dạng hình ảnh.</t>
    </r>
  </si>
  <si>
    <t>Lãnh đạo có thể xem trực quan thông tin chi tiết văn bản đi trong kỳ báo cáo do đơn vị trực tiếp phát hành. Hệ thống xử lý yêu cầu và hiển thị kết quả xử lý</t>
  </si>
  <si>
    <r>
      <rPr>
        <sz val="13"/>
        <color rgb="FF000000"/>
        <rFont val="Times New Roman"/>
      </rPr>
      <t xml:space="preserve">Theo dõi trực quan số liệu văn bản đi </t>
    </r>
    <r>
      <rPr>
        <strike/>
        <sz val="13"/>
        <color rgb="FFFF0000"/>
        <rFont val="Times New Roman"/>
      </rPr>
      <t>trong kỳ báo cáo do đơn vị phát hành và được ký số theo quy định</t>
    </r>
    <r>
      <rPr>
        <sz val="13"/>
        <color rgb="FF0000FF"/>
        <rFont val="Times New Roman"/>
      </rPr>
      <t xml:space="preserve"> đang trình ký</t>
    </r>
  </si>
  <si>
    <r>
      <rPr>
        <strike/>
        <sz val="13"/>
        <color rgb="FFFF0000"/>
        <rFont val="Times New Roman"/>
      </rPr>
      <t>Lãnh đạo có thể xem trực quan số liệu bản đi trong kỳ báo cáo do đơn vị phát hành và được ký số theo quy định. Hệ thống xử lý yêu cầu và hiển thị kết quả xử lý</t>
    </r>
    <r>
      <rPr>
        <sz val="13"/>
        <color rgb="FF000000"/>
        <rFont val="Times New Roman"/>
      </rPr>
      <t xml:space="preserve">
</t>
    </r>
    <r>
      <rPr>
        <sz val="13"/>
        <color rgb="FF0000FF"/>
        <rFont val="Times New Roman"/>
      </rPr>
      <t>Cho phép Lãnh đạo theo dõi trực quan số liệu văn bản đi đang trình ký. Hệ thống tự động tổng hợp, xử lý và hiển thị dữ liệu.</t>
    </r>
  </si>
  <si>
    <r>
      <rPr>
        <strike/>
        <sz val="13"/>
        <color rgb="FFFF0000"/>
        <rFont val="Times New Roman"/>
      </rPr>
      <t xml:space="preserve">Lãnh đạo tìm kiếm văn bản đi trong kỳ báo cáo do đơn vị phát hành và được ký số theo quy định. Hệ thống xử lý yêu cầu và hiển thị kết quả xử lý
</t>
    </r>
    <r>
      <rPr>
        <sz val="13"/>
        <color rgb="FF0000FF"/>
        <rFont val="Times New Roman"/>
      </rPr>
      <t>Lãnh đạo thực hiện xuất ảnh cho biểu đồ văn bản đi đang trình ký. Hệ thống thực hiện xuất biểu đồ dưới dạng hình ảnh.</t>
    </r>
  </si>
  <si>
    <t>Lãnh đạo có thể xem trực quan thông tin chi tiết văn bản đi trong kỳ báo cáo do đơn vị phát hành và được ký số theo quy định. Hệ thống xử lý yêu cầu và hiển thị kết quả xử lý</t>
  </si>
  <si>
    <t>Theo dõi trực quan số liệu lĩnh vực quản lý ngân sách và tài sản</t>
  </si>
  <si>
    <t>Theo dõi trực quan số liệu Tỷ lệ chi ngân sách so với dự toán</t>
  </si>
  <si>
    <r>
      <rPr>
        <strike/>
        <sz val="13"/>
        <color rgb="FFFF0000"/>
        <rFont val="Times New Roman"/>
      </rPr>
      <t>Lãnh đạo có thể xem trực quan trực quan Tỷ lệ chi ngân sách so với dự toán. Hệ thống xử lý yêu cầu và hiển thị kết quả xử lý</t>
    </r>
    <r>
      <rPr>
        <sz val="13"/>
        <color rgb="FF000000"/>
        <rFont val="Times New Roman"/>
      </rPr>
      <t xml:space="preserve">
</t>
    </r>
    <r>
      <rPr>
        <sz val="13"/>
        <color rgb="FF0000FF"/>
        <rFont val="Times New Roman"/>
      </rPr>
      <t>Cho phép Lãnh đạo theo dõi trực quan số liệu Tỷ lệ chi ngân sách so với dự toán. Hệ thống tự động tổng hợp, xử lý và hiển thị dữ liệu.</t>
    </r>
  </si>
  <si>
    <r>
      <rPr>
        <strike/>
        <sz val="13"/>
        <color rgb="FFFF0000"/>
        <rFont val="Times New Roman"/>
      </rPr>
      <t xml:space="preserve">Lãnh đạo tìm kiếm số liệu Tỷ lệ chi ngân sách so với dự toán. Hệ thống xử lý yêu cầu và hiển thị kết quả xử lý
</t>
    </r>
    <r>
      <rPr>
        <sz val="13"/>
        <color rgb="FF0000FF"/>
        <rFont val="Times New Roman"/>
      </rPr>
      <t>Lãnh đạo thực hiện xuất ảnh cho biểu đồ Tỷ lệ chi ngân sách so với dự toán. Hệ thống thực hiện xuất biểu đồ dưới dạng hình ảnh.</t>
    </r>
  </si>
  <si>
    <t>Theo dõi trực quan số liệu Tổng chi ngân sách</t>
  </si>
  <si>
    <r>
      <rPr>
        <strike/>
        <sz val="13"/>
        <color rgb="FFFF0000"/>
        <rFont val="Times New Roman"/>
      </rPr>
      <t>Lãnh đạo có thể xem trực quan trực quan số liệu tổng chi ngân sách so với dự toán. Hệ thống xử lý yêu cầu và hiển thị kết quả xử lý</t>
    </r>
    <r>
      <rPr>
        <sz val="13"/>
        <color rgb="FF000000"/>
        <rFont val="Times New Roman"/>
      </rPr>
      <t xml:space="preserve">
</t>
    </r>
    <r>
      <rPr>
        <sz val="13"/>
        <color rgb="FF0000FF"/>
        <rFont val="Times New Roman"/>
      </rPr>
      <t>Cho phép Lãnh đạo theo dõi trực quan số liệu Tổng chi ngân sách. Hệ thống tự động tổng hợp, xử lý và hiển thị dữ liệu.</t>
    </r>
  </si>
  <si>
    <r>
      <rPr>
        <strike/>
        <sz val="13"/>
        <color rgb="FFFF0000"/>
        <rFont val="Times New Roman"/>
      </rPr>
      <t>Lãnh đạo tìm kiếm số liệu tổng chi ngân sách so với dự toán. Hệ thống xử lý yêu cầu và hiển thị kết quả xử lý</t>
    </r>
    <r>
      <rPr>
        <strike/>
        <sz val="13"/>
        <color rgb="FF000000"/>
        <rFont val="Times New Roman"/>
      </rPr>
      <t xml:space="preserve">
</t>
    </r>
    <r>
      <rPr>
        <sz val="13"/>
        <color rgb="FF0000FF"/>
        <rFont val="Times New Roman"/>
      </rPr>
      <t>Lãnh đạo thực hiện xuất ảnh cho biểu đồ Tổng chi ngân sách. Hệ thống thực hiện xuất biểu đồ dưới dạng hình ảnh.</t>
    </r>
  </si>
  <si>
    <t>Theo dõi trực quan số liệu Dự toán chi ngân sách</t>
  </si>
  <si>
    <r>
      <rPr>
        <strike/>
        <sz val="13"/>
        <color rgb="FFFF0000"/>
        <rFont val="Times New Roman"/>
      </rPr>
      <t>Lãnh đạo có thể xem trực quan số liệu Dự toán chi ngân sách. Hệ thống xử lý yêu cầu và hiển thị kết quả xử lý</t>
    </r>
    <r>
      <rPr>
        <sz val="13"/>
        <color rgb="FF000000"/>
        <rFont val="Times New Roman"/>
      </rPr>
      <t xml:space="preserve">
</t>
    </r>
    <r>
      <rPr>
        <sz val="13"/>
        <color rgb="FF0000FF"/>
        <rFont val="Times New Roman"/>
      </rPr>
      <t>Cho phép Lãnh đạo theo dõi trực quan số liệu Dự toán chi ngân sách. Hệ thống tự động tổng hợp, xử lý và hiển thị dữ liệu.</t>
    </r>
  </si>
  <si>
    <r>
      <rPr>
        <strike/>
        <sz val="13"/>
        <color rgb="FFFF0000"/>
        <rFont val="Times New Roman"/>
      </rPr>
      <t xml:space="preserve">Lãnh đạo tìm kiếm số liệu Dự toán chi ngân sách. Hệ thống xử lý yêu cầu và hiển thị kết quả xử lý
</t>
    </r>
    <r>
      <rPr>
        <sz val="13"/>
        <color rgb="FF0000FF"/>
        <rFont val="Times New Roman"/>
      </rPr>
      <t>Lãnh đạo thực hiện xuất ảnh cho biểu đồ Dự toán chi ngân sách. Hệ thống thực hiện xuất biểu đồ dưới dạng hình ảnh.</t>
    </r>
  </si>
  <si>
    <t>Theo dõi trực quan Quản lý dự án đầu tư công</t>
  </si>
  <si>
    <r>
      <rPr>
        <sz val="13"/>
        <color rgb="FF000000"/>
        <rFont val="Times New Roman"/>
      </rPr>
      <t xml:space="preserve">Theo dõi trực quan </t>
    </r>
    <r>
      <rPr>
        <sz val="13"/>
        <color rgb="FF0000FF"/>
        <rFont val="Times New Roman"/>
      </rPr>
      <t xml:space="preserve">số liệu </t>
    </r>
    <r>
      <rPr>
        <sz val="13"/>
        <color rgb="FF000000"/>
        <rFont val="Times New Roman"/>
      </rPr>
      <t>Tỷ lệ giải ngân vốn đầu tư công</t>
    </r>
  </si>
  <si>
    <r>
      <rPr>
        <strike/>
        <sz val="13"/>
        <color rgb="FFFF0000"/>
        <rFont val="Times New Roman"/>
      </rPr>
      <t>Lãnh đạo có thể xem trực quan trực quan Tỷ lệ giải ngân vốn đầu tư công. Hệ thống xử lý yêu cầu và hiển thị kết quả xử lý</t>
    </r>
    <r>
      <rPr>
        <sz val="13"/>
        <color rgb="FF0000FF"/>
        <rFont val="Times New Roman"/>
      </rPr>
      <t xml:space="preserve">
Cho phép Lãnh đạo theo dõi trực quan số liệu Tỷ lệ giải ngân vốn đầu tư công. Hệ thống tự động tổng hợp, xử lý và hiển thị dữ liệu.</t>
    </r>
  </si>
  <si>
    <r>
      <rPr>
        <strike/>
        <sz val="13"/>
        <color rgb="FFFF0000"/>
        <rFont val="Times New Roman"/>
      </rPr>
      <t xml:space="preserve">Lãnh đạo tìm kiếm số liệu Tỷ lệ giải ngân vốn đầu tư công. Hệ thống xử lý yêu cầu và hiển thị kết quả xử lý
</t>
    </r>
    <r>
      <rPr>
        <sz val="13"/>
        <color rgb="FF0000FF"/>
        <rFont val="Times New Roman"/>
      </rPr>
      <t>Lãnh đạo thực hiện xuất ảnh cho biểu đồ Tỷ lệ giải ngân vốn đầu tư công. Hệ thống thực hiện xuất biểu đồ dưới dạng hình ảnh.</t>
    </r>
  </si>
  <si>
    <r>
      <rPr>
        <sz val="13"/>
        <color rgb="FF000000"/>
        <rFont val="Times New Roman"/>
      </rPr>
      <t xml:space="preserve">Theo dõi trực quan </t>
    </r>
    <r>
      <rPr>
        <strike/>
        <sz val="13"/>
        <color rgb="FFFF0000"/>
        <rFont val="Times New Roman"/>
      </rPr>
      <t xml:space="preserve">Tỷ lệ dự án hoàn thành đã quyết toán </t>
    </r>
    <r>
      <rPr>
        <sz val="13"/>
        <color rgb="FF0000FF"/>
        <rFont val="Times New Roman"/>
      </rPr>
      <t>số liệu Tỷ lệ giải ngân vốn đầu tư công theo chủ đầu tư</t>
    </r>
  </si>
  <si>
    <r>
      <rPr>
        <strike/>
        <sz val="13"/>
        <color rgb="FFFF0000"/>
        <rFont val="Times New Roman"/>
      </rPr>
      <t xml:space="preserve">Lãnh đạo có thể xem trực quan trực quan Tỷ lệ dự án hoàn thành đã quyết toán. Hệ thống xử lý yêu cầu và hiển thị kết quả xử lý
</t>
    </r>
    <r>
      <rPr>
        <sz val="13"/>
        <color rgb="FF0000FF"/>
        <rFont val="Times New Roman"/>
      </rPr>
      <t>Cho phép Lãnh đạo theo dõi trực quan số liệu Tỷ lệ giải ngân vốn đầu tư công theo chủ đầu tư. Hệ thống tự động tổng hợp, xử lý và hiển thị dữ liệu.</t>
    </r>
  </si>
  <si>
    <r>
      <rPr>
        <strike/>
        <sz val="13"/>
        <color rgb="FFFF0000"/>
        <rFont val="Times New Roman"/>
      </rPr>
      <t xml:space="preserve">Lãnh đạo tìm kiếm số liệu Tỷ lệ dự án hoàn thành đã quyết toán. Hệ thống xử lý yêu cầu và hiển thị kết quả xử lý
</t>
    </r>
    <r>
      <rPr>
        <sz val="13"/>
        <color rgb="FF0000FF"/>
        <rFont val="Times New Roman"/>
      </rPr>
      <t>Lãnh đạo thực hiện xuất ảnh cho biểu đồ Tỷ lệ giải ngân vốn đầu tư công theo chủ đầu tư. Hệ thống thực hiện xuất biểu đồ dưới dạng hình ảnh.</t>
    </r>
  </si>
  <si>
    <t>Theo dõi trực quan số liệu tổng số tiền đã giải ngân</t>
  </si>
  <si>
    <t>Cho phép Lãnh đạo theo dõi trực quan số tổng số tiền đã giải ngân. Hệ thống tự động tổng hợp, xử lý và hiển thị dữ liệu.</t>
  </si>
  <si>
    <t>Lãnh đạo thực hiện xuất ảnh cho biểu đồ tổng số tiền đã giải ngân. Hệ thống thực hiện xuất biểu đồ dưới dạng hình ảnh.</t>
  </si>
  <si>
    <t>Theo dõi trực quan số liệu Vốn kế hoạch giao trong năm</t>
  </si>
  <si>
    <t>Cho phép Lãnh đạo theo dõi trực quan số liệu Vốn kế hoạch giao trong năm. Hệ thống tự động tổng hợp, xử lý và hiển thị dữ liệu.</t>
  </si>
  <si>
    <t>Lãnh đạo thực hiện xuất ảnh cho biểu đồ Vốn kế hoạch giao trong năm. Hệ thống thực hiện xuất biểu đồ dưới dạng hình ảnh.</t>
  </si>
  <si>
    <t>V.6</t>
  </si>
  <si>
    <t>Theo dõi trực quan Hòa giải cơ sở</t>
  </si>
  <si>
    <t>Theo dõi số liệu trực quan lĩnh vực hòa giải cơ sở</t>
  </si>
  <si>
    <t>Cho phép Lãnh đạo theo dõi trực quan Số vụ việc tiếp nhận hòa giải. Hệ thống tự động tổng hợp, xử lý và hiển thị dữ liệu.</t>
  </si>
  <si>
    <t>Cho phép Lãnh đạo theo dõi trực quan Tỷ lệ hòa giải thành. Hệ thống tự động tổng hợp, xử lý và hiển thị dữ liệu.</t>
  </si>
  <si>
    <t>Cho phép Lãnh đạo theo dõi trực quan Số vụ việc hòa giải không thành. Hệ thống tự động tổng hợp, xử lý và hiển thị dữ liệu.</t>
  </si>
  <si>
    <t>Cho phép Lãnh đạo theo dõi trực quan Số vụ việc chưa giải quyết xong. Hệ thống tự động tổng hợp, xử lý và hiển thị dữ liệu.</t>
  </si>
  <si>
    <t>Cho phép Lãnh đạo theo dõi trực quan Kinh phí hỗ trợ cho hoạt động hòa giải cơ sở. Hệ thống tự động tổng hợp, xử lý và hiển thị dữ liệu.</t>
  </si>
  <si>
    <t>Cho phép Lãnh đạo theo dõi trực quan Số tổ hoà giải ở cơ sở. Hệ thống tự động tổng hợp, xử lý và hiển thị dữ liệu.</t>
  </si>
  <si>
    <t>Cho phép Lãnh đạo theo dõi trực quan Số hòa giải viên. Hệ thống tự động tổng hợp, xử lý và hiển thị dữ liệu.</t>
  </si>
  <si>
    <t>Cho phép Lãnh đạo theo dõi trực quan Tỷ lệ số hòa giải viên được bồi dưỡng chuyên môn, nghiệp vụ. Hệ thống tự động tổng hợp, xử lý và hiển thị dữ liệu.</t>
  </si>
  <si>
    <t>Theo dõi số liệu trực quan lĩnh vực trợ giúp pháp lý</t>
  </si>
  <si>
    <t>Cho phép Lãnh đạo theo dõi trực quan số vụ việc TGPL đã hoàn thành. Hệ thống tự động tổng hợp, xử lý và hiển thị dữ liệu.</t>
  </si>
  <si>
    <t>Cho phép Lãnh đạo theo dõi trực quan Tổng số vụ việc TGPL. Hệ thống tự động tổng hợp, xử lý và hiển thị dữ liệu.</t>
  </si>
  <si>
    <t>Cho phép Lãnh đạo theo dõi trực quan Tỷ lệ số vụ việc TGPL đã hoàn thành. Hệ thống tự động tổng hợp, xử lý và hiển thị dữ liệu.</t>
  </si>
  <si>
    <t>Cho phép Lãnh đạo theo dõi trực quan Số lượt người được trợ giúp pháp lý. Hệ thống tự động tổng hợp, xử lý và hiển thị dữ liệu.</t>
  </si>
  <si>
    <t>Cho phép Lãnh đạo theo dõi trực quan Số lượt người được trợ giúp pháp lý theo đối tượng. Hệ thống tự động tổng hợp, xử lý và hiển thị dữ liệu.</t>
  </si>
  <si>
    <t>Cho phép Lãnh đạo theo dõi trực quan Tổng số người làm việc trong trung tâm TGPL Nhà nước. Hệ thống tự động tổng hợp, xử lý và hiển thị dữ liệu.</t>
  </si>
  <si>
    <t>Cho phép Lãnh đạo theo dõi trực quan Tổng số tổ chức tham gia trợ giúp pháp lý. Hệ thống tự động tổng hợp, xử lý và hiển thị dữ liệu.</t>
  </si>
  <si>
    <t>Cho phép Lãnh đạo theo dõi trực quan Số cá nhân làm việc tại tổ chức TGPL. Hệ thống tự động tổng hợp, xử lý và hiển thị dữ liệu.</t>
  </si>
  <si>
    <t>Theo dõi số liệu trực quan lĩnh vực bổ trợ tư pháp</t>
  </si>
  <si>
    <t>Cho phép Lãnh đạo theo dõi trực quan Tỷ lệ chứng thực bản sao điện tử từ bản chính. Hệ thống tự động tổng hợp, xử lý và hiển thị dữ liệu.</t>
  </si>
  <si>
    <t>Cho phép Lãnh đạo theo dõi trực quan số liệu Phí chứng thực bản sao. Hệ thống tự động tổng hợp, xử lý và hiển thị dữ liệu.</t>
  </si>
  <si>
    <t>Cho phép Lãnh đạo theo dõi trực quan Số việc chứng thực chữ ký trong giấy tờ, văn bản. Hệ thống tự động tổng hợp, xử lý và hiển thị dữ liệu.</t>
  </si>
  <si>
    <t>Cho phép Lãnh đạo theo dõi trực quan số liệu Phí chứng thực chữ ký trong giấy tờ, văn bản. Hệ thống tự động tổng hợp, xử lý và hiển thị dữ liệu.</t>
  </si>
  <si>
    <t>Cho phép Lãnh đạo theo dõi trực quan Số việc chứng thực hợp đồng, giao dịch. Hệ thống tự động tổng hợp, xử lý và hiển thị dữ liệu.</t>
  </si>
  <si>
    <t>Cho phép Lãnh đạo theo dõi trực quan số liệu Phí chứng thực hợp đồng, giao dịch. Hệ thống tự động tổng hợp, xử lý và hiển thị dữ liệu.</t>
  </si>
  <si>
    <t>Cho phép Lãnh đạo theo dõi trực quan Tốc độ tăng trưởng số công chứng viên. Hệ thống tự động tổng hợp, xử lý và hiển thị dữ liệu.</t>
  </si>
  <si>
    <t>Cho phép Lãnh đạo theo dõi trực quan Tỷ lệ việc công chứng là công chứng giao dịch về bất động sản. Hệ thống tự động tổng hợp, xử lý và hiển thị dữ liệu.</t>
  </si>
  <si>
    <t>Cho phép Lãnh đạo theo dõi trực quan Tỷ lệ việc công chứng là công chứng giao dịch điện tử. Hệ thống tự động tổng hợp, xử lý và hiển thị dữ liệu.</t>
  </si>
  <si>
    <t>Cho phép Lãnh đạo theo dõi trực quan Tỷ lệ số tiền nộp vào ngân sách/thuế đến từ việc công chứng. Hệ thống tự động tổng hợp, xử lý và hiển thị dữ liệu.</t>
  </si>
  <si>
    <t>Lĩnh vực thi hành án dân sự</t>
  </si>
  <si>
    <t>Theo dõi trực quan số liệu tỷ lệ việc thi hành xong trong số có điều kiện thi hành</t>
  </si>
  <si>
    <t>Cho phép lãnh đạo theo dõi trực quan tỷ lệ thi hành xong trong số có điều kiện. Hệ thống tự động tổng hợp, xử lý và hiển thị dữ liệu.</t>
  </si>
  <si>
    <t>Cho phép lãnh đạo theo dõi trực quan tỷ lệ thi hành xong trong số có điều kiện theo đơn vị. Hệ thống tự động tổng hợp, xử lý và hiển thị dữ liệu.</t>
  </si>
  <si>
    <t>Cho phép lãnh đạo theo dõi trực quan tỷ lệ thi hành xong trong số có điều kiện theo thời gian. Hệ thống tự động tổng hợp, xử lý và hiển thị dữ liệu.</t>
  </si>
  <si>
    <t>Theo dõi trực quan Tổng số việc có điều kiện thi hành</t>
  </si>
  <si>
    <t>Cho phép lãnh đạo theo dõi trực quan Tổng số việc có điều kiện thi hành. Hệ thống tự động tổng hợp, xử lý và hiển thị dữ liệu.</t>
  </si>
  <si>
    <t>Cho phép lãnh đạo theo dõi trực quan Tổng số việc có điều kiện thi hành theo đơn vị. Hệ thống tự động tổng hợp, xử lý và hiển thị dữ liệu.</t>
  </si>
  <si>
    <t>Cho phép lãnh đạo theo dõi trực quan Tổng số việc có điều kiện thi hành theo thời gian. Hệ thống tự động tổng hợp, xử lý và hiển thị dữ liệu.</t>
  </si>
  <si>
    <t>Theo dõi trực quan Tổng số việc thi hành xong</t>
  </si>
  <si>
    <t>Cho phép lãnh đạo theo dõi trực quan Tổng số việc có thi hành xong. Hệ thống tự động tổng hợp, xử lý và hiển thị dữ liệu.</t>
  </si>
  <si>
    <t>Cho phép lãnh đạo theo dõi trực quan Tổng số việc có thi hành xong theo đơn vị. Hệ thống tự động tổng hợp, xử lý và hiển thị dữ liệu.</t>
  </si>
  <si>
    <t>Cho phép lãnh đạo theo dõi trực quan Tổng số việc có thi hành xong theo thời gian. Hệ thống tự động tổng hợp, xử lý và hiển thị dữ liệu.</t>
  </si>
  <si>
    <t>Theo dõi trực quan số liệu tỷ lệ tiền thi hành xong trong số có điều kiện thi hành</t>
  </si>
  <si>
    <t>Cho phép lãnh đạo theo dõi trực quan tỷ lệ tiền thi hành xong trong số có điều kiện thi hành. Hệ thống tự động tổng hợp, xử lý và hiển thị dữ liệu.</t>
  </si>
  <si>
    <t>Cho phép lãnh đạo theo dõi trực quan tỷ lệ tiền thi hành xong trong số có điều kiện thi hành theo đơn vị. Hệ thống tự động tổng hợp, xử lý và hiển thị dữ liệu.</t>
  </si>
  <si>
    <t>Cho phép lãnh đạo theo dõi trực quan tỷ lệ tiền thi hành xong trong số có điều kiện thi hành theo thời gian. Hệ thống tự động tổng hợp, xử lý và hiển thị dữ liệu.</t>
  </si>
  <si>
    <t>Theo dõi trực quan Tổng số tiền có điều kiện thi hành</t>
  </si>
  <si>
    <t>Cho phép lãnh đạo theo dõi trực quan Tổng số tiền có điều kiện thi hành. Hệ thống tự động tổng hợp, xử lý và hiển thị dữ liệu.</t>
  </si>
  <si>
    <t>Cho phép lãnh đạo theo dõi trực quan Tổng số tiền có điều kiện thi hành theo đơn vị. Hệ thống tự động tổng hợp, xử lý và hiển thị dữ liệu.</t>
  </si>
  <si>
    <t>Cho phép lãnh đạo theo dõi trực quan Tổng số tiền có điều kiện thi hành theo thời gian. Hệ thống tự động tổng hợp, xử lý và hiển thị dữ liệu.</t>
  </si>
  <si>
    <t>Theo dõi trực quan Tổng số tiền thi hành xong</t>
  </si>
  <si>
    <t>Cho phép lãnh đạo theo dõi trực quan Tổng số tiền có thi hành xong. Hệ thống tự động tổng hợp, xử lý và hiển thị dữ liệu.</t>
  </si>
  <si>
    <t>Cho phép lãnh đạo theo dõi trực quan Tổng số tiền có thi hành xong theo đơn vị. Hệ thống tự động tổng hợp, xử lý và hiển thị dữ liệu.</t>
  </si>
  <si>
    <t>Cho phép lãnh đạo theo dõi trực quan Tổng số tiền có thi hành xong theo thời gian. Hệ thống tự động tổng hợp, xử lý và hiển thị dữ liệu.</t>
  </si>
  <si>
    <t>V.7</t>
  </si>
  <si>
    <t>Lĩnh vực hộ tịch</t>
  </si>
  <si>
    <t>Theo dõi trực quan số liệu đăng ký khai sinh</t>
  </si>
  <si>
    <r>
      <rPr>
        <strike/>
        <sz val="13"/>
        <color rgb="FFFF0000"/>
        <rFont val="Times New Roman"/>
      </rPr>
      <t>Cho phép lãnh đạo theo dõi trực quan đăng ký khai sinh.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khai sinh mới. Hệ thống tự động tổng hợp, xử lý và hiển thị dữ liệu.</t>
    </r>
  </si>
  <si>
    <r>
      <rPr>
        <strike/>
        <sz val="13"/>
        <color rgb="FFFF0000"/>
        <rFont val="Times New Roman"/>
      </rPr>
      <t>Lãnh đạo tìm kiếm số liệu đăng ký khai sinh.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khai sinh mới theo thời gian. Hệ thống tự động tổng hợp, xử lý và hiển thị dữ liệu.</t>
    </r>
  </si>
  <si>
    <r>
      <rPr>
        <strike/>
        <sz val="13"/>
        <color rgb="FFFF0000"/>
        <rFont val="Times New Roman"/>
      </rPr>
      <t>Cho phép lãnh đạo theo dõi trực quan đăng ký khai sinh chi tiết.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khai sinh mới theo đơn vị. Hệ thống tự động tổng hợp, xử lý và hiển thị dữ liệu.</t>
    </r>
  </si>
  <si>
    <t>Theo dõi trực quan số liệu đăng ký khai tử</t>
  </si>
  <si>
    <r>
      <rPr>
        <strike/>
        <sz val="13"/>
        <color rgb="FFFF0000"/>
        <rFont val="Times New Roman"/>
      </rPr>
      <t>Cho phép lãnh đạo theo dõi trực quan đăng ký khai tử.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khai tử mới. Hệ thống tự động tổng hợp, xử lý và hiển thị dữ liệu.</t>
    </r>
  </si>
  <si>
    <r>
      <rPr>
        <strike/>
        <sz val="13"/>
        <color rgb="FFFF0000"/>
        <rFont val="Times New Roman"/>
      </rPr>
      <t xml:space="preserve">Lãnh đạo tìm kiếm số liệu đăng ký khai tử. Hệ thống tự động tổng hợp, xử lý và hiển thị dữ liệu.
</t>
    </r>
    <r>
      <rPr>
        <sz val="13"/>
        <color rgb="FF0000FF"/>
        <rFont val="Times New Roman"/>
      </rPr>
      <t>Cho phép Lãnh đạo theo dõi trực quan Số trường hợp đăng ký khai tử mới theo thời gian. Hệ thống tự động tổng hợp, xử lý và hiển thị dữ liệu.</t>
    </r>
  </si>
  <si>
    <r>
      <rPr>
        <strike/>
        <sz val="13"/>
        <color rgb="FFFF0000"/>
        <rFont val="Times New Roman"/>
      </rPr>
      <t xml:space="preserve">Cho phép lãnh đạo theo dõi trực quan đăng ký khai tử chi tiết. Hệ thống tự động tổng hợp, xử lý và hiển thị dữ liệu.
</t>
    </r>
    <r>
      <rPr>
        <sz val="13"/>
        <color rgb="FF0000FF"/>
        <rFont val="Times New Roman"/>
      </rPr>
      <t>Cho phép Lãnh đạo theo dõi trực quan Số trường hợp đăng ký khai tử mới theo đơn vị. Hệ thống tự động tổng hợp, xử lý và hiển thị dữ liệu.</t>
    </r>
  </si>
  <si>
    <t>Theo dõi trực quan số liệu đăng ký kết hôn</t>
  </si>
  <si>
    <r>
      <rPr>
        <strike/>
        <sz val="13"/>
        <color rgb="FFFF0000"/>
        <rFont val="Times New Roman"/>
      </rPr>
      <t>Cho phép lãnh đạo theo dõi trực quan đăng ký kết hôn.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kết hôn mới. Hệ thống tự động tổng hợp, xử lý và hiển thị dữ liệu.</t>
    </r>
  </si>
  <si>
    <r>
      <rPr>
        <strike/>
        <sz val="13"/>
        <color rgb="FFFF0000"/>
        <rFont val="Times New Roman"/>
      </rPr>
      <t xml:space="preserve">Lãnh đạo tìm kiếm số liệu đăng ký kết hôn. Hệ thống tự động tổng hợp, xử lý và hiển thị dữ liệu.
</t>
    </r>
    <r>
      <rPr>
        <sz val="13"/>
        <color rgb="FF0000FF"/>
        <rFont val="Times New Roman"/>
      </rPr>
      <t>Cho phép Lãnh đạo theo dõi trực quan Số trường hợp đăng ký kết hôn mới theo thời gian. Hệ thống tự động tổng hợp, xử lý và hiển thị dữ liệu.</t>
    </r>
  </si>
  <si>
    <t>Cho phép Lãnh đạo theo dõi trực quan Số trường hợp đăng ký kết hôn mới theo đơn vị. Hệ thống tự động tổng hợp, xử lý và hiển thị dữ liệu.</t>
  </si>
  <si>
    <t>Theo dõi trực quan số liệu đăng ký giám hộ</t>
  </si>
  <si>
    <r>
      <rPr>
        <strike/>
        <sz val="13"/>
        <color rgb="FFFF0000"/>
        <rFont val="Times New Roman"/>
      </rPr>
      <t xml:space="preserve">Cho phép lãnh đạo theo dõi trực quan đăng ký giám hộ. Hệ thống tự động tổng hợp, xử lý và hiển thị dữ liệu.
</t>
    </r>
    <r>
      <rPr>
        <sz val="13"/>
        <color rgb="FF0000FF"/>
        <rFont val="Times New Roman"/>
      </rPr>
      <t>Cho phép Lãnh đạo theo dõi trực quan Số trường hợp đăng ký giám hộ mới. Hệ thống tự động tổng hợp, xử lý và hiển thị dữ liệu.</t>
    </r>
  </si>
  <si>
    <r>
      <rPr>
        <strike/>
        <sz val="13"/>
        <color rgb="FFFF0000"/>
        <rFont val="Times New Roman"/>
      </rPr>
      <t>Lãnh đạo tìm kiếm số liệu đăng ký giám hộ.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giám hộ mới theo thời gian. Hệ thống tự động tổng hợp, xử lý và hiển thị dữ liệu.</t>
    </r>
  </si>
  <si>
    <r>
      <rPr>
        <strike/>
        <sz val="13"/>
        <color rgb="FFFF0000"/>
        <rFont val="Times New Roman"/>
      </rPr>
      <t>Cho phép lãnh đạo theo dõi trực quan đăng ký giám hộ chi tiết.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giám hộ mới theo đơn vị. Hệ thống tự động tổng hợp, xử lý và hiển thị dữ liệu.</t>
    </r>
  </si>
  <si>
    <t>Theo dõi trực quan số liệu đăng ký nhận cha mẹ con</t>
  </si>
  <si>
    <r>
      <rPr>
        <strike/>
        <sz val="13"/>
        <color rgb="FFFF0000"/>
        <rFont val="Times New Roman"/>
      </rPr>
      <t>Cho phép lãnh đạo theo dõi trực quan đăng ký nhận cha mẹ con. Hệ thống tự động tổng hợp, xử lý và hiển thị dữ liệu.</t>
    </r>
    <r>
      <rPr>
        <sz val="13"/>
        <color rgb="FF000000"/>
        <rFont val="Times New Roman"/>
      </rPr>
      <t xml:space="preserve">
</t>
    </r>
    <r>
      <rPr>
        <sz val="13"/>
        <color rgb="FF0000FF"/>
        <rFont val="Times New Roman"/>
      </rPr>
      <t>Cho phép Lãnh đạo theo dõi trực quan Số trường hợp đăng ký nhận cha mẹ con mới. Hệ thống tự động tổng hợp, xử lý và hiển thị dữ liệu.</t>
    </r>
  </si>
  <si>
    <r>
      <rPr>
        <strike/>
        <sz val="13"/>
        <color rgb="FFFF0000"/>
        <rFont val="Times New Roman"/>
      </rPr>
      <t xml:space="preserve">Lãnh đạo tìm kiếm số liệu đăng ký nhận cha mẹ con. Hệ thống tự động tổng hợp, xử lý và hiển thị dữ liệu.
</t>
    </r>
    <r>
      <rPr>
        <sz val="13"/>
        <color rgb="FF0000FF"/>
        <rFont val="Times New Roman"/>
      </rPr>
      <t>Cho phép Lãnh đạo theo dõi trực quan Số trường hợp đăng ký nhận cha mẹ con mới theo thời gian. Hệ thống tự động tổng hợp, xử lý và hiển thị dữ liệu.</t>
    </r>
  </si>
  <si>
    <r>
      <rPr>
        <strike/>
        <sz val="13"/>
        <color rgb="FFFF0000"/>
        <rFont val="Times New Roman"/>
      </rPr>
      <t xml:space="preserve">Cho phép lãnh đạo theo dõi trực quan đăng ký nhận cha mẹ con chi tiết. Hệ thống tự động tổng hợp, xử lý và hiển thị dữ liệu.
</t>
    </r>
    <r>
      <rPr>
        <sz val="13"/>
        <color rgb="FF0000FF"/>
        <rFont val="Times New Roman"/>
      </rPr>
      <t>Cho phép Lãnh đạo theo dõi trực quan Số trường hợp đăng ký nhận cha mẹ con mới theo đơn vị. Hệ thống tự động tổng hợp, xử lý và hiển thị dữ liệu.</t>
    </r>
  </si>
  <si>
    <t>Theo dõi trực quan số liệu đăng ký cấp giấy xác nhận tình trạng hôn nhân</t>
  </si>
  <si>
    <r>
      <rPr>
        <strike/>
        <sz val="13"/>
        <color rgb="FFFF0000"/>
        <rFont val="Times New Roman"/>
      </rPr>
      <t xml:space="preserve">Cho phép lãnh đạo theo dõi trực quan đăng ký cấp giấy xác nhận tình trạng hôn nhân. Hệ thống tự động tổng hợp, xử lý và hiển thị dữ liệu.
</t>
    </r>
    <r>
      <rPr>
        <sz val="13"/>
        <color rgb="FF0000FF"/>
        <rFont val="Times New Roman"/>
      </rPr>
      <t>Cho phép Lãnh đạo theo dõi trực quan Số trường hợp đăng ký cấp giấy xác nhận tình trạng hôn nhân mới. Hệ thống tự động tổng hợp, xử lý và hiển thị dữ liệu</t>
    </r>
  </si>
  <si>
    <r>
      <rPr>
        <strike/>
        <sz val="13"/>
        <color rgb="FFFF0000"/>
        <rFont val="Times New Roman"/>
      </rPr>
      <t xml:space="preserve">Lãnh đạo tìm kiếm số liệu đăng ký cấp giấy xác nhận tình trạng hôn nhân. Hệ thống tự động tổng hợp, xử lý và hiển thị dữ liệu.
</t>
    </r>
    <r>
      <rPr>
        <sz val="13"/>
        <color rgb="FF0000FF"/>
        <rFont val="Times New Roman"/>
      </rPr>
      <t>Cho phép Lãnh đạo theo dõi trực quan Số trường hợp đăng ký cấp giấy xác nhận tình trạng hôn nhân mới theo thời gian. Hệ thống tự động tổng hợp, xử lý và hiển thị dữ liệu</t>
    </r>
  </si>
  <si>
    <r>
      <rPr>
        <strike/>
        <sz val="13"/>
        <color rgb="FFFF0000"/>
        <rFont val="Times New Roman"/>
      </rPr>
      <t xml:space="preserve">Cho phép lãnh đạo theo dõi trực quan đăng ký cấp giấy xác nhận tình trạng hôn nhân. Hệ thống tự động tổng hợp, xử lý và hiển thị dữ liệu.
</t>
    </r>
    <r>
      <rPr>
        <sz val="13"/>
        <color rgb="FF0000FF"/>
        <rFont val="Times New Roman"/>
      </rPr>
      <t>Cho phép Lãnh đạo theo dõi trực quan Số trường hợp đăng ký cấp giấy xác nhận tình trạng hôn nhân mới theo đơn vị. Hệ thống tự động tổng hợp, xử lý và hiển thị dữ liệu</t>
    </r>
  </si>
  <si>
    <t>Theo dõi trực quan số liệu đăng ký thay đổi, cải chính, bổ sung hộ tịch và xác định lại dân tộc</t>
  </si>
  <si>
    <r>
      <rPr>
        <strike/>
        <sz val="13"/>
        <color rgb="FFFF0000"/>
        <rFont val="Times New Roman"/>
      </rPr>
      <t xml:space="preserve">Cho phép lãnh đạo theo dõi trực quan đăng ký thay đổi, cải chính, bổ sung hộ tịch và xác định lại dân tộc. Hệ thống tự động tổng hợp, xử lý và hiển thị dữ liệu.
</t>
    </r>
    <r>
      <rPr>
        <sz val="13"/>
        <color rgb="FF0000FF"/>
        <rFont val="Times New Roman"/>
      </rPr>
      <t>Cho phép Lãnh đạo theo dõi trực quan Số trường hợp đăng ký thay đổi, cải chính, bổ sung hộ tịch, xác định lại dân tộc mới. Hệ thống tự động tổng hợp, xử lý và hiển thị dữ liệu</t>
    </r>
  </si>
  <si>
    <r>
      <rPr>
        <strike/>
        <sz val="13"/>
        <color rgb="FFFF0000"/>
        <rFont val="Times New Roman"/>
      </rPr>
      <t xml:space="preserve">Lãnh đạo tìm kiếm số liệu đăng ký thay đổi, cải chính, bổ sung hộ tịch và xác định lại dân tộc. Hệ thống tự động tổng hợp, xử lý và hiển thị dữ liệu.
</t>
    </r>
    <r>
      <rPr>
        <sz val="13"/>
        <color rgb="FF0000FF"/>
        <rFont val="Times New Roman"/>
      </rPr>
      <t>Cho phép Lãnh đạo theo dõi trực quan Số trường hợp đăng ký thay đổi, cải chính, bổ sung hộ tịch, xác định lại dân tộc mới theo thời gian. Hệ thống tự động tổng hợp, xử lý và hiển thị dữ liệu</t>
    </r>
  </si>
  <si>
    <r>
      <rPr>
        <strike/>
        <sz val="13"/>
        <color rgb="FFFF0000"/>
        <rFont val="Times New Roman"/>
      </rPr>
      <t xml:space="preserve">Cho phép lãnh đạo theo dõi trực quan đăng ký thay đổi, cải chính, bổ sung hộ tịch và xác định lại dân tộc chi tiết. Hệ thống tự động tổng hợp, xử lý và hiển thị dữ liệu.
</t>
    </r>
    <r>
      <rPr>
        <sz val="13"/>
        <color rgb="FF0000FF"/>
        <rFont val="Times New Roman"/>
      </rPr>
      <t>Cho phép Lãnh đạo theo dõi trực quan Số trường hợp đăng ký thay đổi, cải chính, bổ sung hộ tịch, xác định lại dân tộc mới theo đơn vị. Hệ thống tự động tổng hợp, xử lý và hiển thị dữ liệu</t>
    </r>
  </si>
  <si>
    <t>Theo dõi trực quan số liệu cấp bản sao giấy tờ hộ tịch</t>
  </si>
  <si>
    <r>
      <rPr>
        <strike/>
        <sz val="13"/>
        <color rgb="FFFF0000"/>
        <rFont val="Times New Roman"/>
      </rPr>
      <t xml:space="preserve">Cho phép lãnh đạo theo dõi trực quan cấp bản sao giấy tờ hộ tịch. Hệ thống tự động tổng hợp, xử lý và hiển thị dữ liệu.
</t>
    </r>
    <r>
      <rPr>
        <sz val="13"/>
        <color rgb="FF0000FF"/>
        <rFont val="Times New Roman"/>
      </rPr>
      <t>Cho phép Lãnh đạo theo dõi trực quan Số trường hợp trường hợp cấp bản sao giấy tờ hộ tịch mới. Hệ thống tự động tổng hợp, xử lý và hiển thị dữ liệu</t>
    </r>
  </si>
  <si>
    <r>
      <rPr>
        <strike/>
        <sz val="13"/>
        <color rgb="FFFF0000"/>
        <rFont val="Times New Roman"/>
      </rPr>
      <t xml:space="preserve">Lãnh đạo tìm kiếm số liệu cấp bản sao giấy tờ hộ tịch. Hệ thống tự động tổng hợp, xử lý và hiển thị dữ liệu.
</t>
    </r>
    <r>
      <rPr>
        <sz val="13"/>
        <color rgb="FF0000FF"/>
        <rFont val="Times New Roman"/>
      </rPr>
      <t>Cho phép Lãnh đạo theo dõi trực quan Số trường hợp trường hợp cấp bản sao giấy tờ hộ tịch mới theo thời gian. Hệ thống tự động tổng hợp, xử lý và hiển thị dữ liệu</t>
    </r>
  </si>
  <si>
    <r>
      <rPr>
        <strike/>
        <sz val="13"/>
        <color rgb="FFFF0000"/>
        <rFont val="Times New Roman"/>
      </rPr>
      <t xml:space="preserve">Cho phép lãnh đạo theo dõi trực quan cấp bản sao giấy tờ hộ tịch chi tiết. Hệ thống tự động tổng hợp, xử lý và hiển thị dữ liệu.
</t>
    </r>
    <r>
      <rPr>
        <sz val="13"/>
        <color rgb="FF0000FF"/>
        <rFont val="Times New Roman"/>
      </rPr>
      <t>Cho phép Lãnh đạo theo dõi trực quan Số trường hợp trường hợp cấp bản sao giấy tờ hộ tịch mới theo đơn vị. Hệ thống tự động tổng hợp, xử lý và hiển thị dữ liệu</t>
    </r>
  </si>
  <si>
    <t>V.8</t>
  </si>
  <si>
    <t>Lĩnh vực quốc tịch</t>
  </si>
  <si>
    <t>Theo dõi trực quan số trường hợp được Chủ tịch nước cho nhập quốc tịch Việt Nam</t>
  </si>
  <si>
    <r>
      <rPr>
        <strike/>
        <sz val="13"/>
        <color rgb="FFFF0000"/>
        <rFont val="Times New Roman"/>
      </rPr>
      <t xml:space="preserve">Cho phép lãnh đạo theo dõi trực quan số trường hợp được Chủ tịch nước cho nhập quốc tịch Việt Nam. Hệ thống tự động tổng hợp, xử lý và hiển thị dữ liệu.
</t>
    </r>
    <r>
      <rPr>
        <sz val="13"/>
        <color rgb="FF0000FF"/>
        <rFont val="Times New Roman"/>
      </rPr>
      <t>Cho phép Lãnh đạo theo dõi trực quan số trường hợp được Chủ tịch nước cho nhập quốc tịch Việt Nam. Hệ thống tự động tổng hợp, xử lý và hiển thị dữ liệu</t>
    </r>
  </si>
  <si>
    <r>
      <rPr>
        <strike/>
        <sz val="13"/>
        <color rgb="FFFF0000"/>
        <rFont val="Times New Roman"/>
      </rPr>
      <t xml:space="preserve">Cho phép lãnh đạo theo dõi trực quan số trường hợp được Chủ tịch nước cho nhập quốc tịch Việt Nam. Hệ thống tự động tổng hợp, xử lý và hiển thị dữ liệu.
</t>
    </r>
    <r>
      <rPr>
        <sz val="13"/>
        <color rgb="FF0000FF"/>
        <rFont val="Times New Roman"/>
      </rPr>
      <t>Lãnh đạo thực hiện xuất ảnh cho biểu đồ số trường hợp được Chủ tịch nước cho nhập quốc tịch Việt Nam. Hệ thống thực hiện xuất biểu đồ dưới dạng hình ảnh.</t>
    </r>
  </si>
  <si>
    <t>Cho phép lãnh đạo theo dõi trực quan số trường hợp được Chủ tịch nước cho nhập quốc tịch Việt Nam chi tiết. Hệ thống tự động tổng hợp, xử lý và hiển thị dữ liệu.</t>
  </si>
  <si>
    <t>Theo dõi trực quan Số trường hợp được Chủ tịch nước cho trở lại quốc tịch Việt Nam</t>
  </si>
  <si>
    <r>
      <rPr>
        <strike/>
        <sz val="13"/>
        <color rgb="FFFF0000"/>
        <rFont val="Times New Roman"/>
      </rPr>
      <t xml:space="preserve">Cho phép lãnh đạo theo dõi trực quan Số trường hợp được Chủ tịch nước cho trở lại quốc tịch Việt Nam. Hệ thống tự động tổng hợp, xử lý và hiển thị dữ liệu.
</t>
    </r>
    <r>
      <rPr>
        <sz val="13"/>
        <color rgb="FF0000FF"/>
        <rFont val="Times New Roman"/>
      </rPr>
      <t>Cho phép Lãnh đạo theo dõi trực quan Số trường hợp được Chủ tịch nước cho trở lại quốc tịch Việt Nam. Hệ thống tự động tổng hợp, xử lý và hiển thị dữ liệu</t>
    </r>
  </si>
  <si>
    <r>
      <rPr>
        <strike/>
        <sz val="13"/>
        <color rgb="FFFF0000"/>
        <rFont val="Times New Roman"/>
      </rPr>
      <t xml:space="preserve">Cho phép lãnh đạo theo dõi trực quan Số trường hợp được Chủ tịch nước cho trở lại quốc tịch Việt Nam. Hệ thống tự động tổng hợp, xử lý và hiển thị dữ liệu.
</t>
    </r>
    <r>
      <rPr>
        <sz val="13"/>
        <color rgb="FF0000FF"/>
        <rFont val="Times New Roman"/>
      </rPr>
      <t>Lãnh đạo thực hiện xuất ảnh cho biểu đồ Số trường hợp được Chủ tịch nước cho trở lại quốc tịch Việt Nam. Hệ thống thực hiện xuất biểu đồ dưới dạng hình ảnh.</t>
    </r>
  </si>
  <si>
    <t>Cho phép lãnh đạo theo dõi trực quan Số trường hợp được Chủ tịch nước cho trở lại quốc tịch Việt Nam chi tiết. Hệ thống tự động tổng hợp, xử lý và hiển thị dữ liệu.</t>
  </si>
  <si>
    <t>Theo dõi trực quan Số trường hợp được Chủ tịch nước cho thôi quốc tịch Việt Nam</t>
  </si>
  <si>
    <r>
      <rPr>
        <strike/>
        <sz val="13"/>
        <color rgb="FFFF0000"/>
        <rFont val="Times New Roman"/>
      </rPr>
      <t xml:space="preserve">Cho phép lãnh đạo theo dõi trực quan Số trường hợp được Chủ tịch nước cho thôi quốc tịch Việt Nam. Hệ thống tự động tổng hợp, xử lý và hiển thị dữ liệu.
</t>
    </r>
    <r>
      <rPr>
        <sz val="13"/>
        <color rgb="FF0000FF"/>
        <rFont val="Times New Roman"/>
      </rPr>
      <t>Cho phép Lãnh đạo theo dõi trực quan Số trường hợp được Chủ tịch nước cho thôi quốc tịch Việt Nam. Hệ thống tự động tổng hợp, xử lý và hiển thị dữ liệu</t>
    </r>
  </si>
  <si>
    <r>
      <rPr>
        <strike/>
        <sz val="13"/>
        <color rgb="FFFF0000"/>
        <rFont val="Times New Roman"/>
      </rPr>
      <t xml:space="preserve">Lãnh đạo tìm kiếm số liệu Số trường hợp được Chủ tịch nước cho thôi quốc tịch Việt Nam. Hệ thống tự động tổng hợp, xử lý và hiển thị dữ liệu.
</t>
    </r>
    <r>
      <rPr>
        <sz val="13"/>
        <color rgb="FF0000FF"/>
        <rFont val="Times New Roman"/>
      </rPr>
      <t>Lãnh đạo thực hiện xuất ảnh cho biểu đồ Số trường hợp được Chủ tịch nước cho thôi quốc tịch Việt Nam. Hệ thống thực hiện xuất biểu đồ dưới dạng hình ảnh.</t>
    </r>
  </si>
  <si>
    <t>Cho phép lãnh đạo theo dõi trực quan Số trường hợp được Chủ tịch nước cho thôi quốc tịch Việt Nam chi tiết. Hệ thống tự động tổng hợp, xử lý và hiển thị dữ liệu.</t>
  </si>
  <si>
    <t>Theo dõi trực quan Số trường hợp bị tước quốc tịch Việt Nam</t>
  </si>
  <si>
    <r>
      <rPr>
        <strike/>
        <sz val="13"/>
        <color rgb="FFFF0000"/>
        <rFont val="Times New Roman"/>
      </rPr>
      <t xml:space="preserve">Cho phép lãnh đạo theo dõi trực quan Số trường hợp bị tước quốc tịch Việt Nam. Hệ thống tự động tổng hợp, xử lý và hiển thị dữ liệu.
</t>
    </r>
    <r>
      <rPr>
        <sz val="13"/>
        <color rgb="FF0000FF"/>
        <rFont val="Times New Roman"/>
      </rPr>
      <t>Cho phép Lãnh đạo theo dõi trực quan Số trường hợp bị tước quốc tịch Việt Nam. Hệ thống tự động tổng hợp, xử lý và hiển thị dữ liệu</t>
    </r>
  </si>
  <si>
    <r>
      <rPr>
        <strike/>
        <sz val="13"/>
        <color rgb="FFFF0000"/>
        <rFont val="Times New Roman"/>
      </rPr>
      <t xml:space="preserve">Lãnh đạo tìm kiếm số liệu Số trường hợp bị tước quốc tịch Việt Nam. Hệ thống tự động tổng hợp, xử lý và hiển thị dữ liệu.
</t>
    </r>
    <r>
      <rPr>
        <sz val="13"/>
        <color rgb="FF0000FF"/>
        <rFont val="Times New Roman"/>
      </rPr>
      <t>Lãnh đạo thực hiện xuất ảnh cho biểu đồ Số trường hợp bị tước quốc tịch Việt Nam. Hệ thống thực hiện xuất biểu đồ dưới dạng hình ảnh.</t>
    </r>
  </si>
  <si>
    <t>Cho phép lãnh đạo theo dõi trực quan Số trường hợp bị tước quốc tịch Việt Nam chi tiết. Hệ thống tự động tổng hợp, xử lý và hiển thị dữ liệu.</t>
  </si>
  <si>
    <r>
      <rPr>
        <sz val="13"/>
        <color rgb="FF000000"/>
        <rFont val="Times New Roman"/>
      </rPr>
      <t xml:space="preserve">Theo dõi trực quan </t>
    </r>
    <r>
      <rPr>
        <strike/>
        <sz val="13"/>
        <color rgb="FFFF0000"/>
        <rFont val="Times New Roman"/>
      </rPr>
      <t xml:space="preserve">Số trường hợp bị hủy bỏ Quyết định cho nhập quốc tịch Việt Nam </t>
    </r>
    <r>
      <rPr>
        <sz val="13"/>
        <color rgb="FF0000FF"/>
        <rFont val="Times New Roman"/>
      </rPr>
      <t>Số trường hợp bị hủy bỏ Quyết định cho nhập/ cho trở lại quốc tịch Việt Nam</t>
    </r>
  </si>
  <si>
    <r>
      <rPr>
        <strike/>
        <sz val="13"/>
        <color rgb="FFFF0000"/>
        <rFont val="Times New Roman"/>
      </rPr>
      <t xml:space="preserve">Cho phép lãnh đạo theo dõi trực quan Số trường hợp bị hủy bỏ Quyết định cho nhập/ cho trở lại quốc tịch Việt Nam. Hệ thống tự động tổng hợp, xử lý và hiển thị dữ liệu.
</t>
    </r>
    <r>
      <rPr>
        <sz val="13"/>
        <color rgb="FF0000FF"/>
        <rFont val="Times New Roman"/>
      </rPr>
      <t>Cho phép Lãnh đạo theo dõi trực quan Số trường hợp bị hủy bỏ Quyết định cho nhập/ cho trở lại quốc tịch Việt Nam. Hệ thống tự động tổng hợp, xử lý và hiển thị dữ liệu</t>
    </r>
  </si>
  <si>
    <r>
      <rPr>
        <strike/>
        <sz val="13"/>
        <color rgb="FFFF0000"/>
        <rFont val="Times New Roman"/>
      </rPr>
      <t xml:space="preserve">Lãnh đạo tìm kiếm số liệu Số trường hợp bị hủy bỏ Quyết định cho nhập quốc tịch Việt Nam. Hệ thống tự động tổng hợp, xử lý và hiển thị dữ liệu.
</t>
    </r>
    <r>
      <rPr>
        <sz val="13"/>
        <color rgb="FF0000FF"/>
        <rFont val="Times New Roman"/>
      </rPr>
      <t>Lãnh đạo thực hiện xuất ảnh cho biểu đồ Số trường hợp bị hủy bỏ Quyết định cho nhập/ cho trở lại quốc tịch Việt Nam. Hệ thống thực hiện xuất biểu đồ dưới dạng hình ảnh.</t>
    </r>
  </si>
  <si>
    <t>Cho phép lãnh đạo theo dõi trực quan Số trường hợp bị hủy bỏ Quyết định cho nhập quốc tịch Việt Nam chi tiết. Hệ thống tự động tổng hợp, xử lý và hiển thị dữ liệu.</t>
  </si>
  <si>
    <t>V.9</t>
  </si>
  <si>
    <t>Lĩnh vực nuôi con nuôi</t>
  </si>
  <si>
    <t>Theo dõi trực quan số trường hợp đăng ký mới nuôi con nuôi trong nước đã giải quyết</t>
  </si>
  <si>
    <t>Cho phép lãnh đạo theo dõi trực quan số trường hợp đăng ký mới nuôi con nuôi trong nước đã giải quyết. Hệ thống tự động tổng hợp, xử lý và hiển thị dữ liệu.</t>
  </si>
  <si>
    <r>
      <rPr>
        <strike/>
        <sz val="13"/>
        <color rgb="FFFF0000"/>
        <rFont val="Times New Roman"/>
      </rPr>
      <t xml:space="preserve">Lãnh đạo tìm kiếm số liệu số trường hợp đăng ký mới nuôi con nuôi trong nước đã giải quyết. Hệ thống tự động tổng hợp, xử lý và hiển thị dữ liệu.
</t>
    </r>
    <r>
      <rPr>
        <sz val="13"/>
        <color rgb="FF0000FF"/>
        <rFont val="Times New Roman"/>
      </rPr>
      <t>Cho phép lãnh đạo theo dõi trực quan số trường hợp đăng ký mới nuôi con nuôi trong nước đã giải quyết theo thời gian. Hệ thống tự động tổng hợp, xử lý và hiển thị dữ liệu.</t>
    </r>
  </si>
  <si>
    <t>Theo dõi trực quan số trường hợp đăng ký mới nuôi con nuôi có yếu tố nước ngoài đã giải quyết</t>
  </si>
  <si>
    <t>Cho phép lãnh đạo theo dõi trực quan số trường hợp đăng ký mới nuôi con nuôi có yếu tố nước ngoài đã giải quyết. Hệ thống tự động tổng hợp, xử lý và hiển thị dữ liệu.</t>
  </si>
  <si>
    <r>
      <rPr>
        <strike/>
        <sz val="13"/>
        <color rgb="FFFF0000"/>
        <rFont val="Times New Roman"/>
      </rPr>
      <t xml:space="preserve">Lãnh đạo tìm kiếm số liệu số trường hợp đăng ký mới nuôi con nuôi có yếu tố nước ngoài đã giải quyết. Hệ thống tự động tổng hợp, xử lý và hiển thị dữ liệu.
</t>
    </r>
    <r>
      <rPr>
        <sz val="13"/>
        <color rgb="FF0000FF"/>
        <rFont val="Times New Roman"/>
      </rPr>
      <t>Cho phép lãnh đạo theo dõi trực quan số trường hợp đăng ký mới nuôi con nuôi trong nước đã giải quyết theo thời gian. Hệ thống tự động tổng hợp, xử lý và hiển thị dữ liệu.</t>
    </r>
  </si>
  <si>
    <r>
      <rPr>
        <strike/>
        <sz val="13"/>
        <color rgb="FFFF0000"/>
        <rFont val="Times New Roman"/>
      </rPr>
      <t xml:space="preserve">Lãnh đạo có thể xem trực quan trực quan số trường hợp đăng ký mới nuôi con nuôi có yếu tố nước ngoài đã giải quyết đã giải quyết chi tiết. Hệ thống tự động tổng hợp, xử lý và hiển thị dữ liệu.
</t>
    </r>
    <r>
      <rPr>
        <sz val="13"/>
        <color rgb="FF0000FF"/>
        <rFont val="Times New Roman"/>
      </rPr>
      <t>Cho phép lãnh đạo theo dõi trực quan số trường hợp đăng ký mới nuôi con nuôi trong nước đã giải quyết theo độ tuổi. Hệ thống tự động tổng hợp, xử lý và hiển thị dữ liệu.</t>
    </r>
  </si>
  <si>
    <r>
      <rPr>
        <strike/>
        <sz val="13"/>
        <color rgb="FFFF0000"/>
        <rFont val="Times New Roman"/>
      </rPr>
      <t xml:space="preserve">Cho phép lãnh đạo theo dõi trực quan Số hồ sơ đã giải quyết. Hệ thống tự động tổng hợp, xử lý và hiển thị dữ liệu.
</t>
    </r>
    <r>
      <rPr>
        <sz val="13"/>
        <color rgb="FF0000FF"/>
        <rFont val="Times New Roman"/>
      </rPr>
      <t>Cho phép lãnh đạo theo dõi trực quan số trường hợp đăng ký mới nuôi con nuôi trong nước đã giải quyết theo nơi cư trú. Hệ thống tự động tổng hợp, xử lý và hiển thị dữ liệu.</t>
    </r>
  </si>
  <si>
    <t>V.10</t>
  </si>
  <si>
    <r>
      <rPr>
        <b/>
        <strike/>
        <sz val="13"/>
        <color rgb="FF000000"/>
        <rFont val="Times New Roman"/>
      </rPr>
      <t xml:space="preserve">Tương trợ tư pháp </t>
    </r>
    <r>
      <rPr>
        <b/>
        <sz val="13"/>
        <color rgb="FF0000FF"/>
        <rFont val="Times New Roman"/>
      </rPr>
      <t>Công nghệ thông tin và Chuyển đổi số</t>
    </r>
  </si>
  <si>
    <r>
      <rPr>
        <sz val="13"/>
        <color theme="1"/>
        <rFont val="Times New Roman"/>
      </rPr>
      <t xml:space="preserve">Theo dõi trực quan số liệu </t>
    </r>
    <r>
      <rPr>
        <strike/>
        <sz val="13"/>
        <color rgb="FFFF0000"/>
        <rFont val="Times New Roman"/>
      </rPr>
      <t>lĩnh vực tương trợ tư pháp</t>
    </r>
    <r>
      <rPr>
        <sz val="13"/>
        <color rgb="FFFF0000"/>
        <rFont val="Times New Roman"/>
      </rPr>
      <t xml:space="preserve"> </t>
    </r>
    <r>
      <rPr>
        <sz val="13"/>
        <color rgb="FF0000FF"/>
        <rFont val="Times New Roman"/>
      </rPr>
      <t>An toàn thông tin mạng</t>
    </r>
  </si>
  <si>
    <t>Cho phép lãnh đạo theo dõi trực quan về Sự cố và ứng phó. Hệ thống tự động tổng hợp, xử lý và hiển thị dữ liệu.</t>
  </si>
  <si>
    <t>Cho phép lãnh đạo theo dõi trực quan về Lỗ hổng bảo mật. Hệ thống tự động tổng hợp, xử lý và hiển thị dữ liệu.</t>
  </si>
  <si>
    <t>Cho phép lãnh đạo theo dõi trực quan về Tuân thủc hính sách và kiểm soát truy cập. Hệ thống tự động tổng hợp, xử lý và hiển thị dữ liệu.</t>
  </si>
  <si>
    <t>Cho phép lãnh đạo theo dõi trực quan về Nhận thức người dùng. Hệ thống tự động tổng hợp, xử lý và hiển thị dữ liệu.</t>
  </si>
  <si>
    <t>Cho phép lãnh đạo theo dõi trực quan về Vận hành hạ tầng. Hệ thống tự động tổng hợp, xử lý và hiển thị dữ liệu.</t>
  </si>
  <si>
    <t>Xem số liệu trực quan số liệu họp không giấy tờ</t>
  </si>
  <si>
    <t>Cho phép Lãnh đạo theo dõi trực quan Số cuộc họp được tổ chức. Hệ thống tự động tổng hợp, xử lý và hiển thị dữ liệu.</t>
  </si>
  <si>
    <t>Cho phép Lãnh đạo theo dõi trực quan Số phiên họp đang diễn ra. Hệ thống tự động tổng hợp, xử lý và hiển thị dữ liệu.</t>
  </si>
  <si>
    <t>Lãnh đạo có thể xem trực quan Số cuộc họp sắp diễn ra. Hệ thống tự động tổng hợp, xử lý và hiển thị dữ liệu.</t>
  </si>
  <si>
    <t>Cho phép Lãnh đạo theo dõi trực quan Số cuộc họp có thông báo kết luận. Hệ thống tự động tổng hợp, xử lý và hiển thị dữ liệu.</t>
  </si>
  <si>
    <t>Cho phép Lãnh đạo theo dõi trực quan Số cuộc họp không có thông báo kết luận. Hệ thống tự động tổng hợp, xử lý và hiển thị dữ liệu.</t>
  </si>
  <si>
    <t>Cho phép Lãnh đạo theo dõi trực quan Số cuộc họp có số người vắng trên 50%. Hệ thống tự động tổng hợp, xử lý và hiển thị dữ liệu.</t>
  </si>
  <si>
    <t>Cho phép Lãnh đạo theo dõi trực quan Số cuộc họp không có tài liệu. Hệ thống tự động tổng hợp, xử lý và hiển thị dữ liệu.</t>
  </si>
  <si>
    <t>Theo dõi tình hình giải quyết thủ tục hành chính</t>
  </si>
  <si>
    <r>
      <rPr>
        <strike/>
        <sz val="13"/>
        <color rgb="FFFF0000"/>
        <rFont val="Times New Roman"/>
      </rPr>
      <t xml:space="preserve">Xem số liệu trực quan Số DVC trực tuyến có phát sinh hồ sơ
</t>
    </r>
    <r>
      <rPr>
        <sz val="13"/>
        <color rgb="FF0000FF"/>
        <rFont val="Times New Roman"/>
      </rPr>
      <t>Xem số liệu trực quan Tổng số hồ sơ tiếp nhận</t>
    </r>
  </si>
  <si>
    <r>
      <rPr>
        <strike/>
        <sz val="13"/>
        <color rgb="FFFF0000"/>
        <rFont val="Times New Roman"/>
      </rPr>
      <t xml:space="preserve">Lãnh đạo có thể xem trực quan trực quan Số DVC trực tuyến có phát sinh hồ sơ. Hệ thống xử lý yêu cầu và hiển thị kết quả xử lý
</t>
    </r>
    <r>
      <rPr>
        <sz val="13"/>
        <color rgb="FF0000FF"/>
        <rFont val="Times New Roman"/>
      </rPr>
      <t>Cho phép Lãnh đạo theo dõi trực quan Tổng số hồ sơ tiếp nhận. Hệ thống tự động tổng hợp, xử lý và hiển thị dữ liệu.</t>
    </r>
  </si>
  <si>
    <r>
      <rPr>
        <strike/>
        <sz val="13"/>
        <color rgb="FFFF0000"/>
        <rFont val="Times New Roman"/>
      </rPr>
      <t xml:space="preserve">Lãnh đạo tìm kiếm Số DVC trực tuyến có phát sinh hồ sơ. Hệ thống xử lý yêu cầu và hiển thị kết quả xử lý
</t>
    </r>
    <r>
      <rPr>
        <sz val="13"/>
        <color rgb="FF0000FF"/>
        <rFont val="Times New Roman"/>
      </rPr>
      <t>Cho phép Lãnh đạo theo dõi trực quan Tổng số hồ sơ tiếp nhận theo đơn vị. Hệ thống tự động tổng hợp, xử lý và hiển thị dữ liệu.</t>
    </r>
  </si>
  <si>
    <r>
      <rPr>
        <strike/>
        <sz val="13"/>
        <color rgb="FFFF0000"/>
        <rFont val="Times New Roman"/>
      </rPr>
      <t xml:space="preserve">Lãnh đạo có thể xem trực quan báo cáo tổng hợp Số DVC trực tuyến có phát sinh hồ sơ chi tiết theo đơn vị. Hệ thống xử lý yêu cầu và hiển thị kết quả xử lý
</t>
    </r>
    <r>
      <rPr>
        <sz val="13"/>
        <color rgb="FF0000FF"/>
        <rFont val="Times New Roman"/>
      </rPr>
      <t>Cho phép Lãnh đạo theo dõi trực quan Tổng số hồ sơ tiếp nhận theo thời gian. Hệ thống tự động tổng hợp, xử lý và hiển thị dữ liệu.</t>
    </r>
  </si>
  <si>
    <r>
      <rPr>
        <strike/>
        <sz val="13"/>
        <color rgb="FFFF0000"/>
        <rFont val="Times New Roman"/>
      </rPr>
      <t xml:space="preserve">Xem Số hồ sơ đã hoàn thành đăng ký
</t>
    </r>
    <r>
      <rPr>
        <sz val="13"/>
        <color rgb="FF0000FF"/>
        <rFont val="Times New Roman"/>
      </rPr>
      <t>Xem số liệu trực quan Tỷ lệ hồ sơ nộp trực tuyến</t>
    </r>
  </si>
  <si>
    <r>
      <rPr>
        <strike/>
        <sz val="13"/>
        <color rgb="FFFF0000"/>
        <rFont val="Times New Roman"/>
      </rPr>
      <t xml:space="preserve">Lãnh đạo có thể xem trực quan trực quan Số hồ sơ đã hoàn thành đăng ký. Hệ thống xử lý yêu cầu và hiển thị kết quả xử lý
</t>
    </r>
    <r>
      <rPr>
        <sz val="13"/>
        <color rgb="FF0000FF"/>
        <rFont val="Times New Roman"/>
      </rPr>
      <t>Cho phép Lãnh đạo theo dõi trực quan Tỷ lệ hồ sơ nộp trực tuyến. Hệ thống tự động tổng hợp, xử lý và hiển thị dữ liệu.</t>
    </r>
  </si>
  <si>
    <r>
      <rPr>
        <strike/>
        <sz val="13"/>
        <color rgb="FFFF0000"/>
        <rFont val="Times New Roman"/>
      </rPr>
      <t xml:space="preserve">Lãnh đạo tìm kiếm Số hồ sơ đã hoàn thành đăng ký. Hệ thống xử lý yêu cầu và hiển thị kết quả xử lý
</t>
    </r>
    <r>
      <rPr>
        <sz val="13"/>
        <color rgb="FF0000FF"/>
        <rFont val="Times New Roman"/>
      </rPr>
      <t>Cho phép Lãnh đạo theo dõi trực quan Tỷ lệ hồ sơ nộp trực tuyến theo thời gian. Hệ thống tự động tổng hợp, xử lý và hiển thị dữ liệu.</t>
    </r>
  </si>
  <si>
    <r>
      <rPr>
        <strike/>
        <sz val="13"/>
        <color rgb="FFFF0000"/>
        <rFont val="Times New Roman"/>
      </rPr>
      <t xml:space="preserve">Lãnh đạo có thể xem trực quan báo cáo tổng hợp Số hồ sơ đã hoàn thành đăng ký chi tiết theo đơn vị. Hệ thống xử lý yêu cầu và hiển thị kết quả xử lý
</t>
    </r>
    <r>
      <rPr>
        <sz val="13"/>
        <color rgb="FF0000FF"/>
        <rFont val="Times New Roman"/>
      </rPr>
      <t>Cho phép Lãnh đạo theo dõi trực quan Tỷ lệ hồ sơ nộp trực tuyến theo đơn vị. Hệ thống tự động tổng hợp, xử lý và hiển thị dữ liệu.</t>
    </r>
  </si>
  <si>
    <r>
      <rPr>
        <strike/>
        <sz val="13"/>
        <color rgb="FFFF0000"/>
        <rFont val="Times New Roman"/>
      </rPr>
      <t xml:space="preserve">Xem Số hồ sơ hoàn thành đăng ký và thanh toán trực tuyến
</t>
    </r>
    <r>
      <rPr>
        <sz val="13"/>
        <color rgb="FF0000FF"/>
        <rFont val="Times New Roman"/>
      </rPr>
      <t>Xem số liệu trực quan Số hồ sơ đã xử lý</t>
    </r>
  </si>
  <si>
    <r>
      <rPr>
        <strike/>
        <sz val="13"/>
        <color rgb="FFFF0000"/>
        <rFont val="Times New Roman"/>
      </rPr>
      <t xml:space="preserve">Lãnh đạo có thể xem trực quan trực quan Số hồ sơ hoàn thành đăng ký và thanh toán trực tuyến. Hệ thống xử lý yêu cầu và hiển thị kết quả xử lý
</t>
    </r>
    <r>
      <rPr>
        <sz val="13"/>
        <color rgb="FF0000FF"/>
        <rFont val="Times New Roman"/>
      </rPr>
      <t>Cho phép Lãnh đạo theo dõi trực quan Số hồ sơ đã xử lý. Hệ thống tự động tổng hợp, xử lý và hiển thị dữ liệu.</t>
    </r>
  </si>
  <si>
    <r>
      <rPr>
        <strike/>
        <sz val="13"/>
        <color rgb="FFFF0000"/>
        <rFont val="Times New Roman"/>
      </rPr>
      <t xml:space="preserve">Lãnh đạo tìm kiếm Số hồ sơ hoàn thành đăng ký và thanh toán trực tuyến. Hệ thống xử lý yêu cầu và hiển thị kết quả xử lý
</t>
    </r>
    <r>
      <rPr>
        <sz val="13"/>
        <color rgb="FF0000FF"/>
        <rFont val="Times New Roman"/>
      </rPr>
      <t>Cho phép Lãnh đạo theo dõi trực quan Số hồ sơ đã xử lý theo đơn vị. Hệ thống tự động tổng hợp, xử lý và hiển thị dữ liệu.</t>
    </r>
  </si>
  <si>
    <r>
      <rPr>
        <strike/>
        <sz val="13"/>
        <color rgb="FFFF0000"/>
        <rFont val="Times New Roman"/>
      </rPr>
      <t xml:space="preserve">Lãnh đạo có thể xem trực quan báo cáo tổng hợp Số hồ sơ hoàn thành đăng ký và thanh toán trực tuyến chi tiết theo đơn vị. Hệ thống xử lý yêu cầu và hiển thị kết quả xử lý
</t>
    </r>
    <r>
      <rPr>
        <sz val="13"/>
        <color rgb="FF0000FF"/>
        <rFont val="Times New Roman"/>
      </rPr>
      <t>Cho phép Lãnh đạo theo dõi trực quan Số hồ sơ đã xử lý theo thời gian. Hệ thống tự động tổng hợp, xử lý và hiển thị dữ liệu.</t>
    </r>
  </si>
  <si>
    <t>Xem số liệu trực quan Tỷ lệ hồ sơ được giải quyết thành công ngay từ lần đầu</t>
  </si>
  <si>
    <t>Cho phép Lãnh đạo theo dõi trực quan Tỷ lệ hồ sơ được giải quyết thành công ngay từ lần đầu. Hệ thống tự động tổng hợp, xử lý và hiển thị dữ liệu.</t>
  </si>
  <si>
    <t>Cho phép Lãnh đạo theo dõi trực quan Tỷ lệ hồ sơ được giải quyết thành công ngay từ lần đầu theo đơn vị. Hệ thống tự động tổng hợp, xử lý và hiển thị dữ liệu.</t>
  </si>
  <si>
    <t>Cho phép Lãnh đạo theo dõi trực quan Tỷ lệ hồ sơ được giải quyết thành công ngay từ lần đầu theo thời gian. Hệ thống tự động tổng hợp, xử lý và hiển thị dữ liệu.</t>
  </si>
  <si>
    <t>Xem số liệu trực quan Tỷ lệ hồ sơ yêu cầu bổ sung giấy tờ</t>
  </si>
  <si>
    <t>Cho phép Lãnh đạo theo dõi trực quan Tỷ lệ hồ sơ yêu cầu bổ sung giấy tờ. Hệ thống tự động tổng hợp, xử lý và hiển thị dữ liệu.</t>
  </si>
  <si>
    <t>Cho phép Lãnh đạo theo dõi trực quan Tỷ lệ hồ sơ yêu cầu bổ sung giấy tờ theo đơn vị. Hệ thống tự động tổng hợp, xử lý và hiển thị dữ liệu.</t>
  </si>
  <si>
    <t>Cho phép Lãnh đạo theo dõi trực quan Tỷ lệ hồ sơ yêu cầu bổ sung giấy tờ theo thời gian. Hệ thống tự động tổng hợp, xử lý và hiển thị dữ liệu.</t>
  </si>
  <si>
    <t>Xem số liệu trực quan Tỷ lệ hồ sơ bị từ chối tiếp nhận</t>
  </si>
  <si>
    <t>Cho phép Lãnh đạo theo dõi trực quan Tỷ lệ hồ sơ bị từ chối tiếp nhận. Hệ thống tự động tổng hợp, xử lý và hiển thị dữ liệu.</t>
  </si>
  <si>
    <t>Cho phép Lãnh đạo theo dõi trực quan Tỷ lệ hồ sơ bị từ chối tiếp nhận theo đơn vị. Hệ thống tự động tổng hợp, xử lý và hiển thị dữ liệu.</t>
  </si>
  <si>
    <t>Cho phép Lãnh đạo theo dõi trực quan Tỷ lệ hồ sơ bị từ chối tiếp nhận theo thời gian. Hệ thống tự động tổng hợp, xử lý và hiển thị dữ liệu.</t>
  </si>
  <si>
    <t>GIAO DIỆN CHO THIẾT BỊ DI ĐỘNG (APP)</t>
  </si>
  <si>
    <t>Quản trị hệ thống; Lãnh đạo; Cán bộ nhập liệu nhập tài khoản người sử dụng trên hệ thống. Hệ thống xử lý yêu cầu và hiển thị kết quả xử lý</t>
  </si>
  <si>
    <t>Quản trị hệ thống; Lãnh đạo; Cán bộ nhập liệu nhập mật khẩu tài khoản trên hệ thống. Hệ thống xử lý yêu cầu và hiển thị kết quả xử lý</t>
  </si>
  <si>
    <t>Quản trị hệ thống; Lãnh đạo; Cán bộ nhập liệu xác nhận đăng nhập hệ thống. Hệ thống xử lý yêu cầu và hiển thị kết quả xử lý</t>
  </si>
  <si>
    <t>Quản trị hệ thống; Lãnh đạo; Cán bộ nhập liệu chọn duy trì đăng nhập tài khoản. Hệ thống xử lý yêu cầu và hiển thị kết quả xử lý</t>
  </si>
  <si>
    <t>Quản trị hệ thống; Lãnh đạo; Cán bộ nhập liệu vào danh mục cấu hình trên hệ thống. Hệ thống xử lý yêu cầu và hiển thị kết quả xử lý</t>
  </si>
  <si>
    <t>Quản trị hệ thống; Lãnh đạo; Cán bộ nhập liệu chọn đăng xuất tài khoản ra khỏi hệ thống người sử dụng. Hệ thống xử lý yêu cầu và hiển thị kết quả xử lý</t>
  </si>
  <si>
    <t>Quản trị hệ thống; Lãnh đạo; Cán bộ nhập liệu xác nhận đăng xuất tài khoản người sử dụng ra khỏi hệ thống. Hệ thống xử lý yêu cầu và hiển thị kết quả xử lý</t>
  </si>
  <si>
    <t>Theo dõi dashboard hiển thị các chỉ tiêu điều hành</t>
  </si>
  <si>
    <r>
      <rPr>
        <strike/>
        <sz val="13"/>
        <color rgb="FFFF0000"/>
        <rFont val="Times New Roman"/>
      </rPr>
      <t xml:space="preserve">Lãnh đạo vào giao diện hiển thị xem danh sách Landing Page. Hệ thống xử lý yêu cầu và hiển thị kết quả xử lý
</t>
    </r>
    <r>
      <rPr>
        <sz val="13"/>
        <color rgb="FF0000FF"/>
        <rFont val="Times New Roman"/>
      </rPr>
      <t>Cho phép Lãnh đạo theo dõi dashboard tổng quan các chỉ tiêu điều hành. Hệ thống tự động tổng hợp, xử lý và hiển thị dữ liệu.</t>
    </r>
  </si>
  <si>
    <t>Lãnh đạo có thể xem trực quan giao diện hiển thị chỉ tiêu cho Lãnh đạo. Hệ thống xử lý yêu cầu và hiển thị kết quả xử lý</t>
  </si>
  <si>
    <t>Xem biểu đồ so sánh số liệu cùng kỳ giữa các đơn vị</t>
  </si>
  <si>
    <t>Lãnh đạo có thể xem trực quan dữ liệu biểu đồ số liệu cùng kỳ giữa các địa phương. Hệ thống xử lý yêu cầu và hiển thị kết quả xử lý</t>
  </si>
  <si>
    <t>Lãnh đạo kết xuất dữ liệu biểu đồ số liệu cùng kỳ giữa các địa phương (nếu cần). Hệ thống xử lý yêu cầu và hiển thị kết quả xử lý</t>
  </si>
  <si>
    <t>Xem biểu đồ so sánh số liệu liền kề giữa các địa phương</t>
  </si>
  <si>
    <t>Lãnh đạo có thể xem trực quan dữ liệu biểu đồ số liệu kỳ liền kề giữa các địa phương. Hệ thống xử lý yêu cầu và hiển thị kết quả xử lý</t>
  </si>
  <si>
    <t>Lãnh đạo kết xuất dữ liệu biểu đồ số liệu kỳ liền kề giữa các địa phương (nếu cần). Hệ thống xử lý yêu cầu và hiển thị kết quả xử lý</t>
  </si>
  <si>
    <t>Xem biểu đồ thể hiện xu hướng tăng/giảm và các biến động đột biến theo tiêu chí tìm kiếm.</t>
  </si>
  <si>
    <t>Lãnh đạo có thể xem trực quan biểu đồ số liệu tăng/giảm, đột biến thông tin theo tiêu chí tìm kiếm. Hệ thống xử lý yêu cầu và hiển thị kết quả xử lý</t>
  </si>
  <si>
    <t>Xem biểu đồ so sánh gia tốc, tỷ lệ %, tỷ trọng và giá trị bình quân giữa hai thông tin liên quan</t>
  </si>
  <si>
    <t>Lãnh đạo có thể xem trực quan dữ liệu biểu đồ so sánh các thông tin liên quan gia tốc, tỷ lệ %, tỷ trọng, bình quân của 02 thông tin liên quan.</t>
  </si>
  <si>
    <t>Xem biểu đồ so sánh số liệu cùng kỳ giữa các khu vực địa lý</t>
  </si>
  <si>
    <t>Lãnh đạo có thể xem trực quan dữ liệu biểu đồ số liệu cùng kỳ giữa các khu vực địa lý khác nhau. Hệ thống xử lý yêu cầu và hiển thị kết quả xử lý</t>
  </si>
  <si>
    <t>Xem biểu đồ so sánh số liệu kỳ liền kề giữa các địa phương.</t>
  </si>
  <si>
    <t>Theo dõi báo cáo dành cho Lãnh đạo.</t>
  </si>
  <si>
    <t>Lãnh đạo có thể xem trực quan tổng quan chỉ tiêu báo cáo. Hệ thống xử lý yêu cầu và hiển thị kết quả xử lý</t>
  </si>
  <si>
    <t>Lãnh đạo có thể xem trực quan chi tiết từng chỉ tiêu báo cáo trên giao diện hiển thị. Hệ thống xử lý yêu cầu và hiển thị kết quả xử lý</t>
  </si>
  <si>
    <t>Tìm kiếm</t>
  </si>
  <si>
    <t>Lãnh đạo có thể xem trực quan danh sách hiển thị chỉ tiêu báo cáo trên hệ thống. Hệ thống xử lý yêu cầu và hiển thị kết quả xử lý</t>
  </si>
  <si>
    <t>Lãnh đạo; Cán bộ nhập liệu nhập thông tin tìm kiếm theo tên chỉ tiêu báo cáo. Hệ thống xử lý yêu cầu và hiển thị kết quả xử lý</t>
  </si>
  <si>
    <t>Xem chi tiết từng loại chỉ tiêu báo cáo</t>
  </si>
  <si>
    <t>Lãnh đạo chọn chỉ tiêu báo cáo cần xem chi tiết. Hệ thống xử lý yêu cầu và hiển thị kết quả xử lý</t>
  </si>
  <si>
    <t>Tìm kiếm và tra cứu nâng cao dữ liệu theo từng loại chỉ tiêu báo cáo</t>
  </si>
  <si>
    <t>Lãnh đạo mở danh sách hiển thị chỉ tiêu báo cáo trên hệ thống. Hệ thống xử lý yêu cầu và hiển thị kết quả xử lý</t>
  </si>
  <si>
    <t>Lãnh đạo; Cán bộ nhập liệu Tìm kiếm/tra cứu theo chỉ tiêu báo cáo/ nhóm chỉ tiêu báo cáo. Hệ thống xử lý yêu cầu và hiển thị kết quả xử lý</t>
  </si>
  <si>
    <t>Xem số liệu trực quan kết quả thực hiện xử lý nhiệm vụ</t>
  </si>
  <si>
    <r>
      <rPr>
        <sz val="13"/>
        <color rgb="FF000000"/>
        <rFont val="Times New Roman"/>
      </rPr>
      <t xml:space="preserve">
</t>
    </r>
    <r>
      <rPr>
        <sz val="13"/>
        <color rgb="FF0000FF"/>
        <rFont val="Times New Roman"/>
      </rPr>
      <t>Cho phép Lãnh đạo theo dõi số liệu trực quan kết quả thực hiện xử lý nhiệm vụ Trung ương giao. Hệ thống tự động tổng hợp, xử lý và hiển thị dữ liệu.</t>
    </r>
  </si>
  <si>
    <r>
      <rPr>
        <strike/>
        <sz val="13"/>
        <color rgb="FFFF0000"/>
        <rFont val="Times New Roman"/>
      </rPr>
      <t xml:space="preserve">
</t>
    </r>
    <r>
      <rPr>
        <sz val="13"/>
        <color rgb="FF0000FF"/>
        <rFont val="Times New Roman"/>
      </rPr>
      <t>Cho phép Lãnh đạo theo dõi số liệu trực quan kết quả thực hiện xử lý nhiệm vụ lãnh đạo Bộ giao. Hệ thống tự động tổng hợp, xử lý và hiển thị dữ liệu.</t>
    </r>
  </si>
  <si>
    <t>Xem số liệu trực quan kết quả thực hiện xử lý văn bản, điều hành</t>
  </si>
  <si>
    <t>Cho phép Lãnh đạo theo dõi số liệu trực quan kết quả thực hiện xử lý văn bản đến. Hệ thống tự động tổng hợp, xử lý và hiển thị dữ liệu.</t>
  </si>
  <si>
    <r>
      <rPr>
        <strike/>
        <sz val="13"/>
        <color rgb="FFFF0000"/>
        <rFont val="Times New Roman"/>
      </rPr>
      <t xml:space="preserve">
</t>
    </r>
    <r>
      <rPr>
        <sz val="13"/>
        <color rgb="FF0000FF"/>
        <rFont val="Times New Roman"/>
      </rPr>
      <t>Cho phép Lãnh đạo theo dõi số liệu trực quan kết quả thực hiện xử lý văn bản đi. Hệ thống tự động tổng hợp, xử lý và hiển thị dữ liệu.</t>
    </r>
  </si>
  <si>
    <r>
      <rPr>
        <sz val="13"/>
        <color rgb="FF000000"/>
        <rFont val="Times New Roman"/>
      </rPr>
      <t xml:space="preserve">Xem số liệu trực quan lĩnh vực </t>
    </r>
    <r>
      <rPr>
        <strike/>
        <sz val="13"/>
        <color rgb="FFFF0000"/>
        <rFont val="Times New Roman"/>
      </rPr>
      <t>quản lý ngân sách - tài sản</t>
    </r>
    <r>
      <rPr>
        <sz val="13"/>
        <color rgb="FF000000"/>
        <rFont val="Times New Roman"/>
      </rPr>
      <t xml:space="preserve"> </t>
    </r>
    <r>
      <rPr>
        <sz val="13"/>
        <color rgb="FF0000FF"/>
        <rFont val="Times New Roman"/>
      </rPr>
      <t>giải ngân vốn đầu tư công</t>
    </r>
  </si>
  <si>
    <r>
      <rPr>
        <strike/>
        <sz val="13"/>
        <color rgb="FFFF0000"/>
        <rFont val="Times New Roman"/>
      </rPr>
      <t xml:space="preserve">Lãnh đạo có thể xem trực quan số liệu trực quan số liệu quản lý ngân sách - tài sản. Hệ thống xử lý yêu cầu và hiển thị kết quả xử lý
</t>
    </r>
    <r>
      <rPr>
        <sz val="13"/>
        <color rgb="FF0000FF"/>
        <rFont val="Times New Roman"/>
      </rPr>
      <t>Cho phép Lãnh đạo theo dõi trực quan số liệu Tỷ lệ giải ngân vốn đầu tư công. Hệ thống tự động tổng hợp, xử lý và hiển thị dữ liệu.</t>
    </r>
  </si>
  <si>
    <r>
      <rPr>
        <strike/>
        <sz val="13"/>
        <color rgb="FFFF0000"/>
        <rFont val="Times New Roman"/>
      </rPr>
      <t xml:space="preserve">Lãnh đạo tìm kiếm số liệu quản lý ngân sách - tài sản. Hệ thống xử lý yêu cầu và hiển thị kết quả xử lý
</t>
    </r>
    <r>
      <rPr>
        <sz val="13"/>
        <color rgb="FF0000FF"/>
        <rFont val="Times New Roman"/>
      </rPr>
      <t>Cho phép Lãnh đạo theo dõi trực quan số liệu Tỷ lệ giải ngân vốn đầu tư công theo chủ đầu tư. Hệ thống tự động tổng hợp, xử lý và hiển thị dữ liệu.</t>
    </r>
  </si>
  <si>
    <t>Lãnh đạo có thể xem trực quan số liệu quản lý ngân sách - tài sản theo chi tiết. Hệ thống xử lý yêu cầu và hiển thị kết quả xử lý</t>
  </si>
  <si>
    <r>
      <rPr>
        <sz val="13"/>
        <color rgb="FF000000"/>
        <rFont val="Times New Roman"/>
      </rPr>
      <t xml:space="preserve">Xem số liệu trực quan lĩnh vực </t>
    </r>
    <r>
      <rPr>
        <strike/>
        <sz val="13"/>
        <color rgb="FFFF0000"/>
        <rFont val="Times New Roman"/>
      </rPr>
      <t xml:space="preserve">hòa giải cơ sở </t>
    </r>
    <r>
      <rPr>
        <sz val="13"/>
        <color rgb="FF0000FF"/>
        <rFont val="Times New Roman"/>
      </rPr>
      <t>Giao dịch bảo đảm</t>
    </r>
  </si>
  <si>
    <r>
      <rPr>
        <strike/>
        <sz val="13"/>
        <color rgb="FFFF0000"/>
        <rFont val="Times New Roman"/>
      </rPr>
      <t xml:space="preserve">Lãnh đạo có thể xem trực quan số liệu trực quan số liệu hòa giả cơ sở. Hệ thống xử lý yêu cầu và hiển thị kết quả xử lý
</t>
    </r>
    <r>
      <rPr>
        <sz val="13"/>
        <color rgb="FF0000FF"/>
        <rFont val="Times New Roman"/>
      </rPr>
      <t>Cho phép Lãnh đạo theo dõi số liệu trực quan Giao dịch bảo đảm. Hệ thống tự động tổng hợp, xử lý và hiển thị dữ liệu.</t>
    </r>
  </si>
  <si>
    <r>
      <rPr>
        <strike/>
        <sz val="13"/>
        <color rgb="FFFF0000"/>
        <rFont val="Times New Roman"/>
      </rPr>
      <t xml:space="preserve">Lãnh đạo tìm kiếm số liệu hòa giả cơ sở. Hệ thống xử lý yêu cầu và hiển thị kết quả xử lý
</t>
    </r>
    <r>
      <rPr>
        <sz val="13"/>
        <color rgb="FF0000FF"/>
        <rFont val="Times New Roman"/>
      </rPr>
      <t>Cho phép Lãnh đạo theo dõi số liệu trực quan Giao dịch bảo đảm theo thời gian. Hệ thống tự động tổng hợp, xử lý và hiển thị dữ liệu.</t>
    </r>
  </si>
  <si>
    <t>Lãnh đạo có thể xem trực quan số liệu hòa giả cơ sở chi tiết. Hệ thống xử lý yêu cầu và hiển thị kết quả xử lý</t>
  </si>
  <si>
    <r>
      <rPr>
        <sz val="13"/>
        <color rgb="FF000000"/>
        <rFont val="Times New Roman"/>
      </rPr>
      <t xml:space="preserve">Xem số liệu trực quan lĩnh vực </t>
    </r>
    <r>
      <rPr>
        <strike/>
        <sz val="13"/>
        <color rgb="FFFF0000"/>
        <rFont val="Times New Roman"/>
      </rPr>
      <t>trợ giúp pháp lý</t>
    </r>
    <r>
      <rPr>
        <sz val="13"/>
        <color rgb="FF000000"/>
        <rFont val="Times New Roman"/>
      </rPr>
      <t xml:space="preserve"> </t>
    </r>
    <r>
      <rPr>
        <sz val="13"/>
        <color rgb="FF0000FF"/>
        <rFont val="Times New Roman"/>
      </rPr>
      <t>công tác xây dựng pháp luật</t>
    </r>
  </si>
  <si>
    <r>
      <rPr>
        <strike/>
        <sz val="13"/>
        <color rgb="FFFF0000"/>
        <rFont val="Times New Roman"/>
      </rPr>
      <t xml:space="preserve">Lãnh đạo có thể xem trực quan số liệu trực quan số liệu trợ giúp pháp lý. Hệ thống xử lý yêu cầu và hiển thị kết quả xử lý
</t>
    </r>
    <r>
      <rPr>
        <sz val="13"/>
        <color rgb="FF0000FF"/>
        <rFont val="Times New Roman"/>
      </rPr>
      <t>Cho phép Lãnh đạo theo dõi số liệu tổng quan công tác xây dựng pháp luật. Hệ thống tự động tổng hợp, xử lý và hiển thị dữ liệu.</t>
    </r>
  </si>
  <si>
    <r>
      <rPr>
        <strike/>
        <sz val="13"/>
        <color rgb="FFFF0000"/>
        <rFont val="Times New Roman"/>
      </rPr>
      <t xml:space="preserve">Lãnh đạo tìm kiếm số liệu trợ giúp pháp lý. Hệ thống xử lý yêu cầu và hiển thị kết quả xử lý
</t>
    </r>
    <r>
      <rPr>
        <sz val="13"/>
        <color rgb="FF0000FF"/>
        <rFont val="Times New Roman"/>
      </rPr>
      <t>Cho phép Lãnh đạo theo dõi số liệu trực quan tỷ lệ văn bản quy định chi tiết đã ban hành. Hệ thống tự động tổng hợp, xử lý và hiển thị dữ liệu.</t>
    </r>
  </si>
  <si>
    <t>Lãnh đạo có thể xem trực quan số liệu trợ giúp pháp lý chi tiết. Hệ thống xử lý yêu cầu và hiển thị kết quả xử lý</t>
  </si>
  <si>
    <t>Xem số liệu trực quan lĩnh vực thi hành án dân sự</t>
  </si>
  <si>
    <r>
      <rPr>
        <strike/>
        <sz val="13"/>
        <color rgb="FFFF0000"/>
        <rFont val="Times New Roman"/>
      </rPr>
      <t xml:space="preserve">Lãnh đạo có thể xem trực quan số liệu trực quan số liệu trợ giúp pháp lý. Hệ thống xử lý yêu cầu và hiển thị kết quả xử lý
</t>
    </r>
    <r>
      <rPr>
        <sz val="13"/>
        <color rgb="FF0000FF"/>
        <rFont val="Times New Roman"/>
      </rPr>
      <t>Cho phép lãnh đạo theo dõi trực quan Tổng số việc có điều kiện thi hành. Hệ thống tự động tổng hợp, xử lý và hiển thị dữ liệu.</t>
    </r>
  </si>
  <si>
    <r>
      <rPr>
        <strike/>
        <sz val="13"/>
        <color rgb="FFFF0000"/>
        <rFont val="Times New Roman"/>
      </rPr>
      <t xml:space="preserve">Lãnh đạo tìm kiếm số liệu trợ giúp pháp lý. Hệ thống xử lý yêu cầu và hiển thị kết quả xử lý
</t>
    </r>
    <r>
      <rPr>
        <sz val="13"/>
        <color rgb="FF0000FF"/>
        <rFont val="Times New Roman"/>
      </rPr>
      <t>Cho phép lãnh đạo theo dõi trực quan Tổng số tiền có điều kiện thi hành. Hệ thống tự động tổng hợp, xử lý và hiển thị dữ liệu.</t>
    </r>
  </si>
  <si>
    <t>Xem số liệu trực quan lĩnh vực hộ tịch</t>
  </si>
  <si>
    <r>
      <rPr>
        <strike/>
        <sz val="13"/>
        <color rgb="FFFF0000"/>
        <rFont val="Times New Roman"/>
      </rPr>
      <t xml:space="preserve">Lãnh đạo có thể xem trực quan số liệu trực quan số liệu hộ tịch Hệ thống xử lý yêu cầu và hiển thị kết quả xử lý
</t>
    </r>
    <r>
      <rPr>
        <sz val="13"/>
        <color rgb="FF0000FF"/>
        <rFont val="Times New Roman"/>
      </rPr>
      <t>Cho phép Lãnh đạo theo dõi số liệu trực quan trực quan số liệu đăng ký khai sinh. Hệ thống tự động tổng hợp, xử lý và hiển thị dữ liệu.</t>
    </r>
  </si>
  <si>
    <r>
      <rPr>
        <strike/>
        <sz val="13"/>
        <color rgb="FFFF0000"/>
        <rFont val="Times New Roman"/>
      </rPr>
      <t xml:space="preserve">Lãnh đạo tìm kiếm số liệu hộ tịch. Hệ thống xử lý yêu cầu và hiển thị kết quả xử lý
</t>
    </r>
    <r>
      <rPr>
        <sz val="13"/>
        <color rgb="FF0000FF"/>
        <rFont val="Times New Roman"/>
      </rPr>
      <t>Cho phép Lãnh đạo theo dõi số liệu trực quan trực quan số liệu đăng ký khai tử. Hệ thống tự động tổng hợp, xử lý và hiển thị dữ liệu.</t>
    </r>
  </si>
  <si>
    <r>
      <rPr>
        <strike/>
        <sz val="13"/>
        <color rgb="FFFF0000"/>
        <rFont val="Times New Roman"/>
      </rPr>
      <t xml:space="preserve">Lãnh đạo có thể xem trực quan số liệu hộ tịch chi tiết. Hệ thống xử lý yêu cầu và hiển thị kết quả xử lý
</t>
    </r>
    <r>
      <rPr>
        <strike/>
        <sz val="13"/>
        <color rgb="FF0000FF"/>
        <rFont val="Times New Roman"/>
      </rPr>
      <t>Cho phép Lãnh đạo theo dõi số liệu trực quan trực quan số liệu đăng ký kết hôn. Hệ thống tự động tổng hợp, xử lý và hiển thị dữ liệu.</t>
    </r>
  </si>
  <si>
    <r>
      <rPr>
        <sz val="13"/>
        <color rgb="FF000000"/>
        <rFont val="Times New Roman"/>
      </rPr>
      <t xml:space="preserve">Xem số liệu trực quan lĩnh vực </t>
    </r>
    <r>
      <rPr>
        <strike/>
        <sz val="13"/>
        <color rgb="FFFF0000"/>
        <rFont val="Times New Roman"/>
      </rPr>
      <t>họp không giấy tờ</t>
    </r>
    <r>
      <rPr>
        <sz val="13"/>
        <color rgb="FF000000"/>
        <rFont val="Times New Roman"/>
      </rPr>
      <t xml:space="preserve"> </t>
    </r>
    <r>
      <rPr>
        <sz val="13"/>
        <color rgb="FF0000FF"/>
        <rFont val="Times New Roman"/>
      </rPr>
      <t>phản ánh, kiến nghị về VBQPPL</t>
    </r>
  </si>
  <si>
    <r>
      <rPr>
        <strike/>
        <sz val="13"/>
        <color rgb="FFFF0000"/>
        <rFont val="Times New Roman"/>
      </rPr>
      <t>Lãnh đạo có thể xem trực quan số liệu trực quan số liệu họp không giấy tờ. Hệ thống xử lý yêu cầu và hiển thị kết quả xử lý</t>
    </r>
    <r>
      <rPr>
        <strike/>
        <sz val="13"/>
        <color rgb="FF000000"/>
        <rFont val="Times New Roman"/>
      </rPr>
      <t xml:space="preserve">
</t>
    </r>
    <r>
      <rPr>
        <sz val="13"/>
        <color rgb="FF0000FF"/>
        <rFont val="Times New Roman"/>
      </rPr>
      <t>Cho phép Lãnh đạo theo dõi số liệu Tổng số phản ánh đã tiếp nhận. Hệ thống tự động tổng hợp, xử lý và hiển thị dữ liệu.</t>
    </r>
  </si>
  <si>
    <r>
      <rPr>
        <strike/>
        <sz val="13"/>
        <color rgb="FFFF0000"/>
        <rFont val="Times New Roman"/>
      </rPr>
      <t xml:space="preserve">Lãnh đạo tìm kiếm số liệu họp không giấy tờ. Hệ thống xử lý yêu cầu và hiển thị kết quả xử lý
</t>
    </r>
    <r>
      <rPr>
        <sz val="13"/>
        <color rgb="FF0000FF"/>
        <rFont val="Times New Roman"/>
      </rPr>
      <t>Cho phép Lãnh đạo theo dõi số liệu Tổng số phản ánh đã xử lý Hệ thống tự động tổng hợp, xử lý và hiển thị dữ liệu.</t>
    </r>
  </si>
  <si>
    <r>
      <rPr>
        <strike/>
        <sz val="13"/>
        <color rgb="FFFF0000"/>
        <rFont val="Times New Roman"/>
      </rPr>
      <t xml:space="preserve">Lãnh đạo có thể xem trực quan số liệu họp không giấy tờ chi tiết. Hệ thống xử lý yêu cầu và hiển thị kết quả xử lý
</t>
    </r>
    <r>
      <rPr>
        <sz val="13"/>
        <color rgb="FF0000FF"/>
        <rFont val="Times New Roman"/>
      </rPr>
      <t>Cho phép Lãnh đạo theo dõi số liệu Tổng số phản ánh đang xử lý. Hệ thống tự động tổng hợp, xử lý và hiển thị dữ liệu.</t>
    </r>
  </si>
  <si>
    <r>
      <rPr>
        <sz val="13"/>
        <color rgb="FF000000"/>
        <rFont val="Times New Roman"/>
      </rPr>
      <t xml:space="preserve">Xem số liệu trực quan lĩnh vực </t>
    </r>
    <r>
      <rPr>
        <strike/>
        <sz val="13"/>
        <color rgb="FFFF0000"/>
        <rFont val="Times New Roman"/>
      </rPr>
      <t xml:space="preserve">dịch vụ công </t>
    </r>
    <r>
      <rPr>
        <sz val="13"/>
        <color rgb="FF0000FF"/>
        <rFont val="Times New Roman"/>
      </rPr>
      <t xml:space="preserve"> tình hình, kết quả giải quyết TTHC</t>
    </r>
  </si>
  <si>
    <r>
      <rPr>
        <strike/>
        <sz val="13"/>
        <color rgb="FFFF0000"/>
        <rFont val="Times New Roman"/>
      </rPr>
      <t xml:space="preserve">Lãnh đạo có thể xem trực quan số liệu trực quan số liệu dịch vụ công. Hệ thống xử lý yêu cầu và hiển thị kết quả xử lý
</t>
    </r>
    <r>
      <rPr>
        <sz val="13"/>
        <color rgb="FF0000FF"/>
        <rFont val="Times New Roman"/>
      </rPr>
      <t>Cho phép Lãnh đạo theo dõi trực quan Tổng số hồ sơ tiếp nhận. Hệ thống tự động tổng hợp, xử lý và hiển thị dữ liệu.</t>
    </r>
  </si>
  <si>
    <r>
      <rPr>
        <strike/>
        <sz val="13"/>
        <color rgb="FFFF0000"/>
        <rFont val="Times New Roman"/>
      </rPr>
      <t xml:space="preserve">Lãnh đạo tìm kiếm số liệu dịch vụ công. Hệ thống xử lý yêu cầu và hiển thị kết quả xử lý
</t>
    </r>
    <r>
      <rPr>
        <sz val="13"/>
        <color rgb="FF0000FF"/>
        <rFont val="Times New Roman"/>
      </rPr>
      <t>Cho phép Lãnh đạo theo dõi trực quan Số hồ sơ đã xử lý. Hệ thống tự động tổng hợp, xử lý và hiển thị dữ liệu.</t>
    </r>
  </si>
  <si>
    <r>
      <rPr>
        <strike/>
        <sz val="13"/>
        <color rgb="FFFF0000"/>
        <rFont val="Times New Roman"/>
      </rPr>
      <t xml:space="preserve">Lãnh đạo có thể xem trực quan số liệu dịch vụ công chi tiết. Hệ thống xử lý yêu cầu và hiển thị kết quả xử lý
</t>
    </r>
    <r>
      <rPr>
        <sz val="13"/>
        <color rgb="FF0000FF"/>
        <rFont val="Times New Roman"/>
      </rPr>
      <t>Cho phép Lãnh đạo theo dõi trực quan Tỷ lệ hồ sơ nộp trực tuyến. Hệ thống tự động tổng hợp, xử lý và hiển thị dữ liệu</t>
    </r>
    <r>
      <rPr>
        <strike/>
        <sz val="13"/>
        <color rgb="FFFF0000"/>
        <rFont val="Times New Roman"/>
      </rPr>
      <t>.</t>
    </r>
  </si>
  <si>
    <t>BẢNG TÍNH TOÁN HỆ SỐ TÁC ĐỘNG MÔI TRƯỜNG</t>
  </si>
  <si>
    <t>Các hệ số tác động môi trường</t>
  </si>
  <si>
    <t>Mức xếp hạng
(Từ 0 đến 5)</t>
  </si>
  <si>
    <t>Trọng số chuẩn</t>
  </si>
  <si>
    <t>TB cộng giá trị xếp hạng</t>
  </si>
  <si>
    <t>Kết quả (KQ)</t>
  </si>
  <si>
    <t>Đánh giá độ ổn định KN</t>
  </si>
  <si>
    <t>Diễn giải lý do</t>
  </si>
  <si>
    <t>Hệ số tác động môi trường và nhóm dự án (EFW)</t>
  </si>
  <si>
    <t>Đánh giá cho từng thành viên</t>
  </si>
  <si>
    <t>F1</t>
  </si>
  <si>
    <t>Có áp dụng qui trình phát triển PM theo mẫu RUP và có hiểu biết về RUP</t>
  </si>
  <si>
    <t>0 = Không có kinh nghiệm</t>
  </si>
  <si>
    <t>3 = Trung bình</t>
  </si>
  <si>
    <t>5 = Trình độ chuyên gia</t>
  </si>
  <si>
    <t>F2</t>
  </si>
  <si>
    <t>Có kinh nghiệm về ứng dụng tương tự (application experiences)</t>
  </si>
  <si>
    <t>Bổ sung thêm 1 uc đơn giản, 1 UC phức tạp, 1 UC trung bình</t>
  </si>
  <si>
    <t>F3</t>
  </si>
  <si>
    <t>Có kinh nghiệm về hướng đối tượng (Object Oriented)</t>
  </si>
  <si>
    <t>F4</t>
  </si>
  <si>
    <t>Có khả năng lãnh đạo Nhóm</t>
  </si>
  <si>
    <t>F5</t>
  </si>
  <si>
    <t>Tính chất năng động</t>
  </si>
  <si>
    <t>0 = Không năng động</t>
  </si>
  <si>
    <t>5 = Cao</t>
  </si>
  <si>
    <t>Đánh giá chung cho Dự án</t>
  </si>
  <si>
    <t>F6</t>
  </si>
  <si>
    <t>Độ ổn định của các yêu cầu</t>
  </si>
  <si>
    <t>0 = Rất bất định</t>
  </si>
  <si>
    <t>5 = Không hay thay đổi</t>
  </si>
  <si>
    <t>F7</t>
  </si>
  <si>
    <t>Có sử dụng các nhân viên làm Part-time</t>
  </si>
  <si>
    <t>0 = Không có NV Part-time</t>
  </si>
  <si>
    <t>(TB là 3)</t>
  </si>
  <si>
    <t>3 = Có nhân viên làm Part-time</t>
  </si>
  <si>
    <t>5 = Tất cả đều làm Part-time</t>
  </si>
  <si>
    <t>F8</t>
  </si>
  <si>
    <t xml:space="preserve">Dùng ngôn ngữ lập trình loại khó </t>
  </si>
  <si>
    <t>0 = Ngôn ngữ lập trình dễ</t>
  </si>
  <si>
    <t>5 = Khó</t>
  </si>
  <si>
    <t>Cộng I</t>
  </si>
  <si>
    <t>EFW</t>
  </si>
  <si>
    <t>Hệ số độ phức tạp về môi trường (Environmental Factor)</t>
  </si>
  <si>
    <t>EF = 1.4 + (-0.03 x EFW)</t>
  </si>
  <si>
    <t>Độ ổn định kinh nghiệm (Experience Stable)</t>
  </si>
  <si>
    <t>ES</t>
  </si>
  <si>
    <t>Nội suy năng suất P</t>
  </si>
  <si>
    <t>P= người/giờ/usecase</t>
  </si>
  <si>
    <t>Trong đó, đánh giá cho từng thành viên tham gia dự án như sau:</t>
  </si>
  <si>
    <t>Hệ số tác động môi trường và nhóm làm việc (EFW)</t>
  </si>
  <si>
    <t>Nhân viên tham gia</t>
  </si>
  <si>
    <t>Giá trị nội suy (P)</t>
  </si>
  <si>
    <t>Nhóm KS bậc 1</t>
  </si>
  <si>
    <t>Nhóm KS Bậc 2</t>
  </si>
  <si>
    <t>Nhóm kỹ sư bậc 3</t>
  </si>
  <si>
    <t>&lt; 1</t>
  </si>
  <si>
    <t>Có áp dụng qui trình phát triển phần mềm theo mẫu RUP và có hiểu biết về RUP hoặc quy trình phát triển phần mềm tương đương</t>
  </si>
  <si>
    <t>≥ 1</t>
  </si>
  <si>
    <t>Có kinh nghiệm về ứng dụng tương tự</t>
  </si>
  <si>
    <t>≥ 3</t>
  </si>
  <si>
    <t>Có kinh nghiệm về hướng đối tượng</t>
  </si>
  <si>
    <t>PHỤ LỤC V: BẢNG TÍNH TOÁN HỆ SỐ PHỨC TẠP KỸ THUẬT - CÔNG NGHỆ</t>
  </si>
  <si>
    <t>Các hệ số</t>
  </si>
  <si>
    <t>Giá trị xếp hạng</t>
  </si>
  <si>
    <t>Kết quả</t>
  </si>
  <si>
    <t>Hệ số kỹ thuật - công nghệ</t>
  </si>
  <si>
    <t>Cần check với thiết kế và xác định pm có những yêu cầu nào</t>
  </si>
  <si>
    <t xml:space="preserve">Xử lý phân tán </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</si>
  <si>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</si>
  <si>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Mức độ quan trọng của hiệu năng</t>
  </si>
  <si>
    <r>
      <rPr>
        <sz val="13"/>
        <color theme="1"/>
        <rFont val="Times New Roman"/>
      </rPr>
      <t xml:space="preserve">Yêu cầu cụ thể hiệu năng trong toàn bộ thời gian tác nghiệp. 
Các mốc thời gian tác nghiệp và yêu cầu cụ thể của hiệu năng: 
</t>
    </r>
    <r>
      <rPr>
        <sz val="13"/>
        <color rgb="FFFF0000"/>
        <rFont val="Times New Roman"/>
      </rPr>
      <t xml:space="preserve">- Thời gian phản hồi: dưới 10s
- Thông lượng: Số lượng người truy cập đồng thời 300 </t>
    </r>
    <r>
      <rPr>
        <sz val="13"/>
        <color theme="1"/>
        <rFont val="Times New Roman"/>
      </rPr>
      <t xml:space="preserve">
Không có yêu cầu thiết kế riêng biệt về sử dụng tài nguyên hệ thống để đáp ứng yêu cầu hiệu năng, yêu cầu cụ thể về thời gian phản hồi đối với các giao dịch được xử lý với các hệ thống (tích hợp) khác. </t>
    </r>
  </si>
  <si>
    <t>Hiệu quả sử dụng cho người dùng</t>
  </si>
  <si>
    <t xml:space="preserve">Yêu cầu đáp ứng từ 6 tiêu chí nêu trên trở lên, bao gồm:
- Di chuyển con trỏ tự động 
- Các phím chức năng được cài đặt sẵn 
- Các ràng buộc đơn giản 
- Sử dụng nhiều màu sắc và hình ảnh nổi bật trong màn hình
- Tối thiểu hóa số lượng giao diện để đạt được các mục tiêu nghiệp vụ 
- Hỗ trợ và tài liệu trực tuyến </t>
  </si>
  <si>
    <t>Độ phức tạp của xử lý bên trong</t>
  </si>
  <si>
    <r>
      <rPr>
        <sz val="13"/>
        <color theme="1"/>
        <rFont val="Times New Roman"/>
      </rPr>
      <t xml:space="preserve"> “Độ phức tạp của xử lý bên trong” được thể hiện thông qua việc hệ thống sử dụng/không sử dụng đến các thuật toán phức tạp.
</t>
    </r>
    <r>
      <rPr>
        <sz val="13"/>
        <color rgb="FFFF0000"/>
        <rFont val="Times New Roman"/>
      </rPr>
      <t xml:space="preserve">Yêu cầu đáp ứng 3 tiêu chí sau:
- Yêu cầu xử lý lô-gic mở rộng
- Yêu cầu có sử dụng công thức toán học
- Yêu cầu xử lý nhiều loại thông tin đầu vào hoặc thông tin đầu ra </t>
    </r>
  </si>
  <si>
    <t>Khả năng tái sử dụng mã nguồn</t>
  </si>
  <si>
    <t>Yêu cầu ứng dụng phải được đóng gói riêng và tài liệu hóa nhằm tạo điều kiện cho việc tái sử dụng lại. Có thể tùy chỉnh ứng dụng để tái sử dụng bằng cách điều chỉnh mã nguồn.</t>
  </si>
  <si>
    <t xml:space="preserve">Dễ cài đặt </t>
  </si>
  <si>
    <t>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t>
  </si>
  <si>
    <t xml:space="preserve">Dễ vận hành </t>
  </si>
  <si>
    <t>Việc vận hành hệ thống thực hiện theo quy trình, có yêu cầu phải lập quy trình vận hành hệ thống.</t>
  </si>
  <si>
    <t xml:space="preserve">Khả năng chuyển đổi </t>
  </si>
  <si>
    <t>Có yêu cầu hệ thống vận hành được trên môi trường phần mềm hoặc phần cứng tương tự nhau</t>
  </si>
  <si>
    <t xml:space="preserve">Dễ dàng bảo trì </t>
  </si>
  <si>
    <t>Có yêu cầu về việc chỉnh sửa hệ thống trong tương lai mà không cần lập trình lại từ đầu.</t>
  </si>
  <si>
    <t>Xử lý đồng thời</t>
  </si>
  <si>
    <t>Yêu cầu truy cập dữ liệu đồng thời tại mọi thời điểm.</t>
  </si>
  <si>
    <t xml:space="preserve">Mức độ hỗ trợ bảo mật  </t>
  </si>
  <si>
    <t>Yêu cầu bảo mật mức 2</t>
  </si>
  <si>
    <t>Sự phụ thuộc vào mã lệnh của bên thứ ba</t>
  </si>
  <si>
    <t>Hiệu chỉnh mã lệnh sẵn có để phát triển toàn bộ ứng dụng</t>
  </si>
  <si>
    <t>Mức độ hỗ trợ đào tạo người sử dụng</t>
  </si>
  <si>
    <t>Có yêu cầu hỗ trợ của hệ thống về đào tạo người sử dụng</t>
  </si>
  <si>
    <t>Tổng hệ số kỹ thuật - công nghệ (TFW)</t>
  </si>
  <si>
    <t>Hệ số phức tạp về kỹ thuật - công nghệ (TCF) = 0,6 + (0,01 x TFW)</t>
  </si>
  <si>
    <t>BẢNG TÍNH TOÁN HỆ SỐ TÁC ĐỘNG MÔI TRƯỜNG VÀ NHÓM LÀM VIỆC, HỆ SỐ PHỨC TẠP VỀ MÔI TRƯỜNG, XÁC ĐỊNH 
ĐỘ ỔN ĐỊNH KINH NGHIỆM VÀ NỘI SUY THỜI GIAN LAO ĐỘNG</t>
  </si>
  <si>
    <t>Độ ổn định kinh nghiệm</t>
  </si>
  <si>
    <t xml:space="preserve">Có áp dụng quy trình phát triển phần mềm </t>
  </si>
  <si>
    <t>Yêu cầu ít nhất 30% thành viên nhóm phát triển có kinh nghiệm tham gia dự án có áp dụng quy trình phát triển phần mềm.</t>
  </si>
  <si>
    <t>Kinh nghiệm phát triển ứng dụng tương tự</t>
  </si>
  <si>
    <t>Yêu cầu ít nhất 30% thành viên nhóm phát triển có kinh nghiệm phát triển ứng dụng tương tự</t>
  </si>
  <si>
    <t xml:space="preserve">Kinh nghiệm về hướng đối tượng </t>
  </si>
  <si>
    <t>Yêu cầu ít nhất 30% thành viên nhóm phát triển có kinh nghiệm về hướng đối tượng</t>
  </si>
  <si>
    <t xml:space="preserve">Kinh nghiệm của trưởng nhóm lập trình </t>
  </si>
  <si>
    <t>Yêu cầu trưởng nhóm lập trình đã có kinh nghiệm làm trưởng nhóm lập trình 3 dự án/nhiệm vụ</t>
  </si>
  <si>
    <t xml:space="preserve">Tính chủ động </t>
  </si>
  <si>
    <t>Yêu cầu nhóm phát triển thực hiện báo cáo công việc theo tháng</t>
  </si>
  <si>
    <t>Độ ổn định yêu cầu mức 3: Các yêu cầu hệ thống tương đối ổn định, có thể có dưới 10% số lượng Use case liên quan đến những yêu cầu nghiệp vụ cần phân tích, đặc tả cụ thể, chi tiết hơn</t>
  </si>
  <si>
    <t>Sử dụng các nhân viên làm bán thời gian</t>
  </si>
  <si>
    <t>Không sử dụng nhân viên làm bán thời gian</t>
  </si>
  <si>
    <t xml:space="preserve">Kinh nghiệm sử dụng ngôn ngữ lập trình </t>
  </si>
  <si>
    <t>Yêu cầu ít nhất 60% thành viên nhóm lập trình có kinh nghiệm lập trình</t>
  </si>
  <si>
    <t>Độ ổn định kinh nghiệm (ES)</t>
  </si>
  <si>
    <t>Giá trị nội suy tương ứng của 8 hệ số thành phần:</t>
  </si>
  <si>
    <t>Giá trị nội suy</t>
  </si>
  <si>
    <t>&lt;=0</t>
  </si>
  <si>
    <t>&gt;0</t>
  </si>
  <si>
    <t>&gt;1</t>
  </si>
  <si>
    <t>&gt;2</t>
  </si>
  <si>
    <t>&gt;3</t>
  </si>
  <si>
    <t>&lt;1</t>
  </si>
  <si>
    <t>48 – ES x 8</t>
  </si>
  <si>
    <t>&gt;=1</t>
  </si>
  <si>
    <t>40 – (ES – 1) x 7</t>
  </si>
  <si>
    <t>&gt;=3</t>
  </si>
  <si>
    <t>26 – (ES – 3) x 6/2,2</t>
  </si>
  <si>
    <t>CHI PHÍ KIỂM THỬ</t>
  </si>
  <si>
    <t>Giá trị kiểm thử</t>
  </si>
  <si>
    <t>(G +C) x 6 %</t>
  </si>
  <si>
    <t>Chi phí kiểm thử</t>
  </si>
  <si>
    <t>Gkt</t>
  </si>
  <si>
    <t>GIÁ TRỊ KIỂM THỬ</t>
  </si>
  <si>
    <t>Tính điểm trường hợp sử dụng (Use-case)</t>
  </si>
  <si>
    <t>Điểm Actor (UAW)</t>
  </si>
  <si>
    <t>Điểm Use case (UUCW)</t>
  </si>
  <si>
    <t>UUCP = AW +UCW</t>
  </si>
  <si>
    <t>TCF= 0,6+0,014*TTF</t>
  </si>
  <si>
    <t>Hệ số phức tạp về môi trường (ECF)</t>
  </si>
  <si>
    <t>ECF= 1,14+(-0,0362)*TEF</t>
  </si>
  <si>
    <t>AUCP =UUCP *TCF*ECF</t>
  </si>
  <si>
    <t>P (người/giờ/AUCP)</t>
  </si>
  <si>
    <t>E = AUCP x P</t>
  </si>
  <si>
    <t>H = người/giờ</t>
  </si>
  <si>
    <t>KS1</t>
  </si>
  <si>
    <t>Giá trị kiểm thử phần mềm (G)</t>
  </si>
  <si>
    <t>G = E*H</t>
  </si>
  <si>
    <t>đồng</t>
  </si>
  <si>
    <t>Giá trị điểm các trường hợp sử dụng (UCW)</t>
  </si>
  <si>
    <t>Loại</t>
  </si>
  <si>
    <t>Số use case</t>
  </si>
  <si>
    <t>Cộng</t>
  </si>
  <si>
    <t>Giá trị điểm các tác nhân (AW)</t>
  </si>
  <si>
    <t>Số Actor</t>
  </si>
  <si>
    <t>Đơn giản (simple actor)</t>
  </si>
  <si>
    <t>Trung bình (average actor)</t>
  </si>
  <si>
    <t>Phức tạp (complex actor)</t>
  </si>
  <si>
    <t xml:space="preserve">Giao diện đồ họa: </t>
  </si>
  <si>
    <t>BẢNG TÍNH TOÁN HỆ SỐ PHỨC TẠP KỸ THUẬT</t>
  </si>
  <si>
    <t>Các hệ số KT</t>
  </si>
  <si>
    <t>Hệ số KT-CN (TTF)</t>
  </si>
  <si>
    <t>T1</t>
  </si>
  <si>
    <t>Các công cụ kiểm thử</t>
  </si>
  <si>
    <t>Có sử dụng công cụ kiểm thử mất phí  không? Có sử dụng công cụ kiểm thử trực tiếp không? Có cần công cụ hỗ trợ trong quá trình kiểm thử không? Có đòi hỏi các công cụ quản lý quy trình kiểm thử  không?</t>
  </si>
  <si>
    <t>T2</t>
  </si>
  <si>
    <t>Tài liệu đầu vào</t>
  </si>
  <si>
    <t xml:space="preserve">Tài liệu yêu cầu người dùng có đủ theo yêu cầu hay không? Tài liệu mô tả kiến trúc hệ thống có đủ theo yêu cầu hay không? Tài liệu xác định yêu cầu kiểm thử có đúng theo yêu cầu hay không? </t>
  </si>
  <si>
    <t>T3</t>
  </si>
  <si>
    <t>Tái sử dụng kho dữ liệu kiểm thử</t>
  </si>
  <si>
    <t xml:space="preserve">Dự án có sử dụng lại kho dữ liệu hay không?  </t>
  </si>
  <si>
    <t>T4</t>
  </si>
  <si>
    <t>Hệ thống phân tán</t>
  </si>
  <si>
    <t xml:space="preserve">Kiến trúc của hệ thống là tập trung hay phân tán? Hệ thống được thiết kế theo mô hình nhiều lớp hay không? Trọng số càng cao tương ứng với hệ thống càng phức tạp. </t>
  </si>
  <si>
    <t>T5</t>
  </si>
  <si>
    <t xml:space="preserve">Các mục tiêu hiệu suất
</t>
  </si>
  <si>
    <t>Hệ thống đáp ứng được bao nhiêu người sử dụng đồng thời? Số giao dịch hay số yêu cầu tối đa mà hệ thống có thể phục vụ ? Tài nguyên hệ thống, tài nguyên mạng hệ thống đòi hỏi để đáp ứng các tham số trên? Thời gian tối thiểu để hoàn thành một giao dịch?</t>
  </si>
  <si>
    <t>T6</t>
  </si>
  <si>
    <t>Các tính năng bảo mật</t>
  </si>
  <si>
    <t>Hệ thống  có  đảm bảo an toàn thông tin, hạn chế và khắc phục các lỗ hổng bảo mật? Khả năng nâng cao các chức năng an toàn bảo mật cho hệ thống và cập nhật nhanh chóng các bản vá lỗi ngay khi lỗi được phát hiện.</t>
  </si>
  <si>
    <t>T7</t>
  </si>
  <si>
    <t>Giao diện phức tạp</t>
  </si>
  <si>
    <t>Giao diện sử dụng phương pháp thiết kế và bố cục đòi hỏi kỹ năng thiết kế ở mức cao, khả năng sáng tạo, tính logic trong thiết kế và tính thuận tiện, đơn giản với người sử dụng.</t>
  </si>
  <si>
    <t>Cộng I (TTF)</t>
  </si>
  <si>
    <t>Total TF</t>
  </si>
  <si>
    <t>TCF=0,6+(0,014)*TTF</t>
  </si>
  <si>
    <t>BẢNG 6.6. TÍNH HỆ SỐ PHỨC TẠP MÔI TRƯỜNG</t>
  </si>
  <si>
    <t>Mức xếp hạng 
(Từ 0 đến 5)</t>
  </si>
  <si>
    <t>NV
1</t>
  </si>
  <si>
    <t>NV
2</t>
  </si>
  <si>
    <t>NV
3</t>
  </si>
  <si>
    <t>NV
4</t>
  </si>
  <si>
    <t>NV
5</t>
  </si>
  <si>
    <t>NV
6</t>
  </si>
  <si>
    <t>NV
7</t>
  </si>
  <si>
    <t>NV
8</t>
  </si>
  <si>
    <t>NV
9</t>
  </si>
  <si>
    <t>NV
10</t>
  </si>
  <si>
    <t>Kết quả
(KQ)</t>
  </si>
  <si>
    <r>
      <rPr>
        <b/>
        <sz val="12"/>
        <color theme="1"/>
        <rFont val="Times New Roman"/>
      </rPr>
      <t>Đánh giá độ ổn định KN (ES</t>
    </r>
    <r>
      <rPr>
        <b/>
        <vertAlign val="subscript"/>
        <sz val="12"/>
        <color theme="1"/>
        <rFont val="Times New Roman"/>
      </rPr>
      <t>NV</t>
    </r>
    <r>
      <rPr>
        <b/>
        <sz val="12"/>
        <color theme="1"/>
        <rFont val="Times New Roman"/>
      </rPr>
      <t>)</t>
    </r>
  </si>
  <si>
    <t>Hệ số tác động môi trường (TEF)</t>
  </si>
  <si>
    <t>Có hiểu biết về ứng dụng</t>
  </si>
  <si>
    <t>0 = Không có hiểu biết
3 = Trung bình
5 = Trình độ chuyên gia</t>
  </si>
  <si>
    <t>Môi trường kiểm thử</t>
  </si>
  <si>
    <t>0 = Không cần
3 = Không phức tạp
5 = Rất phức tạp</t>
  </si>
  <si>
    <t>Dữ liệu kiểm thử</t>
  </si>
  <si>
    <t>0 = Không cần
3 = Cần ít
5 = Cần rất nhiều</t>
  </si>
  <si>
    <t>Có khả năng lãnh đạo Nhóm kiểm thử</t>
  </si>
  <si>
    <t>0 = Không có kinh nghiệm 
3 = Trung bình
5 = Trình độ chuyên gia</t>
  </si>
  <si>
    <t>0 = Không năng động
3 = Trung bình
5 = Cao</t>
  </si>
  <si>
    <t>0 = Rất bất định
5 = Không hay thay đổi</t>
  </si>
  <si>
    <t xml:space="preserve">Có sử dụng các nhân viên làm Part-time
</t>
  </si>
  <si>
    <t>0 = Không có NV Part-time
3 = Có nhân viên làm Part-time
5 = Tất cả đều làm Part-time</t>
  </si>
  <si>
    <t>Cộng I (TEF)</t>
  </si>
  <si>
    <t>Total EF</t>
  </si>
  <si>
    <t>Hệ số độ phức tạp về môi trường ECF (Environmental Complex Factor)</t>
  </si>
  <si>
    <t>ECF = 1,4+(-0,0362)* TEF</t>
  </si>
  <si>
    <t>Phân loại</t>
  </si>
  <si>
    <t>Chọn Vùng/Khu vực</t>
  </si>
  <si>
    <t>Hệ số điều chỉnh</t>
  </si>
  <si>
    <t>Lương tối thiểu vùng</t>
  </si>
  <si>
    <t>DIỄN GIẢI CHI PHÍ TIỀN LƯƠNG GIỜ THEO QĐ 129/QĐ-BTTTT NGÀY 3/2/2021</t>
  </si>
  <si>
    <t>Đơn vị tính: đồng</t>
  </si>
  <si>
    <t>Tiêu chí xác định</t>
  </si>
  <si>
    <t>Cấp bậc, hệ số, mức lương</t>
  </si>
  <si>
    <t>Bậc thâm niên ngạch kỹ sư (A3)</t>
  </si>
  <si>
    <t>KS2</t>
  </si>
  <si>
    <t>KS3</t>
  </si>
  <si>
    <t>KS4</t>
  </si>
  <si>
    <t>KS5</t>
  </si>
  <si>
    <t>KS6</t>
  </si>
  <si>
    <t>KS7</t>
  </si>
  <si>
    <t>KS8</t>
  </si>
  <si>
    <r>
      <rPr>
        <sz val="12"/>
        <color rgb="FF000000"/>
        <rFont val="Times New Roman"/>
      </rPr>
      <t>H</t>
    </r>
    <r>
      <rPr>
        <sz val="11"/>
        <color rgb="FF000000"/>
        <rFont val="Times New Roman"/>
      </rPr>
      <t>CB (</t>
    </r>
    <r>
      <rPr>
        <sz val="12"/>
        <color rgb="FF000000"/>
        <rFont val="Times New Roman"/>
      </rPr>
      <t xml:space="preserve">Hệ số lương) </t>
    </r>
  </si>
  <si>
    <t>Quyết định 129/QĐ-BTTTT ngày 3/2/2021</t>
  </si>
  <si>
    <r>
      <rPr>
        <sz val="12"/>
        <color rgb="FF000000"/>
        <rFont val="Times New Roman"/>
      </rPr>
      <t>ML</t>
    </r>
    <r>
      <rPr>
        <sz val="11"/>
        <color rgb="FF000000"/>
        <rFont val="Times New Roman"/>
      </rPr>
      <t>CS</t>
    </r>
    <r>
      <rPr>
        <sz val="12"/>
        <color rgb="FF000000"/>
        <rFont val="Times New Roman"/>
      </rPr>
      <t xml:space="preserve"> (Mức lương cơ sở)</t>
    </r>
  </si>
  <si>
    <t>Nghị định 73/2024/NĐ-CP ngày 30/6/2023 của Thủ tướng Chính phủ quy định mức lương cơ sở đối với cán bộ, công chức, viên chức và lực lượng vũ trang</t>
  </si>
  <si>
    <r>
      <rPr>
        <sz val="12"/>
        <color rgb="FF000000"/>
        <rFont val="Times New Roman"/>
      </rPr>
      <t>H</t>
    </r>
    <r>
      <rPr>
        <sz val="11"/>
        <color rgb="FF000000"/>
        <rFont val="Times New Roman"/>
      </rPr>
      <t>ĐC (hệ số điều chỉnh tăng thêm tiền lương)</t>
    </r>
  </si>
  <si>
    <r>
      <rPr>
        <sz val="12"/>
        <color rgb="FF000000"/>
        <rFont val="Times New Roman"/>
      </rPr>
      <t>L</t>
    </r>
    <r>
      <rPr>
        <sz val="11"/>
        <color rgb="FF000000"/>
        <rFont val="Times New Roman"/>
      </rPr>
      <t>CB (lương cơ bản/tháng)</t>
    </r>
  </si>
  <si>
    <r>
      <rPr>
        <sz val="11"/>
        <color theme="1"/>
        <rFont val="Times New Roman"/>
      </rPr>
      <t>LCB=H</t>
    </r>
    <r>
      <rPr>
        <sz val="10"/>
        <color theme="1"/>
        <rFont val="Times New Roman"/>
      </rPr>
      <t>CB</t>
    </r>
    <r>
      <rPr>
        <sz val="11"/>
        <color theme="1"/>
        <rFont val="Times New Roman"/>
      </rPr>
      <t>*ML</t>
    </r>
    <r>
      <rPr>
        <sz val="10"/>
        <color theme="1"/>
        <rFont val="Times New Roman"/>
      </rPr>
      <t>CS</t>
    </r>
  </si>
  <si>
    <r>
      <rPr>
        <sz val="12"/>
        <color rgb="FF000000"/>
        <rFont val="Times New Roman"/>
      </rPr>
      <t>ML</t>
    </r>
    <r>
      <rPr>
        <sz val="11"/>
        <color rgb="FF000000"/>
        <rFont val="Times New Roman"/>
      </rPr>
      <t>CB</t>
    </r>
    <r>
      <rPr>
        <sz val="12"/>
        <color rgb="FF000000"/>
        <rFont val="Times New Roman"/>
      </rPr>
      <t xml:space="preserve"> (Mức lương cơ bản /tháng)</t>
    </r>
  </si>
  <si>
    <r>
      <rPr>
        <sz val="11"/>
        <color theme="1"/>
        <rFont val="Times New Roman"/>
      </rPr>
      <t>ML</t>
    </r>
    <r>
      <rPr>
        <sz val="10"/>
        <color theme="1"/>
        <rFont val="Times New Roman"/>
      </rPr>
      <t>CB</t>
    </r>
    <r>
      <rPr>
        <sz val="11"/>
        <color theme="1"/>
        <rFont val="Times New Roman"/>
      </rPr>
      <t>=H</t>
    </r>
    <r>
      <rPr>
        <sz val="10"/>
        <color theme="1"/>
        <rFont val="Times New Roman"/>
      </rPr>
      <t>CB</t>
    </r>
    <r>
      <rPr>
        <sz val="11"/>
        <color theme="1"/>
        <rFont val="Times New Roman"/>
      </rPr>
      <t>*ML</t>
    </r>
    <r>
      <rPr>
        <sz val="10"/>
        <color theme="1"/>
        <rFont val="Times New Roman"/>
      </rPr>
      <t>CS</t>
    </r>
    <r>
      <rPr>
        <sz val="11"/>
        <color theme="1"/>
        <rFont val="Times New Roman"/>
      </rPr>
      <t>*(1+HĐC)</t>
    </r>
  </si>
  <si>
    <r>
      <rPr>
        <sz val="12"/>
        <color rgb="FF000000"/>
        <rFont val="Times New Roman"/>
      </rPr>
      <t>L</t>
    </r>
    <r>
      <rPr>
        <sz val="11"/>
        <color rgb="FF000000"/>
        <rFont val="Times New Roman"/>
      </rPr>
      <t>TT</t>
    </r>
    <r>
      <rPr>
        <sz val="12"/>
        <color rgb="FF000000"/>
        <rFont val="Times New Roman"/>
      </rPr>
      <t xml:space="preserve"> (Mức lương tối thiểu vùng)</t>
    </r>
  </si>
  <si>
    <t>Mức lương tối thiểu vùng I</t>
  </si>
  <si>
    <r>
      <rPr>
        <sz val="12"/>
        <color rgb="FF000000"/>
        <rFont val="Times New Roman"/>
      </rPr>
      <t>BH</t>
    </r>
    <r>
      <rPr>
        <sz val="8"/>
        <color rgb="FF000000"/>
        <rFont val="Times New Roman"/>
      </rPr>
      <t>LĐ</t>
    </r>
    <r>
      <rPr>
        <sz val="12"/>
        <color rgb="FF000000"/>
        <rFont val="Times New Roman"/>
      </rPr>
      <t>: Chi phí BHXH, BHYT, BHTN, KPCĐ của người sử dụng lao động</t>
    </r>
  </si>
  <si>
    <t>BHXH: 17,5%; BHYT: 3%
BHTN: 1% (Quyết định 595/QĐ-BHXH ngày 14/4/2017), KPCD là 2% (Nghị định 191/2013/NĐ-CP ngày 21/11/2013)
Tổng là 23,5%
BHLĐ được tính như sau:
+ nếu LCB&lt;LTT thì BHLĐ=23,5%*LTT
+ Nếu LCB&gt;=LTT thì BHLĐ=23,5%*LCB</t>
  </si>
  <si>
    <t>Tổng lương/tháng</t>
  </si>
  <si>
    <t>MLCB+ BHLĐ</t>
  </si>
  <si>
    <t>Mức lương lao động/ngày</t>
  </si>
  <si>
    <r>
      <rPr>
        <sz val="11"/>
        <color theme="1"/>
        <rFont val="Times New Roman"/>
      </rPr>
      <t>=(MLCB+ BH</t>
    </r>
    <r>
      <rPr>
        <sz val="8"/>
        <color theme="1"/>
        <rFont val="Times New Roman"/>
      </rPr>
      <t>LĐ</t>
    </r>
    <r>
      <rPr>
        <sz val="11"/>
        <color theme="1"/>
        <rFont val="Times New Roman"/>
      </rPr>
      <t>)/26
- 1 tháng: 26 ngày làm việc</t>
    </r>
  </si>
  <si>
    <t>Mức lương lao động/giờ</t>
  </si>
  <si>
    <t>- Thời gian lao động 08 giờ/ngày</t>
  </si>
  <si>
    <t>Ghi chú:</t>
  </si>
  <si>
    <t>- Lương cơ sở: Nghị định số 24/2023/NĐ-CP ngày 14/5/2023
- Các chi phí bảo hiểm căn cứ theo Quyết định 595/QĐ-BHXH ngày 14/4/2017 của BHXHVN ban hành quy trình thu BHXH,, BHYT, BHTN, BHTN lao động-bệnh nghề nghiệp, quản lý số BHXH, thẻ BHYT
- Chi phí công đoàn căn cứ theo Nghị định 191/2013/NĐ-CP ngày 21/11/2013 quy định chi tiết về tài chính công đoàn
- Quyết định số 129/QĐ-BTTTT ngày 03/02/2021 ban hành hướng dẫn xác định đơn giá nhân công trong quản lý chi phí đầu tư ứng dụng CNTT</t>
  </si>
  <si>
    <t>Giải thích:</t>
  </si>
  <si>
    <t>BHXH</t>
  </si>
  <si>
    <t>BHYT</t>
  </si>
  <si>
    <t>Tiền lương tháng đóng BHYT là tiền lương tháng đóng BHXH</t>
  </si>
  <si>
    <t>Điều 18 Quyết định 595/QĐ-BHXH</t>
  </si>
  <si>
    <t>BHTN</t>
  </si>
  <si>
    <t>Tiền lương tháng đóng BHTN là tiền lương làm căn cứ đóng BHXH</t>
  </si>
  <si>
    <t>Điều 15 Quyết định 595/QĐ-BHXH</t>
  </si>
  <si>
    <t>KPCĐ</t>
  </si>
  <si>
    <t>Kinh phí công đoàn của người sử dụng lao động làm căn cứ đóng BHXH</t>
  </si>
  <si>
    <t>Điều 5   Nghị định 191/2013/NĐ-CP ngày 21/11/2013</t>
  </si>
  <si>
    <t>Vùng</t>
  </si>
  <si>
    <t>Nghị định 38/2022/NĐ-CP quy định về mức lương tối thiểu vùng áp dụng đối với người lao động làm việc theo hợp đồng lao động</t>
  </si>
  <si>
    <t>Mức lương tối thiểu vùng áp dụng đối với người lao động làm việc ở doanh nghiệp</t>
  </si>
  <si>
    <t>Nghị định số 73/2024/NĐ-CP ngày 30/6/2024</t>
  </si>
  <si>
    <t>Mức lương cơ sở 
(Từ ngày 01 tháng 7 năm 2024)</t>
  </si>
  <si>
    <t>Bậc thâm niên ngạch công nhân</t>
  </si>
  <si>
    <t>CN1</t>
  </si>
  <si>
    <t>CN2</t>
  </si>
  <si>
    <t>CN3</t>
  </si>
  <si>
    <t>CN4</t>
  </si>
  <si>
    <t>CN5</t>
  </si>
  <si>
    <t>CN6</t>
  </si>
  <si>
    <t>CN7</t>
  </si>
  <si>
    <t>Nghị định 24/2023/NĐ-CP ngày 14/5/2023 của Thủ tướng Chính phủ quy định mức lương cơ sở đối với cán bộ, công chức, viên chức và lực lượng vũ trang</t>
  </si>
  <si>
    <t>Quyết định 129/QĐ-BTTTT ngày 3/2/2021, với địa bàn vùng I</t>
  </si>
  <si>
    <t>Mức lương tối thiểu vùng I+ 7% (Quyết định 595/QĐ-BHXH ngày 14/4/2017) đối với Người lao động làm công việc hoặc chức danh đòi hỏi lao động qua đào tạo, học nghề (kể cả lao động do doanh nghiệp tự dạy nghề)</t>
  </si>
  <si>
    <t>2. Bảng số 1: Định mức chi phí quản lý dự án</t>
  </si>
  <si>
    <t>a) Hạng mục hạ tầng kỹ thuật công nghệ thông tin</t>
  </si>
  <si>
    <t>Đơn vị tính: tỷ lệ %</t>
  </si>
  <si>
    <t>Loại hạng mục</t>
  </si>
  <si>
    <t>Chi phí xây lắp và thiết bị (chưa có thuế GTGT) (tỷ đồng)</t>
  </si>
  <si>
    <t>≤ 7</t>
  </si>
  <si>
    <t>Hạng mục hạ tầng kỹ thuật công nghệ thông tin</t>
  </si>
  <si>
    <t>Hạng mục hạ tầng kỹ thuật công nghệ thông tin trong báo cáo Kinh tế - Kỹ thuật, ĐC DTCT</t>
  </si>
  <si>
    <t>Trường hợp báo cáo kinh tế - kỹ thuật, đề cương và dự toán chi tiết Hạng mục hạ tầng kỹ thuật công nghệ thông tin thì định mức chi phí quản lý dự án/chi phí quản lý tính bằng 0,84 lần định mức chi phí quản lý dự án, tương ứng với quy mô giá trị xây lắp và thiết bị.</t>
  </si>
  <si>
    <t>Trường hợp thuê dịch vụ Hạng mục hạ tầng kỹ thuật công nghệ thông tin có giá trị giá trị chi phí đầu tư xây dựng, phát triển hình thành dịch vụ công nghệ thông tin lớn hơn 15 tỷ thì định mức chi phí quản lý được tính bằng 0,84 lần định mức chi phí quản lý dự án Hạng mục hạ tầng kỹ thuật công nghệ thông tin, tương ứng với quy mô giá trị xây lắp và thiết bị.</t>
  </si>
  <si>
    <t>b) Hạng mục phần mềm nội bộ, cơ sở dữ liệu</t>
  </si>
  <si>
    <t>Chi phí thiết bị (chưa có thuế GTGT) (tỷ đồng)</t>
  </si>
  <si>
    <t>Hạng mục phần mềm nội bộ, cơ sở dữ liệu</t>
  </si>
  <si>
    <t>Hạng mục phần mềm nội bộ, cơ sở dữ liệu trong Báo cáo kinh tế - kỹ thuật</t>
  </si>
  <si>
    <t>Trường hợp đề cương và dự toán chi tiết Hạng mục phần mềm nội bộ, cơ sở dữ liệu thì định mức chi phí quản lý tính bằng định mức Hạng mục phần mềm nội bộ, cơ sở dữ liệu trong Báo cáo kinh tế - kỹ thuật tương ứng với quy mô giá trị thiết bị.</t>
  </si>
  <si>
    <t>Trường hợp thuê dịch vụ Hạng mục phần mềm nội bộ, cơ sở dữ liệu có giá trị chi phí đầu tư xây dựng, phát triển hình thành dịch vụ công nghệ thông tin lớn hơn 15 tỷ thì định mức chi phí quản lý được tính bằng định mức Hạng mục phần mềm nội bộ, cơ sở dữ liệu trong Báo cáo kinh tế - kỹ thuật tương ứng với quy mô giá trị thiết bị bằng 15 tỷ.</t>
  </si>
  <si>
    <t>2.2. Bảng số 2: Định mức chi phí lập dự án đầu tư</t>
  </si>
  <si>
    <t>Hạng mục hạ tầng kỹ thuật công nghệ thông tin về định mức chi phí lập BC Kinh tế - kỹ thuật</t>
  </si>
  <si>
    <t>Định mức chi phí lập báo cáo kinh tế - kỹ thuật, đề cương và dự toán chi tiết Hạng mục hạ tầng kỹ thuật công nghệ thông tin được tính bằng 1,65 lần định mức chi phí lập dự án đầu tư, tương ứng với quy mô giá trị xây lắp và thiết bị.</t>
  </si>
  <si>
    <t>Trường hợp thuê dịch vụ Hạng mục hạ tầng kỹ thuật công nghệ thông tin có giá trị chi phí đầu tư xây dựng, phát triển hình thành dịch vụ công nghệ thông tin lớn hơn 15 tỷ thì định mức chi phí lập kế hoạch thuê/dự án thuê được tính bằng 1,65 lần định mức chi phí lập dự án đầu tư Hạng mục hạ tầng kỹ thuật công nghệ thông tin, tương ứng với quy mô giá trị xây lắp và thiết bị.</t>
  </si>
  <si>
    <t>Định mức chi phí lập đề cương và dự toán chi tiết Hạng mục phần mềm nội bộ, cơ sở dữ liệu được tính bằng định mức chi phí lập báo cáo kinh tế kỹ thuật, tương ứng với quy mô giá trị thiết bị.</t>
  </si>
  <si>
    <t>Trường hợp thuê dịch vụ Hạng mục phần mềm nội bộ, cơ sở dữ liệu có giá trị chi phí đầu tư xây dựng, phát triển hình thành dịch vụ công nghệ thông tin lớn hơn 15 tỷ thì định mức chi phí lập kế hoạch thuê/dự án thuê được tính bằng định mức chi phí lập thiết kế thi công và dự toán Hạng mục phần mềm nội bộ, cơ sở dữ liệu (tại mục b Bảng số 3), tương ứng với quy mô giá trị xây lắp và thiết bị.</t>
  </si>
  <si>
    <t>- Việc xác định tỷ trọng chi phí để thực hiện phần thuyết minh, thiết kế sơ bộ và tổng mức đầu tư trong chi phí lập dự án đầu tư, tỷ trọng chi phí để thực hiện phần thuyết minh, thiết kế và dự toán trong chi phí lập báo cáo kinh tế - kỹ thuật do các bên giao nhận thầu thực hiện công việc trên thỏa thuận.</t>
  </si>
  <si>
    <t>- Chi phí lập dự án đầu tư, chi phí lập báo cáo kinh tế - kỹ thuật, lập đề cương và dự toán chi tiết xác định theo định mức nhưng tối thiểu không nhỏ hơn 10.000.000 đồng đối với lập báo cáo kinh tế - kỹ thuật và 5.000.000 đồng đối với lập đề cương và dự toán chi tiết (chưa bao gồm thuế giá trị gia tăng).</t>
  </si>
  <si>
    <t>3.2. Bảng số 3: Định mức chi phí lập thiết kế thi công và dự toán</t>
  </si>
  <si>
    <r>
      <rPr>
        <b/>
        <sz val="12"/>
        <rFont val="Times New Roman"/>
      </rPr>
      <t>Chi phí thiết bị</t>
    </r>
    <r>
      <rPr>
        <b/>
        <u/>
        <sz val="12"/>
        <color rgb="FF1155CC"/>
        <rFont val="Times New Roman"/>
      </rPr>
      <t>2</t>
    </r>
    <r>
      <rPr>
        <b/>
        <sz val="12"/>
        <rFont val="Times New Roman"/>
      </rPr>
      <t>3(chưa có thuế GTGT) (tỷ đồng)</t>
    </r>
  </si>
  <si>
    <t>4.2. Bảng số 4: Định mức chi phí thẩm tra tính hiệu quả và tính khả thi của dự án đầu tư</t>
  </si>
  <si>
    <t>Chi phí thẩm tra tính hiệu quả và tính khả thi của dự án đầu tư, báo cáo kinh tế - kỹ thuật, đề cương và dự toán chi tiết xác định theo định mức nhưng tối thiểu không nhỏ hơn 2.000.000 đồng (chưa bao gồm Thuế GTGT).</t>
  </si>
  <si>
    <t>Trường hợp thuê dịch vụ có giá trị chi phí đầu tư xây dựng, phát triển hình thành dịch vụ công nghệ thông tin tương ứng với từng hạng mục lớn hơn 15 tỷ thì định mức chi phí thẩm tra kế hoạch thuê/dự án thuê được tính bằng định mức chi phí thẩm tra tính hiệu quả và tính khả thi của dự án đầu tư, tương ứng với quy mô giá trị xây lắp và thiết bị.</t>
  </si>
  <si>
    <t>5.2. Bảng số 5: Định mức chi phí thẩm tra thiết kế thi công</t>
  </si>
  <si>
    <r>
      <rPr>
        <b/>
        <sz val="12"/>
        <rFont val="Times New Roman"/>
      </rPr>
      <t>Chi phí thiết bị</t>
    </r>
    <r>
      <rPr>
        <b/>
        <u/>
        <sz val="12"/>
        <color rgb="FF1155CC"/>
        <rFont val="Times New Roman"/>
      </rPr>
      <t>2</t>
    </r>
    <r>
      <rPr>
        <b/>
        <sz val="12"/>
        <rFont val="Times New Roman"/>
      </rPr>
      <t>6(chưa có thuế GTGT) (tỷ đồng)</t>
    </r>
  </si>
  <si>
    <t>Chi phí thẩm tra thiết kế xác định theo định mức nhưng tối thiểu không nhỏ hơn 2.000.000 đồng (chưa bao gồm Thuế GTGT).</t>
  </si>
  <si>
    <t>6.2. Bảng số 6: Định mức chi phí thẩm tra dự toán</t>
  </si>
  <si>
    <r>
      <rPr>
        <b/>
        <sz val="12"/>
        <rFont val="Times New Roman"/>
      </rPr>
      <t>Chi phí thiết bị</t>
    </r>
    <r>
      <rPr>
        <b/>
        <u/>
        <sz val="12"/>
        <color rgb="FF1155CC"/>
        <rFont val="Times New Roman"/>
      </rPr>
      <t>2</t>
    </r>
    <r>
      <rPr>
        <b/>
        <sz val="12"/>
        <rFont val="Times New Roman"/>
      </rPr>
      <t>9(chưa có thuế GTGT) (tỷ đồng)</t>
    </r>
  </si>
  <si>
    <t>Chi phí thẩm tra dự toán xác định theo định mức nhưng tối thiểu không nhỏ hơn 2.000.000 đồng (chưa bao gồm Thuế GTGT)</t>
  </si>
  <si>
    <t>7.2. Bảng số 7: Định mức chi phí lập hồ sơ mời thầu, đánh giá hồ sơ dự thầu xây lắp</t>
  </si>
  <si>
    <t>Chi phí xây lắp (chưa có thuế GTGT) (tỷ đồng)</t>
  </si>
  <si>
    <t>- Định mức chi phí lập hồ sơ mời thầu và đánh giá hồ sơ dự thầu xây lắp tính theo định mức tại bảng này và phân chia như sau:</t>
  </si>
  <si>
    <t>+ Lập hồ sơ mời thầu: 40%;</t>
  </si>
  <si>
    <t>+ Phân tích đánh giá hồ sơ dự thầu: 60%.</t>
  </si>
  <si>
    <t>- Trường hợp phải sơ tuyển thì bổ sung thêm chi phí bằng 15% của chi phí lập hồ sơ mời thầu và phân tích đánh giá hồ sơ dự thầu tính theo định mức tại bảng này.</t>
  </si>
  <si>
    <t>- Chi phí lập hồ sơ mời thầu và đánh giá hồ sơ dự thầu xây lắp xác định theo định mức nhưng tối thiểu không nhỏ hơn 5.000.000 đồng (chưa bao gồm Thuế GTGT).</t>
  </si>
  <si>
    <t>7.3. Bảng số 8: Định mức chi phí lập hồ sơ mời thầu, đánh giá hồ sơ dự thầu mua sắm thiết bị</t>
  </si>
  <si>
    <t>Hạng mục hệ thống hạ tầng kỹ thuật công nghệ thông tin</t>
  </si>
  <si>
    <t>- Định mức chi phí lập hồ sơ mời thầu và đánh giá hồ sơ dự thầu mua sắm thiết bị tính theo định mức tại bảng này và phân chia như sau:</t>
  </si>
  <si>
    <t>- Chi phí lập hồ sơ mời thầu và đánh giá hồ sơ dự thầu mua sắm thiết bị xác định theo định mức nhưng tối thiểu không nhỏ hơn 5.000.000 đồng (chưa bao gồm Thuế GTGT).</t>
  </si>
  <si>
    <t>8.2. Bảng số 9: Định mức Chi phí giám sát thi công</t>
  </si>
  <si>
    <t>Loại dự án</t>
  </si>
  <si>
    <t>Chi phí xây lắp và chi phí thiết bị (chưa có thuế GTGT) (tỷ đồng)</t>
  </si>
  <si>
    <t>Chi phí giám sát thi công xác định theo định mức nhưng tối thiểu không nhỏ hơn 10.000.000 triệu đồng chưa bao gồm thuế GTGT).</t>
  </si>
  <si>
    <t>Trường hợp thuê dịch vụ có giá trị chi phí đầu tư xây dựng, phát triển hình thành dịch vụ công nghệ thông tin tương ứng với từng hạng mục lớn hơn 15 tỷ thì định mức giám sát được tính bằng định mức chi phí giám sát thi công của dự án đầu tư, tương ứng với quy mô giá trị xây lắp và thiết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</si>
</sst>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_(* #,##0_);_(* \(#,##0\);_(* &quot;-&quot;??_);_(@_)"/>
    <numFmt numFmtId="166" formatCode="_(* #,##0.000_);_(* \(#,##0.000\);_(* &quot;-&quot;??_);_(@_)"/>
    <numFmt numFmtId="167" formatCode="_(* #,##0.0000_);_(* \(#,##0.0000\);_(* &quot;-&quot;??_);_(@_)"/>
    <numFmt numFmtId="168" formatCode="0.0"/>
    <numFmt numFmtId="169" formatCode="0.0000"/>
    <numFmt numFmtId="170" formatCode="0.000"/>
  </numFmts>
  <fonts count="47">
    <font>
      <sz val="14"/>
      <color theme="1"/>
      <name val="Times New Roman"/>
      <scheme val="minor"/>
    </font>
    <font>
      <sz val="12"/>
      <color theme="1"/>
      <name val="Times New Roman"/>
    </font>
    <font>
      <b/>
      <sz val="12"/>
      <color theme="1"/>
      <name val="Times New Roman"/>
    </font>
    <font>
      <i/>
      <sz val="12"/>
      <color theme="1"/>
      <name val="Times New Roman"/>
    </font>
    <font>
      <sz val="14"/>
      <name val="Times New Roman"/>
    </font>
    <font>
      <sz val="14"/>
      <color theme="1"/>
      <name val="Times New Roman"/>
    </font>
    <font>
      <b/>
      <sz val="13"/>
      <color theme="1"/>
      <name val="Times New Roman"/>
    </font>
    <font>
      <sz val="13"/>
      <color theme="1"/>
      <name val="Times New Roman"/>
    </font>
    <font>
      <i/>
      <sz val="13"/>
      <color theme="1"/>
      <name val="Times New Roman"/>
    </font>
    <font>
      <b/>
      <sz val="13"/>
      <color rgb="FF000000"/>
      <name val="Times New Roman"/>
    </font>
    <font>
      <sz val="13"/>
      <color rgb="FF000000"/>
      <name val="Times New Roman"/>
    </font>
    <font>
      <b/>
      <sz val="14"/>
      <color theme="1"/>
      <name val="Times New Roman"/>
    </font>
    <font>
      <b/>
      <i/>
      <sz val="12"/>
      <color theme="1"/>
      <name val="Times New Roman"/>
    </font>
    <font>
      <sz val="13"/>
      <color rgb="FFFF0000"/>
      <name val="Times New Roman"/>
    </font>
    <font>
      <strike/>
      <sz val="13"/>
      <color rgb="FFFF0000"/>
      <name val="Times New Roman"/>
    </font>
    <font>
      <sz val="13"/>
      <color theme="4"/>
      <name val="Times New Roman"/>
    </font>
    <font>
      <sz val="13"/>
      <color rgb="FF0000FF"/>
      <name val="Times New Roman"/>
    </font>
    <font>
      <b/>
      <strike/>
      <sz val="13"/>
      <color rgb="FFFF0000"/>
      <name val="Times New Roman"/>
    </font>
    <font>
      <sz val="12"/>
      <color theme="1"/>
      <name val="Arial"/>
    </font>
    <font>
      <b/>
      <sz val="12"/>
      <color theme="1"/>
      <name val="Arial"/>
    </font>
    <font>
      <sz val="13"/>
      <color rgb="FF000000"/>
      <name val="Calibri"/>
    </font>
    <font>
      <sz val="12"/>
      <color rgb="FF0000FF"/>
      <name val="Arial"/>
    </font>
    <font>
      <i/>
      <sz val="13"/>
      <color rgb="FF000000"/>
      <name val="Times New Roman"/>
    </font>
    <font>
      <b/>
      <sz val="16"/>
      <color theme="1"/>
      <name val="Times New Roman"/>
    </font>
    <font>
      <sz val="12"/>
      <color rgb="FFFF0000"/>
      <name val="Times New Roman"/>
    </font>
    <font>
      <sz val="13"/>
      <color theme="1"/>
      <name val="Arial"/>
    </font>
    <font>
      <sz val="11"/>
      <color theme="1"/>
      <name val="Arial"/>
    </font>
    <font>
      <sz val="11"/>
      <color theme="1"/>
      <name val="Calibri"/>
    </font>
    <font>
      <b/>
      <sz val="12"/>
      <color rgb="FF000000"/>
      <name val="Times New Roman"/>
    </font>
    <font>
      <sz val="12"/>
      <color rgb="FF000000"/>
      <name val="Times New Roman"/>
    </font>
    <font>
      <sz val="10"/>
      <color theme="1"/>
      <name val="Times New Roman"/>
    </font>
    <font>
      <sz val="10"/>
      <color theme="1"/>
      <name val="Arial"/>
    </font>
    <font>
      <i/>
      <sz val="14"/>
      <color theme="1"/>
      <name val="Times New Roman"/>
    </font>
    <font>
      <sz val="11"/>
      <color theme="1"/>
      <name val="Times New Roman"/>
    </font>
    <font>
      <i/>
      <u/>
      <sz val="14"/>
      <color rgb="FF000000"/>
      <name val="Times New Roman"/>
    </font>
    <font>
      <b/>
      <i/>
      <u/>
      <sz val="12"/>
      <color rgb="FF000000"/>
      <name val="Times New Roman"/>
    </font>
    <font>
      <b/>
      <u/>
      <sz val="12"/>
      <color rgb="FF0000FF"/>
      <name val="Times New Roman"/>
    </font>
    <font>
      <b/>
      <sz val="13"/>
      <color rgb="FF0000FF"/>
      <name val="Times New Roman"/>
    </font>
    <font>
      <strike/>
      <sz val="13"/>
      <color rgb="FF000000"/>
      <name val="Times New Roman"/>
    </font>
    <font>
      <b/>
      <strike/>
      <sz val="13"/>
      <color rgb="FF000000"/>
      <name val="Times New Roman"/>
    </font>
    <font>
      <strike/>
      <sz val="13"/>
      <color rgb="FF0000FF"/>
      <name val="Times New Roman"/>
    </font>
    <font>
      <b/>
      <vertAlign val="subscript"/>
      <sz val="12"/>
      <color theme="1"/>
      <name val="Times New Roman"/>
    </font>
    <font>
      <sz val="11"/>
      <color rgb="FF000000"/>
      <name val="Times New Roman"/>
    </font>
    <font>
      <sz val="8"/>
      <color rgb="FF000000"/>
      <name val="Times New Roman"/>
    </font>
    <font>
      <sz val="8"/>
      <color theme="1"/>
      <name val="Times New Roman"/>
    </font>
    <font>
      <b/>
      <sz val="12"/>
      <name val="Times New Roman"/>
    </font>
    <font>
      <b/>
      <u/>
      <sz val="12"/>
      <color rgb="FF1155CC"/>
      <name val="Times New Roman"/>
    </font>
  </fonts>
  <fills count="21">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D6DCE4"/>
        <bgColor rgb="FFD6DCE4"/>
      </patternFill>
    </fill>
    <fill>
      <patternFill patternType="solid">
        <fgColor rgb="FFFFC000"/>
        <bgColor rgb="FFFFC000"/>
      </patternFill>
    </fill>
    <fill>
      <patternFill patternType="solid">
        <fgColor rgb="FFFFFF00"/>
        <bgColor rgb="FFFFFF00"/>
      </patternFill>
    </fill>
    <fill>
      <patternFill patternType="solid">
        <fgColor rgb="FFD8D8D8"/>
        <bgColor rgb="FFD8D8D8"/>
      </patternFill>
    </fill>
    <fill>
      <patternFill patternType="solid">
        <fgColor rgb="FFD0CECE"/>
        <bgColor rgb="FFD0CECE"/>
      </patternFill>
    </fill>
    <fill>
      <patternFill patternType="solid">
        <fgColor rgb="FFFF9900"/>
        <bgColor rgb="FFFF9900"/>
      </patternFill>
    </fill>
    <fill>
      <patternFill patternType="solid">
        <fgColor rgb="FFF2F2F2"/>
        <bgColor rgb="FFF2F2F2"/>
      </patternFill>
    </fill>
    <fill>
      <patternFill patternType="solid">
        <fgColor rgb="FFFFF2CC"/>
        <bgColor rgb="FFFFF2CC"/>
      </patternFill>
    </fill>
    <fill>
      <patternFill patternType="solid">
        <fgColor theme="9"/>
        <bgColor theme="9"/>
      </patternFill>
    </fill>
    <fill>
      <patternFill patternType="solid">
        <fgColor rgb="FFD9E2F3"/>
        <bgColor rgb="FFD9E2F3"/>
      </patternFill>
    </fill>
    <fill>
      <patternFill patternType="solid">
        <fgColor rgb="FFCCFFFF"/>
        <bgColor rgb="FFCCFFFF"/>
      </patternFill>
    </fill>
    <fill>
      <patternFill patternType="solid">
        <fgColor rgb="FFFEF2CB"/>
        <bgColor rgb="FFFEF2CB"/>
      </patternFill>
    </fill>
    <fill>
      <patternFill patternType="solid">
        <fgColor rgb="FFFFCC99"/>
        <bgColor rgb="FFFFCC99"/>
      </patternFill>
    </fill>
    <fill>
      <patternFill patternType="solid">
        <fgColor rgb="FFC8C8C8"/>
        <bgColor rgb="FFC8C8C8"/>
      </patternFill>
    </fill>
    <fill>
      <patternFill patternType="solid">
        <fgColor theme="0"/>
        <bgColor theme="0"/>
      </patternFill>
    </fill>
    <fill>
      <patternFill patternType="solid">
        <fgColor rgb="FFB4C6E7"/>
        <bgColor rgb="FFB4C6E7"/>
      </patternFill>
    </fill>
    <fill>
      <patternFill patternType="solid">
        <fgColor rgb="FFA5A5A5"/>
        <bgColor rgb="FFA5A5A5"/>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392">
    <xf numFmtId="0" fontId="0" fillId="0" borderId="0" xfId="0"/>
    <xf numFmtId="0" fontId="1" fillId="0" borderId="0" xfId="0" applyFont="1"/>
    <xf numFmtId="0" fontId="2" fillId="0" borderId="0" xfId="0" applyFont="1"/>
    <xf numFmtId="0" fontId="1" fillId="0" borderId="1" xfId="0" applyFont="1" applyBorder="1"/>
    <xf numFmtId="0" fontId="2" fillId="0" borderId="1" xfId="0" applyFont="1" applyBorder="1" applyAlignment="1">
      <alignment horizontal="center"/>
    </xf>
    <xf numFmtId="0" fontId="2" fillId="0" borderId="1" xfId="0" applyFont="1" applyBorder="1"/>
    <xf numFmtId="0" fontId="1" fillId="0" borderId="1" xfId="0" applyFont="1" applyBorder="1" applyAlignment="1">
      <alignment horizontal="center"/>
    </xf>
    <xf numFmtId="0" fontId="5" fillId="0" borderId="0" xfId="0" applyFont="1"/>
    <xf numFmtId="0" fontId="6" fillId="0" borderId="0" xfId="0" applyFont="1" applyAlignment="1">
      <alignment horizontal="center" vertical="center" wrapText="1"/>
    </xf>
    <xf numFmtId="0" fontId="7" fillId="0" borderId="0" xfId="0" applyFont="1"/>
    <xf numFmtId="0" fontId="7" fillId="0" borderId="0" xfId="0" applyFont="1" applyAlignment="1">
      <alignment horizontal="center"/>
    </xf>
    <xf numFmtId="0" fontId="6"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xf>
    <xf numFmtId="0" fontId="7" fillId="0" borderId="1" xfId="0" applyFont="1" applyBorder="1" applyAlignment="1">
      <alignment horizontal="center"/>
    </xf>
    <xf numFmtId="1" fontId="7" fillId="0" borderId="1" xfId="0" applyNumberFormat="1" applyFont="1" applyBorder="1" applyAlignment="1">
      <alignment horizontal="right" vertical="center"/>
    </xf>
    <xf numFmtId="0" fontId="6" fillId="0" borderId="1" xfId="0" applyFont="1" applyBorder="1" applyAlignment="1">
      <alignment horizontal="center"/>
    </xf>
    <xf numFmtId="0" fontId="7" fillId="0" borderId="1" xfId="0" applyFont="1" applyBorder="1" applyAlignment="1">
      <alignment horizontal="center" vertical="center"/>
    </xf>
    <xf numFmtId="0" fontId="7" fillId="0" borderId="1" xfId="0" applyFont="1" applyBorder="1" applyAlignment="1">
      <alignment horizontal="left" wrapText="1"/>
    </xf>
    <xf numFmtId="165" fontId="7" fillId="0" borderId="1" xfId="0" applyNumberFormat="1" applyFont="1" applyBorder="1" applyAlignment="1">
      <alignment horizontal="right"/>
    </xf>
    <xf numFmtId="0" fontId="7" fillId="0" borderId="1" xfId="0" applyFont="1" applyBorder="1" applyAlignment="1">
      <alignment wrapText="1"/>
    </xf>
    <xf numFmtId="0" fontId="7" fillId="0" borderId="1" xfId="0" applyFont="1" applyBorder="1" applyAlignment="1">
      <alignment horizontal="left"/>
    </xf>
    <xf numFmtId="166" fontId="7" fillId="0" borderId="1" xfId="0" applyNumberFormat="1" applyFont="1" applyBorder="1" applyAlignment="1">
      <alignment horizontal="right"/>
    </xf>
    <xf numFmtId="167" fontId="7" fillId="0" borderId="1" xfId="0" applyNumberFormat="1" applyFont="1" applyBorder="1" applyAlignment="1">
      <alignment horizontal="right"/>
    </xf>
    <xf numFmtId="0" fontId="7" fillId="0" borderId="1" xfId="0" applyFont="1" applyBorder="1" applyAlignment="1">
      <alignment horizontal="left" vertical="center" wrapText="1"/>
    </xf>
    <xf numFmtId="0" fontId="10" fillId="0" borderId="1" xfId="0" applyFont="1" applyBorder="1" applyAlignment="1">
      <alignment horizontal="left" wrapText="1"/>
    </xf>
    <xf numFmtId="43" fontId="7" fillId="0" borderId="1" xfId="0" applyNumberFormat="1" applyFont="1" applyBorder="1" applyAlignment="1">
      <alignment horizontal="right"/>
    </xf>
    <xf numFmtId="0" fontId="6" fillId="0" borderId="1" xfId="0" applyFont="1" applyBorder="1" applyAlignment="1">
      <alignment vertical="center" wrapText="1"/>
    </xf>
    <xf numFmtId="0" fontId="6" fillId="0" borderId="1" xfId="0" applyFont="1" applyBorder="1" applyAlignment="1">
      <alignment horizontal="left" wrapText="1"/>
    </xf>
    <xf numFmtId="165" fontId="6" fillId="0" borderId="1" xfId="0" applyNumberFormat="1" applyFont="1" applyBorder="1" applyAlignment="1">
      <alignment horizontal="right"/>
    </xf>
    <xf numFmtId="0" fontId="6" fillId="0" borderId="0" xfId="0" applyFont="1"/>
    <xf numFmtId="0" fontId="6" fillId="0" borderId="1" xfId="0" applyFont="1" applyBorder="1" applyAlignment="1">
      <alignment horizontal="left" vertical="center" wrapText="1"/>
    </xf>
    <xf numFmtId="165" fontId="6" fillId="0" borderId="1" xfId="0" applyNumberFormat="1" applyFont="1" applyBorder="1" applyAlignment="1">
      <alignment horizontal="right" vertical="center"/>
    </xf>
    <xf numFmtId="165" fontId="6" fillId="0" borderId="0" xfId="0" applyNumberFormat="1" applyFont="1"/>
    <xf numFmtId="43" fontId="6" fillId="0" borderId="0" xfId="0" applyNumberFormat="1" applyFont="1"/>
    <xf numFmtId="0" fontId="8" fillId="0" borderId="0" xfId="0" applyFont="1" applyAlignment="1">
      <alignment vertical="center"/>
    </xf>
    <xf numFmtId="0" fontId="8" fillId="0" borderId="0" xfId="0" applyFont="1" applyAlignment="1">
      <alignment horizontal="right" vertical="center"/>
    </xf>
    <xf numFmtId="0" fontId="8" fillId="0" borderId="0" xfId="0" applyFont="1" applyAlignment="1">
      <alignment horizontal="center" vertical="center"/>
    </xf>
    <xf numFmtId="0" fontId="9" fillId="4" borderId="1" xfId="0" applyFont="1" applyFill="1" applyBorder="1" applyAlignment="1">
      <alignment horizontal="right" vertical="center" wrapText="1"/>
    </xf>
    <xf numFmtId="0" fontId="6" fillId="0" borderId="1" xfId="0" applyFont="1" applyBorder="1" applyAlignment="1">
      <alignment wrapText="1"/>
    </xf>
    <xf numFmtId="0" fontId="7" fillId="0" borderId="1" xfId="0" applyFont="1" applyBorder="1" applyAlignment="1">
      <alignment horizontal="center" wrapText="1"/>
    </xf>
    <xf numFmtId="0" fontId="6" fillId="0" borderId="1" xfId="0" applyFont="1" applyBorder="1" applyAlignment="1">
      <alignment horizontal="center" wrapText="1"/>
    </xf>
    <xf numFmtId="0" fontId="7" fillId="0" borderId="0" xfId="0" applyFont="1" applyAlignment="1">
      <alignment horizontal="right"/>
    </xf>
    <xf numFmtId="165" fontId="6"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0" xfId="0" applyFont="1" applyAlignment="1">
      <alignment horizontal="left"/>
    </xf>
    <xf numFmtId="0" fontId="10" fillId="0" borderId="0" xfId="0" applyFont="1" applyAlignment="1">
      <alignment horizontal="center"/>
    </xf>
    <xf numFmtId="0" fontId="7" fillId="0" borderId="0" xfId="0" applyFont="1" applyAlignment="1">
      <alignment horizontal="left" wrapText="1"/>
    </xf>
    <xf numFmtId="0" fontId="1" fillId="0" borderId="1" xfId="0" applyFont="1" applyBorder="1" applyAlignment="1">
      <alignment vertical="top" wrapText="1"/>
    </xf>
    <xf numFmtId="0" fontId="1" fillId="0" borderId="0" xfId="0" applyFont="1" applyAlignment="1">
      <alignment wrapText="1"/>
    </xf>
    <xf numFmtId="0" fontId="2" fillId="5" borderId="1" xfId="0" applyFont="1" applyFill="1" applyBorder="1" applyAlignment="1">
      <alignment horizontal="center" vertical="center"/>
    </xf>
    <xf numFmtId="0" fontId="12" fillId="5" borderId="1" xfId="0" applyFont="1" applyFill="1" applyBorder="1" applyAlignment="1">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wrapText="1"/>
    </xf>
    <xf numFmtId="0" fontId="1" fillId="0" borderId="1" xfId="0" applyFont="1" applyBorder="1" applyAlignment="1">
      <alignment horizontal="left"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wrapText="1"/>
    </xf>
    <xf numFmtId="0" fontId="1" fillId="0" borderId="1" xfId="0" applyFont="1" applyBorder="1" applyAlignment="1">
      <alignment vertical="center"/>
    </xf>
    <xf numFmtId="0" fontId="2" fillId="0" borderId="1" xfId="0" applyFont="1" applyBorder="1" applyAlignment="1">
      <alignment horizontal="right"/>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right"/>
    </xf>
    <xf numFmtId="0" fontId="1" fillId="0" borderId="0" xfId="0" applyFont="1" applyAlignment="1">
      <alignment horizontal="center"/>
    </xf>
    <xf numFmtId="0" fontId="1" fillId="0" borderId="1" xfId="0" applyFont="1" applyBorder="1" applyAlignment="1">
      <alignment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10" fillId="0" borderId="0" xfId="0" applyFont="1" applyAlignment="1">
      <alignment horizontal="left" vertical="center" wrapText="1"/>
    </xf>
    <xf numFmtId="37" fontId="7" fillId="0" borderId="0" xfId="0" applyNumberFormat="1" applyFont="1" applyAlignment="1">
      <alignment horizontal="left" vertical="center" wrapText="1"/>
    </xf>
    <xf numFmtId="0" fontId="6" fillId="0" borderId="0" xfId="0" applyFont="1" applyAlignment="1">
      <alignment horizontal="left" vertical="center" wrapText="1"/>
    </xf>
    <xf numFmtId="0" fontId="7" fillId="0" borderId="1" xfId="0" applyFont="1" applyBorder="1" applyAlignment="1">
      <alignment horizontal="center" vertical="center" wrapText="1"/>
    </xf>
    <xf numFmtId="0" fontId="13" fillId="0" borderId="0" xfId="0" applyFont="1" applyAlignment="1">
      <alignment horizontal="left" vertical="center" wrapText="1"/>
    </xf>
    <xf numFmtId="0" fontId="9" fillId="0" borderId="0" xfId="0" applyFont="1" applyAlignment="1">
      <alignment horizontal="left" vertical="center" wrapText="1"/>
    </xf>
    <xf numFmtId="0" fontId="14" fillId="0" borderId="0" xfId="0" applyFont="1" applyAlignment="1">
      <alignment horizontal="left"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5" fillId="0" borderId="0" xfId="0" applyFont="1" applyAlignment="1">
      <alignment horizontal="left" vertical="center" wrapText="1"/>
    </xf>
    <xf numFmtId="0" fontId="6" fillId="9" borderId="1" xfId="0" applyFont="1" applyFill="1" applyBorder="1" applyAlignment="1">
      <alignment horizontal="center" vertical="center"/>
    </xf>
    <xf numFmtId="0" fontId="9" fillId="9" borderId="1" xfId="0" applyFont="1" applyFill="1" applyBorder="1" applyAlignment="1">
      <alignmen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vertical="center" wrapText="1"/>
    </xf>
    <xf numFmtId="0" fontId="6" fillId="0" borderId="1" xfId="0" applyFont="1" applyBorder="1" applyAlignment="1">
      <alignment vertical="center"/>
    </xf>
    <xf numFmtId="0" fontId="6"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horizontal="center" vertical="center"/>
    </xf>
    <xf numFmtId="0" fontId="9" fillId="10" borderId="1" xfId="0" applyFont="1" applyFill="1" applyBorder="1" applyAlignment="1">
      <alignment vertical="center" wrapText="1"/>
    </xf>
    <xf numFmtId="0" fontId="9" fillId="10" borderId="1" xfId="0" applyFont="1" applyFill="1" applyBorder="1" applyAlignment="1">
      <alignment horizontal="center" vertic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vertical="center" wrapText="1"/>
    </xf>
    <xf numFmtId="0" fontId="10"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10" fillId="3" borderId="1" xfId="0" applyFont="1" applyFill="1" applyBorder="1" applyAlignment="1">
      <alignment vertical="center" wrapText="1"/>
    </xf>
    <xf numFmtId="0" fontId="10" fillId="0" borderId="1" xfId="0" applyFont="1" applyBorder="1" applyAlignment="1">
      <alignment horizontal="left" vertical="center" wrapText="1"/>
    </xf>
    <xf numFmtId="0" fontId="9" fillId="11"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3" borderId="1" xfId="0" applyFont="1" applyFill="1" applyBorder="1" applyAlignment="1">
      <alignment horizontal="left" vertical="center" wrapText="1"/>
    </xf>
    <xf numFmtId="0" fontId="7" fillId="0" borderId="0" xfId="0" applyFont="1" applyAlignment="1">
      <alignment vertical="center"/>
    </xf>
    <xf numFmtId="0" fontId="7" fillId="0" borderId="1" xfId="0" applyFont="1" applyBorder="1" applyAlignment="1">
      <alignment vertical="center"/>
    </xf>
    <xf numFmtId="0" fontId="10" fillId="3" borderId="3" xfId="0" applyFont="1" applyFill="1" applyBorder="1" applyAlignment="1">
      <alignment horizontal="center" vertical="center"/>
    </xf>
    <xf numFmtId="0" fontId="14" fillId="3" borderId="1" xfId="0" applyFont="1" applyFill="1" applyBorder="1" applyAlignment="1">
      <alignment horizontal="left" vertical="center" wrapText="1"/>
    </xf>
    <xf numFmtId="0" fontId="10" fillId="3" borderId="4" xfId="0" applyFont="1" applyFill="1" applyBorder="1" applyAlignment="1">
      <alignment horizontal="center" vertical="center"/>
    </xf>
    <xf numFmtId="0" fontId="7" fillId="3"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0" fillId="3" borderId="5" xfId="0" applyFont="1" applyFill="1" applyBorder="1" applyAlignment="1">
      <alignment horizontal="left" vertical="center" wrapText="1"/>
    </xf>
    <xf numFmtId="0" fontId="10" fillId="3" borderId="5" xfId="0" applyFont="1" applyFill="1" applyBorder="1" applyAlignment="1">
      <alignment vertical="center" wrapText="1"/>
    </xf>
    <xf numFmtId="0" fontId="7" fillId="0" borderId="5" xfId="0" applyFont="1" applyBorder="1" applyAlignment="1">
      <alignment horizontal="left" vertical="center" wrapText="1"/>
    </xf>
    <xf numFmtId="0" fontId="13" fillId="0" borderId="5" xfId="0" applyFont="1" applyBorder="1" applyAlignment="1">
      <alignment horizontal="left" vertical="center" wrapText="1"/>
    </xf>
    <xf numFmtId="0" fontId="9" fillId="3" borderId="5"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16" fillId="0" borderId="1" xfId="0" applyFont="1" applyBorder="1" applyAlignment="1">
      <alignment vertical="center" wrapText="1"/>
    </xf>
    <xf numFmtId="0" fontId="16" fillId="3" borderId="1" xfId="0" applyFont="1" applyFill="1" applyBorder="1" applyAlignment="1">
      <alignment vertical="center" wrapText="1"/>
    </xf>
    <xf numFmtId="0" fontId="13" fillId="3" borderId="1" xfId="0" applyFont="1" applyFill="1" applyBorder="1" applyAlignment="1">
      <alignment vertical="center" wrapText="1"/>
    </xf>
    <xf numFmtId="0" fontId="9" fillId="3" borderId="5" xfId="0" applyFont="1" applyFill="1" applyBorder="1" applyAlignment="1">
      <alignment vertical="center" wrapText="1"/>
    </xf>
    <xf numFmtId="0" fontId="7" fillId="0" borderId="5" xfId="0" applyFont="1" applyBorder="1" applyAlignment="1">
      <alignment vertical="center" wrapText="1"/>
    </xf>
    <xf numFmtId="0" fontId="7" fillId="3" borderId="1" xfId="0" applyFont="1" applyFill="1" applyBorder="1" applyAlignment="1">
      <alignment vertical="center" wrapText="1"/>
    </xf>
    <xf numFmtId="0" fontId="7" fillId="3" borderId="5" xfId="0" applyFont="1" applyFill="1" applyBorder="1" applyAlignment="1">
      <alignment vertical="center" wrapText="1"/>
    </xf>
    <xf numFmtId="0" fontId="14" fillId="3" borderId="5" xfId="0" applyFont="1" applyFill="1" applyBorder="1" applyAlignment="1">
      <alignment horizontal="left" vertical="center" wrapText="1"/>
    </xf>
    <xf numFmtId="0" fontId="7" fillId="3" borderId="4" xfId="0" applyFont="1" applyFill="1" applyBorder="1" applyAlignment="1">
      <alignment horizontal="center" vertical="center"/>
    </xf>
    <xf numFmtId="0" fontId="14" fillId="3" borderId="1" xfId="0" applyFont="1" applyFill="1" applyBorder="1" applyAlignment="1">
      <alignment vertical="center" wrapText="1"/>
    </xf>
    <xf numFmtId="0" fontId="14"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4" fillId="3" borderId="5" xfId="0" applyFont="1" applyFill="1" applyBorder="1" applyAlignment="1">
      <alignment vertical="center" wrapText="1"/>
    </xf>
    <xf numFmtId="0" fontId="14" fillId="3" borderId="6" xfId="0" applyFont="1" applyFill="1" applyBorder="1" applyAlignment="1">
      <alignment vertical="center" wrapText="1"/>
    </xf>
    <xf numFmtId="0" fontId="16" fillId="0" borderId="1" xfId="0" applyFont="1" applyBorder="1"/>
    <xf numFmtId="0" fontId="5" fillId="3" borderId="1" xfId="0" applyFont="1" applyFill="1" applyBorder="1"/>
    <xf numFmtId="0" fontId="5" fillId="0" borderId="1" xfId="0" applyFont="1" applyBorder="1"/>
    <xf numFmtId="0" fontId="16" fillId="3" borderId="1" xfId="0" applyFont="1" applyFill="1" applyBorder="1" applyAlignment="1">
      <alignment wrapText="1"/>
    </xf>
    <xf numFmtId="0" fontId="13" fillId="6"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13" fillId="0" borderId="1" xfId="0" applyFont="1" applyBorder="1" applyAlignment="1">
      <alignment vertical="center" wrapText="1"/>
    </xf>
    <xf numFmtId="0" fontId="13"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7" fillId="3" borderId="0" xfId="0" applyFont="1" applyFill="1" applyAlignment="1">
      <alignment horizontal="left" vertical="center" wrapText="1"/>
    </xf>
    <xf numFmtId="0" fontId="10"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vertical="center" wrapText="1"/>
    </xf>
    <xf numFmtId="0" fontId="18" fillId="0" borderId="0" xfId="0" applyFont="1"/>
    <xf numFmtId="0" fontId="18" fillId="0" borderId="0" xfId="0" applyFont="1" applyAlignment="1">
      <alignment horizontal="center"/>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xf>
    <xf numFmtId="0" fontId="11" fillId="0" borderId="0" xfId="0" applyFont="1" applyAlignment="1">
      <alignment horizontal="center" vertical="center"/>
    </xf>
    <xf numFmtId="0" fontId="11" fillId="0" borderId="0" xfId="0" applyFont="1"/>
    <xf numFmtId="0" fontId="11" fillId="6" borderId="3" xfId="0" applyFont="1" applyFill="1" applyBorder="1"/>
    <xf numFmtId="0" fontId="5" fillId="0" borderId="0" xfId="0" applyFont="1" applyAlignment="1">
      <alignment horizontal="center" vertical="center"/>
    </xf>
    <xf numFmtId="165" fontId="2" fillId="6" borderId="3" xfId="0" applyNumberFormat="1" applyFont="1" applyFill="1" applyBorder="1" applyAlignment="1">
      <alignment horizontal="right"/>
    </xf>
    <xf numFmtId="0" fontId="19" fillId="0" borderId="0" xfId="0" applyFont="1"/>
    <xf numFmtId="0" fontId="18" fillId="12" borderId="7" xfId="0" applyFont="1" applyFill="1" applyBorder="1"/>
    <xf numFmtId="0" fontId="18" fillId="0" borderId="1" xfId="0" applyFont="1" applyBorder="1" applyAlignment="1">
      <alignment horizontal="left" vertical="center" wrapText="1"/>
    </xf>
    <xf numFmtId="2" fontId="1" fillId="0" borderId="1" xfId="0" applyNumberFormat="1" applyFont="1" applyBorder="1" applyAlignment="1">
      <alignment horizontal="center" vertical="center" wrapText="1"/>
    </xf>
    <xf numFmtId="169"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0" fontId="20" fillId="0" borderId="0" xfId="0" applyFont="1" applyAlignment="1">
      <alignment vertical="center"/>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9" fillId="13" borderId="1" xfId="0"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1" fillId="0" borderId="0" xfId="0" applyFont="1" applyAlignment="1">
      <alignment vertical="top" wrapText="1"/>
    </xf>
    <xf numFmtId="0" fontId="23" fillId="0" borderId="0" xfId="0" applyFont="1" applyAlignment="1">
      <alignment vertical="center"/>
    </xf>
    <xf numFmtId="0" fontId="23" fillId="0" borderId="0" xfId="0" applyFont="1"/>
    <xf numFmtId="0" fontId="2" fillId="4" borderId="12" xfId="0" applyFont="1" applyFill="1" applyBorder="1" applyAlignment="1">
      <alignment horizontal="center" vertical="center" wrapText="1"/>
    </xf>
    <xf numFmtId="0" fontId="24" fillId="0" borderId="1" xfId="0" applyFont="1" applyBorder="1" applyAlignment="1">
      <alignment horizontal="center" vertical="center" wrapText="1"/>
    </xf>
    <xf numFmtId="165" fontId="2" fillId="6" borderId="1" xfId="0" applyNumberFormat="1" applyFont="1" applyFill="1" applyBorder="1" applyAlignment="1">
      <alignment horizontal="right" vertical="top" wrapText="1"/>
    </xf>
    <xf numFmtId="0" fontId="1" fillId="14" borderId="1" xfId="0" applyFont="1" applyFill="1" applyBorder="1" applyAlignment="1">
      <alignment vertical="center" wrapText="1"/>
    </xf>
    <xf numFmtId="0" fontId="1" fillId="14" borderId="1" xfId="0" applyFont="1" applyFill="1" applyBorder="1" applyAlignment="1">
      <alignment horizontal="center" vertical="center"/>
    </xf>
    <xf numFmtId="0" fontId="13" fillId="15" borderId="3" xfId="0" applyFont="1" applyFill="1" applyBorder="1" applyAlignment="1">
      <alignment horizontal="center" vertical="center"/>
    </xf>
    <xf numFmtId="0" fontId="1" fillId="14" borderId="1" xfId="0" applyFont="1" applyFill="1" applyBorder="1" applyAlignment="1">
      <alignment horizontal="center" vertical="center" wrapText="1"/>
    </xf>
    <xf numFmtId="0" fontId="24" fillId="0" borderId="0" xfId="0" applyFont="1" applyAlignment="1">
      <alignment vertical="top" wrapText="1"/>
    </xf>
    <xf numFmtId="0" fontId="1" fillId="0" borderId="1" xfId="0" applyFont="1" applyBorder="1" applyAlignment="1">
      <alignment horizontal="left" vertical="center"/>
    </xf>
    <xf numFmtId="0" fontId="13" fillId="0" borderId="1" xfId="0" quotePrefix="1" applyFont="1" applyBorder="1" applyAlignment="1">
      <alignment vertical="center" wrapText="1"/>
    </xf>
    <xf numFmtId="0" fontId="2" fillId="0" borderId="1" xfId="0" applyFont="1" applyBorder="1" applyAlignment="1">
      <alignment wrapText="1"/>
    </xf>
    <xf numFmtId="170" fontId="2" fillId="0" borderId="1" xfId="0" applyNumberFormat="1" applyFont="1" applyBorder="1" applyAlignment="1">
      <alignment horizontal="center" vertical="center"/>
    </xf>
    <xf numFmtId="0" fontId="25" fillId="0" borderId="0" xfId="0" applyFont="1"/>
    <xf numFmtId="0" fontId="7" fillId="0" borderId="0" xfId="0" applyFont="1" applyAlignment="1">
      <alignment wrapText="1"/>
    </xf>
    <xf numFmtId="0" fontId="25" fillId="0" borderId="0" xfId="0" applyFont="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wrapText="1"/>
    </xf>
    <xf numFmtId="2" fontId="6" fillId="0" borderId="1" xfId="0" applyNumberFormat="1" applyFont="1" applyBorder="1" applyAlignment="1">
      <alignment horizontal="center" vertical="center" wrapText="1"/>
    </xf>
    <xf numFmtId="3" fontId="6" fillId="0" borderId="0" xfId="0" applyNumberFormat="1" applyFont="1" applyAlignment="1">
      <alignment wrapText="1"/>
    </xf>
    <xf numFmtId="0" fontId="1" fillId="16" borderId="7" xfId="0" applyFont="1" applyFill="1" applyBorder="1"/>
    <xf numFmtId="0" fontId="1" fillId="16" borderId="13" xfId="0" applyFont="1" applyFill="1" applyBorder="1"/>
    <xf numFmtId="0" fontId="1" fillId="16" borderId="14" xfId="0" applyFont="1" applyFill="1" applyBorder="1"/>
    <xf numFmtId="0" fontId="1" fillId="16" borderId="15" xfId="0" applyFont="1" applyFill="1" applyBorder="1"/>
    <xf numFmtId="0" fontId="1" fillId="16" borderId="4" xfId="0" applyFont="1" applyFill="1" applyBorder="1"/>
    <xf numFmtId="0" fontId="26" fillId="0" borderId="0" xfId="0" applyFont="1"/>
    <xf numFmtId="0" fontId="28" fillId="7" borderId="1" xfId="0" applyFont="1" applyFill="1" applyBorder="1" applyAlignment="1">
      <alignment horizontal="center"/>
    </xf>
    <xf numFmtId="0" fontId="29" fillId="0" borderId="1" xfId="0" applyFont="1" applyBorder="1" applyAlignment="1">
      <alignment horizontal="center"/>
    </xf>
    <xf numFmtId="0" fontId="29" fillId="0" borderId="1" xfId="0" applyFont="1" applyBorder="1"/>
    <xf numFmtId="3" fontId="29" fillId="0" borderId="1" xfId="0" applyNumberFormat="1" applyFont="1" applyBorder="1" applyAlignment="1">
      <alignment horizontal="center"/>
    </xf>
    <xf numFmtId="3" fontId="29" fillId="0" borderId="1" xfId="0" applyNumberFormat="1" applyFont="1" applyBorder="1"/>
    <xf numFmtId="0" fontId="29" fillId="17" borderId="1" xfId="0" applyFont="1" applyFill="1" applyBorder="1" applyAlignment="1">
      <alignment horizontal="center"/>
    </xf>
    <xf numFmtId="0" fontId="28" fillId="17" borderId="1" xfId="0" applyFont="1" applyFill="1" applyBorder="1" applyAlignment="1">
      <alignment horizontal="center"/>
    </xf>
    <xf numFmtId="3" fontId="28" fillId="17" borderId="1" xfId="0" applyNumberFormat="1" applyFont="1" applyFill="1" applyBorder="1"/>
    <xf numFmtId="0" fontId="29" fillId="17" borderId="1" xfId="0" applyFont="1" applyFill="1" applyBorder="1"/>
    <xf numFmtId="0" fontId="27" fillId="0" borderId="0" xfId="0" applyFont="1"/>
    <xf numFmtId="0" fontId="5" fillId="0" borderId="0" xfId="0" applyFont="1" applyAlignment="1">
      <alignment horizontal="center"/>
    </xf>
    <xf numFmtId="0" fontId="5" fillId="0" borderId="0" xfId="0" applyFont="1" applyAlignment="1">
      <alignment horizontal="right"/>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righ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3" fontId="7" fillId="0" borderId="1" xfId="0" applyNumberFormat="1" applyFont="1" applyBorder="1" applyAlignment="1">
      <alignment horizontal="right" vertical="top" wrapText="1"/>
    </xf>
    <xf numFmtId="164" fontId="7" fillId="0" borderId="1" xfId="0" applyNumberFormat="1" applyFont="1" applyBorder="1" applyAlignment="1">
      <alignment horizontal="right" vertical="top" wrapText="1"/>
    </xf>
    <xf numFmtId="0" fontId="6" fillId="0" borderId="1" xfId="0" applyFont="1" applyBorder="1" applyAlignment="1">
      <alignment vertical="top" wrapText="1"/>
    </xf>
    <xf numFmtId="0" fontId="6" fillId="0" borderId="1" xfId="0" applyFont="1" applyBorder="1" applyAlignment="1">
      <alignment horizontal="center" vertical="top"/>
    </xf>
    <xf numFmtId="3" fontId="6" fillId="0" borderId="1" xfId="0" applyNumberFormat="1" applyFont="1" applyBorder="1" applyAlignment="1">
      <alignment horizontal="right" vertical="top" wrapText="1"/>
    </xf>
    <xf numFmtId="0" fontId="1" fillId="0" borderId="0" xfId="0" applyFont="1" applyAlignment="1">
      <alignment horizontal="right"/>
    </xf>
    <xf numFmtId="0" fontId="2" fillId="0" borderId="0" xfId="0" applyFont="1" applyAlignment="1">
      <alignment vertical="center" wrapText="1"/>
    </xf>
    <xf numFmtId="0" fontId="30" fillId="0" borderId="0" xfId="0" applyFont="1"/>
    <xf numFmtId="0" fontId="1" fillId="6" borderId="1" xfId="0" applyFont="1" applyFill="1" applyBorder="1" applyAlignment="1">
      <alignment vertical="top" wrapText="1"/>
    </xf>
    <xf numFmtId="0" fontId="3"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30" fillId="0" borderId="1" xfId="0" applyFont="1" applyBorder="1" applyAlignment="1">
      <alignment horizontal="center" vertical="top"/>
    </xf>
    <xf numFmtId="0" fontId="1" fillId="18" borderId="1" xfId="0" applyFont="1" applyFill="1" applyBorder="1" applyAlignment="1">
      <alignment horizontal="center" vertical="center" wrapText="1"/>
    </xf>
    <xf numFmtId="0" fontId="30" fillId="19" borderId="5" xfId="0" applyFont="1" applyFill="1" applyBorder="1" applyAlignment="1">
      <alignment horizontal="center" vertical="top"/>
    </xf>
    <xf numFmtId="0" fontId="2" fillId="19" borderId="5" xfId="0" applyFont="1" applyFill="1" applyBorder="1" applyAlignment="1">
      <alignment horizontal="center" vertical="top" wrapText="1"/>
    </xf>
    <xf numFmtId="0" fontId="1" fillId="19" borderId="1" xfId="0" applyFont="1" applyFill="1" applyBorder="1" applyAlignment="1">
      <alignment vertical="top" wrapText="1"/>
    </xf>
    <xf numFmtId="0" fontId="1" fillId="19"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3" fontId="31" fillId="6" borderId="7" xfId="0" applyNumberFormat="1" applyFont="1" applyFill="1" applyBorder="1"/>
    <xf numFmtId="0" fontId="31" fillId="0" borderId="0" xfId="0" applyFont="1"/>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0" fillId="0" borderId="1" xfId="0" applyFont="1" applyBorder="1" applyAlignment="1">
      <alignment horizontal="center" vertical="top" wrapText="1"/>
    </xf>
    <xf numFmtId="0" fontId="1" fillId="0" borderId="1" xfId="0" applyFont="1" applyBorder="1" applyAlignment="1">
      <alignment horizontal="center" vertical="top" wrapText="1"/>
    </xf>
    <xf numFmtId="0" fontId="31" fillId="0" borderId="1" xfId="0" applyFont="1" applyBorder="1"/>
    <xf numFmtId="0" fontId="31" fillId="0" borderId="1" xfId="0" applyFont="1" applyBorder="1" applyAlignment="1">
      <alignment vertical="top"/>
    </xf>
    <xf numFmtId="0" fontId="31" fillId="0" borderId="0" xfId="0" applyFont="1" applyAlignment="1">
      <alignment horizontal="left"/>
    </xf>
    <xf numFmtId="3" fontId="6" fillId="6" borderId="7" xfId="0" applyNumberFormat="1" applyFont="1" applyFill="1" applyBorder="1" applyAlignment="1">
      <alignment vertical="center"/>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18" borderId="1" xfId="0" applyFont="1" applyFill="1" applyBorder="1" applyAlignment="1">
      <alignment vertical="top" wrapText="1"/>
    </xf>
    <xf numFmtId="0" fontId="10" fillId="0" borderId="1" xfId="0" applyFont="1" applyBorder="1" applyAlignment="1">
      <alignment horizontal="center" vertical="center" wrapText="1"/>
    </xf>
    <xf numFmtId="0" fontId="27" fillId="0" borderId="0" xfId="0" applyFont="1" applyAlignment="1">
      <alignment wrapText="1"/>
    </xf>
    <xf numFmtId="0" fontId="2" fillId="6" borderId="1" xfId="0" applyFont="1" applyFill="1" applyBorder="1" applyAlignment="1">
      <alignment vertical="center" wrapText="1"/>
    </xf>
    <xf numFmtId="0" fontId="1" fillId="12" borderId="1" xfId="0" applyFont="1" applyFill="1" applyBorder="1" applyAlignment="1">
      <alignment horizontal="center" vertical="center" wrapText="1"/>
    </xf>
    <xf numFmtId="0" fontId="1" fillId="20" borderId="1" xfId="0" applyFont="1" applyFill="1" applyBorder="1" applyAlignment="1">
      <alignment vertical="center" wrapText="1"/>
    </xf>
    <xf numFmtId="0" fontId="1" fillId="20" borderId="1" xfId="0" applyFont="1" applyFill="1" applyBorder="1" applyAlignment="1">
      <alignment horizontal="center" vertical="center" wrapText="1"/>
    </xf>
    <xf numFmtId="3" fontId="1" fillId="20" borderId="1" xfId="0" applyNumberFormat="1" applyFont="1" applyFill="1" applyBorder="1" applyAlignment="1">
      <alignment horizontal="center" vertical="center" wrapText="1"/>
    </xf>
    <xf numFmtId="3" fontId="1" fillId="0" borderId="0" xfId="0" applyNumberFormat="1" applyFont="1" applyAlignment="1">
      <alignment horizontal="center" vertical="center" wrapText="1"/>
    </xf>
    <xf numFmtId="0" fontId="28" fillId="0" borderId="0" xfId="0" applyFont="1" applyAlignment="1">
      <alignment horizontal="left" vertical="center" wrapText="1"/>
    </xf>
    <xf numFmtId="0" fontId="28" fillId="0" borderId="2" xfId="0" applyFont="1" applyBorder="1" applyAlignment="1">
      <alignment horizontal="center" vertical="center" wrapText="1"/>
    </xf>
    <xf numFmtId="165" fontId="28" fillId="0" borderId="2" xfId="0" applyNumberFormat="1" applyFont="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165" fontId="29" fillId="0" borderId="1" xfId="0" applyNumberFormat="1" applyFont="1" applyBorder="1" applyAlignment="1">
      <alignment vertical="center" wrapText="1"/>
    </xf>
    <xf numFmtId="0" fontId="33" fillId="0" borderId="1" xfId="0" quotePrefix="1" applyFont="1" applyBorder="1" applyAlignment="1">
      <alignment vertical="center" wrapText="1"/>
    </xf>
    <xf numFmtId="165" fontId="1" fillId="0" borderId="1" xfId="0" applyNumberFormat="1" applyFont="1" applyBorder="1" applyAlignment="1">
      <alignment horizontal="center" vertical="center" wrapText="1"/>
    </xf>
    <xf numFmtId="168" fontId="1" fillId="0" borderId="1" xfId="0" applyNumberFormat="1" applyFont="1" applyBorder="1" applyAlignment="1">
      <alignment horizontal="center" vertical="center" wrapText="1"/>
    </xf>
    <xf numFmtId="0" fontId="33" fillId="6" borderId="1" xfId="0" applyFont="1" applyFill="1" applyBorder="1" applyAlignment="1">
      <alignment vertical="center" wrapText="1"/>
    </xf>
    <xf numFmtId="165" fontId="29" fillId="0" borderId="1" xfId="0" applyNumberFormat="1" applyFont="1" applyBorder="1" applyAlignment="1">
      <alignment horizontal="right" vertical="center" wrapText="1"/>
    </xf>
    <xf numFmtId="0" fontId="33" fillId="0" borderId="1" xfId="0" applyFont="1" applyBorder="1" applyAlignment="1">
      <alignment vertical="center" wrapText="1"/>
    </xf>
    <xf numFmtId="165" fontId="28" fillId="0" borderId="1" xfId="0" applyNumberFormat="1" applyFont="1" applyBorder="1" applyAlignment="1">
      <alignment horizontal="right" vertical="center" wrapText="1"/>
    </xf>
    <xf numFmtId="0" fontId="33" fillId="6" borderId="1" xfId="0" quotePrefix="1" applyFont="1" applyFill="1" applyBorder="1" applyAlignment="1">
      <alignment vertical="center" wrapText="1"/>
    </xf>
    <xf numFmtId="0" fontId="29" fillId="0" borderId="1" xfId="0" applyFont="1" applyBorder="1" applyAlignment="1">
      <alignment horizontal="left" vertical="center" wrapText="1"/>
    </xf>
    <xf numFmtId="0" fontId="28" fillId="0" borderId="1" xfId="0" applyFont="1" applyBorder="1" applyAlignment="1">
      <alignment horizontal="left" vertical="center" wrapText="1"/>
    </xf>
    <xf numFmtId="0" fontId="28" fillId="0" borderId="0" xfId="0" applyFont="1" applyAlignment="1">
      <alignment horizontal="center" vertical="center" wrapText="1"/>
    </xf>
    <xf numFmtId="165" fontId="28" fillId="0" borderId="0" xfId="0" applyNumberFormat="1" applyFont="1" applyAlignment="1">
      <alignment vertical="center" wrapText="1"/>
    </xf>
    <xf numFmtId="165" fontId="29" fillId="0" borderId="0" xfId="0" applyNumberFormat="1" applyFont="1" applyAlignment="1">
      <alignment vertical="center" wrapText="1"/>
    </xf>
    <xf numFmtId="0" fontId="34" fillId="0" borderId="0" xfId="0" applyFont="1" applyAlignment="1">
      <alignment horizontal="left" vertical="center" wrapText="1"/>
    </xf>
    <xf numFmtId="0" fontId="35" fillId="0" borderId="0" xfId="0" quotePrefix="1" applyFont="1" applyAlignment="1">
      <alignment horizontal="left" vertical="center" wrapText="1"/>
    </xf>
    <xf numFmtId="0" fontId="29"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top" wrapText="1"/>
    </xf>
    <xf numFmtId="0" fontId="28" fillId="0" borderId="1" xfId="0" applyFont="1" applyBorder="1" applyAlignment="1">
      <alignment horizontal="center" vertical="center" wrapText="1"/>
    </xf>
    <xf numFmtId="0" fontId="27" fillId="0" borderId="0" xfId="0" applyFont="1" applyAlignment="1">
      <alignment horizontal="center" wrapText="1"/>
    </xf>
    <xf numFmtId="3" fontId="29" fillId="0" borderId="1" xfId="0" applyNumberFormat="1" applyFont="1" applyBorder="1" applyAlignment="1">
      <alignment horizontal="center" vertical="center" wrapText="1"/>
    </xf>
    <xf numFmtId="0" fontId="1" fillId="3" borderId="7" xfId="0" applyFont="1" applyFill="1" applyBorder="1"/>
    <xf numFmtId="0" fontId="2" fillId="0" borderId="2" xfId="0" applyFont="1" applyBorder="1" applyAlignment="1">
      <alignment horizontal="center"/>
    </xf>
    <xf numFmtId="169" fontId="1" fillId="0" borderId="1" xfId="0" applyNumberFormat="1" applyFont="1" applyBorder="1" applyAlignment="1">
      <alignment horizontal="center"/>
    </xf>
    <xf numFmtId="0" fontId="1" fillId="3" borderId="4" xfId="0" applyFont="1" applyFill="1" applyBorder="1"/>
    <xf numFmtId="0" fontId="1" fillId="0" borderId="1" xfId="0" applyFont="1" applyBorder="1" applyAlignment="1">
      <alignment horizontal="right"/>
    </xf>
    <xf numFmtId="0" fontId="12" fillId="0" borderId="0" xfId="0" applyFont="1"/>
    <xf numFmtId="0" fontId="2" fillId="2" borderId="4" xfId="0" applyFont="1" applyFill="1" applyBorder="1" applyAlignment="1">
      <alignment horizontal="center"/>
    </xf>
    <xf numFmtId="0" fontId="1" fillId="0" borderId="0" xfId="0" quotePrefix="1" applyFont="1"/>
    <xf numFmtId="0" fontId="2" fillId="2" borderId="2" xfId="0" applyFont="1" applyFill="1" applyBorder="1" applyAlignment="1">
      <alignment horizontal="center"/>
    </xf>
    <xf numFmtId="0" fontId="2" fillId="2" borderId="17" xfId="0" applyFont="1" applyFill="1" applyBorder="1" applyAlignment="1">
      <alignment horizontal="center"/>
    </xf>
    <xf numFmtId="0" fontId="2" fillId="4" borderId="2"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7" fillId="0" borderId="12" xfId="0" applyFont="1" applyBorder="1" applyAlignment="1">
      <alignment horizontal="center" vertical="center" wrapText="1"/>
    </xf>
    <xf numFmtId="0" fontId="6" fillId="0" borderId="12" xfId="0" applyFont="1" applyBorder="1" applyAlignment="1">
      <alignment horizontal="left" vertical="center" wrapText="1"/>
    </xf>
    <xf numFmtId="0" fontId="6" fillId="0" borderId="3" xfId="0" applyFont="1" applyBorder="1" applyAlignment="1">
      <alignment horizontal="center" vertical="center" wrapText="1"/>
    </xf>
    <xf numFmtId="0" fontId="10" fillId="0" borderId="20" xfId="0"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5" xfId="0" applyFont="1" applyBorder="1" applyAlignment="1">
      <alignment vertical="center" wrapText="1"/>
    </xf>
    <xf numFmtId="0" fontId="10" fillId="0" borderId="4" xfId="0" applyFont="1" applyBorder="1" applyAlignment="1">
      <alignment horizontal="center" vertical="center"/>
    </xf>
    <xf numFmtId="0" fontId="10" fillId="0" borderId="6" xfId="0" applyFont="1" applyBorder="1" applyAlignment="1">
      <alignment vertical="center" wrapText="1"/>
    </xf>
    <xf numFmtId="0" fontId="9" fillId="0" borderId="5" xfId="0" applyFont="1" applyBorder="1" applyAlignment="1">
      <alignment vertical="center" wrapText="1"/>
    </xf>
    <xf numFmtId="0" fontId="10" fillId="3"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6" fillId="3" borderId="5" xfId="0" applyFont="1" applyFill="1" applyBorder="1" applyAlignment="1">
      <alignment horizontal="left" vertical="center" wrapText="1"/>
    </xf>
    <xf numFmtId="0" fontId="9" fillId="0" borderId="4" xfId="0" applyFont="1" applyBorder="1" applyAlignment="1">
      <alignment horizontal="center" vertical="center"/>
    </xf>
    <xf numFmtId="0" fontId="7" fillId="0" borderId="4" xfId="0" applyFont="1" applyBorder="1" applyAlignment="1">
      <alignment horizontal="center" vertical="center"/>
    </xf>
    <xf numFmtId="0" fontId="14" fillId="0" borderId="5" xfId="0" applyFont="1" applyBorder="1" applyAlignment="1">
      <alignment vertical="center" wrapText="1"/>
    </xf>
    <xf numFmtId="0" fontId="14" fillId="0" borderId="4" xfId="0" applyFont="1" applyBorder="1" applyAlignment="1">
      <alignment horizontal="center" vertical="center"/>
    </xf>
    <xf numFmtId="0" fontId="7" fillId="0" borderId="4" xfId="0" applyFont="1" applyBorder="1" applyAlignment="1">
      <alignment horizontal="center"/>
    </xf>
    <xf numFmtId="0" fontId="5" fillId="0" borderId="4" xfId="0" applyFont="1" applyBorder="1"/>
    <xf numFmtId="0" fontId="9" fillId="0" borderId="5" xfId="0" applyFont="1" applyBorder="1" applyAlignment="1">
      <alignment horizontal="left" vertical="center" wrapText="1"/>
    </xf>
    <xf numFmtId="0" fontId="19" fillId="0" borderId="20" xfId="0" applyFont="1" applyBorder="1"/>
    <xf numFmtId="0" fontId="18" fillId="0" borderId="20" xfId="0" applyFont="1" applyBorder="1" applyAlignment="1">
      <alignment horizontal="center"/>
    </xf>
    <xf numFmtId="0" fontId="13" fillId="0" borderId="3" xfId="0" applyFont="1" applyBorder="1" applyAlignment="1">
      <alignment horizontal="center" vertical="center"/>
    </xf>
    <xf numFmtId="0" fontId="1" fillId="16" borderId="17" xfId="0" applyFont="1" applyFill="1" applyBorder="1"/>
    <xf numFmtId="0" fontId="1" fillId="16" borderId="18" xfId="0" applyFont="1" applyFill="1" applyBorder="1"/>
    <xf numFmtId="0" fontId="1" fillId="16" borderId="19" xfId="0" applyFont="1" applyFill="1" applyBorder="1"/>
    <xf numFmtId="0" fontId="1" fillId="16" borderId="20" xfId="0" applyFont="1" applyFill="1" applyBorder="1"/>
    <xf numFmtId="0" fontId="27" fillId="0" borderId="15" xfId="0" applyFont="1" applyBorder="1" applyAlignment="1">
      <alignment horizontal="center"/>
    </xf>
    <xf numFmtId="0" fontId="29" fillId="0" borderId="6" xfId="0" applyFont="1" applyBorder="1" applyAlignment="1">
      <alignment horizontal="center" wrapText="1"/>
    </xf>
    <xf numFmtId="0" fontId="7" fillId="0" borderId="3" xfId="0" applyFont="1" applyBorder="1" applyAlignment="1">
      <alignment horizontal="center" vertical="top" wrapText="1"/>
    </xf>
    <xf numFmtId="0" fontId="28" fillId="0" borderId="15" xfId="0" applyFont="1" applyBorder="1" applyAlignment="1">
      <alignment horizontal="left" vertical="center" wrapText="1"/>
    </xf>
    <xf numFmtId="0" fontId="2" fillId="0" borderId="17" xfId="0" applyFont="1" applyBorder="1" applyAlignment="1">
      <alignment horizontal="center"/>
    </xf>
    <xf numFmtId="0" fontId="1" fillId="0" borderId="12" xfId="0" applyFont="1" applyBorder="1" applyAlignment="1">
      <alignment wrapText="1"/>
    </xf>
    <xf numFmtId="0" fontId="2" fillId="0" borderId="4" xfId="0" applyFont="1" applyBorder="1" applyAlignment="1">
      <alignment horizontal="center"/>
    </xf>
    <xf numFmtId="0" fontId="1" fillId="0" borderId="5" xfId="0" applyFont="1" applyBorder="1"/>
    <xf numFmtId="0" fontId="1" fillId="0" borderId="4" xfId="0" applyFont="1" applyBorder="1" applyAlignment="1">
      <alignment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12" xfId="0" applyFont="1" applyBorder="1" applyAlignment="1">
      <alignment horizontal="center"/>
    </xf>
    <xf numFmtId="0" fontId="1" fillId="0" borderId="12" xfId="0" applyFont="1" applyBorder="1"/>
    <xf numFmtId="3" fontId="2" fillId="0" borderId="4" xfId="0" applyNumberFormat="1" applyFont="1" applyBorder="1" applyAlignment="1">
      <alignment horizontal="center"/>
    </xf>
    <xf numFmtId="0" fontId="10" fillId="0" borderId="20" xfId="0" applyFont="1" applyBorder="1" applyAlignment="1">
      <alignment horizontal="left" vertical="center" wrapText="1"/>
    </xf>
    <xf numFmtId="0" fontId="10" fillId="0" borderId="20" xfId="0" applyFont="1" applyBorder="1" applyAlignment="1">
      <alignment horizontal="center" vertical="center" wrapText="1"/>
    </xf>
    <xf numFmtId="0" fontId="6" fillId="0" borderId="0" xfId="0" applyFont="1" applyAlignment="1">
      <alignment horizontal="center" vertical="center" wrapText="1"/>
    </xf>
    <xf numFmtId="0" fontId="8" fillId="0" borderId="15" xfId="0" applyFont="1" applyBorder="1" applyAlignment="1">
      <alignment horizontal="center" vertical="center"/>
    </xf>
    <xf numFmtId="0" fontId="6" fillId="0" borderId="0" xfId="0" applyFont="1" applyAlignment="1">
      <alignment horizontal="center"/>
    </xf>
    <xf numFmtId="0" fontId="11" fillId="0" borderId="0" xfId="0" applyFont="1" applyAlignment="1">
      <alignment horizontal="center" wrapText="1"/>
    </xf>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2" fillId="0" borderId="12" xfId="0" applyFont="1" applyBorder="1" applyAlignment="1">
      <alignment horizontal="center"/>
    </xf>
    <xf numFmtId="0" fontId="3" fillId="0" borderId="0" xfId="0" applyFont="1" applyAlignment="1">
      <alignment horizontal="left"/>
    </xf>
    <xf numFmtId="0" fontId="1" fillId="0" borderId="2" xfId="0" applyFont="1" applyBorder="1" applyAlignment="1">
      <alignment horizontal="center" vertical="center"/>
    </xf>
    <xf numFmtId="0" fontId="1" fillId="0" borderId="2" xfId="0" applyFont="1" applyBorder="1" applyAlignment="1">
      <alignment vertical="top"/>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168" fontId="1" fillId="0" borderId="2" xfId="0" applyNumberFormat="1" applyFont="1" applyBorder="1" applyAlignment="1">
      <alignment horizontal="center" vertical="center" wrapText="1"/>
    </xf>
    <xf numFmtId="0" fontId="9" fillId="13" borderId="12" xfId="0"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6" fillId="0" borderId="0" xfId="0" applyFont="1" applyAlignment="1">
      <alignment horizontal="center" wrapText="1"/>
    </xf>
    <xf numFmtId="0" fontId="5" fillId="0" borderId="15" xfId="0" applyFont="1" applyBorder="1" applyAlignment="1">
      <alignment horizontal="center"/>
    </xf>
    <xf numFmtId="0" fontId="11" fillId="0" borderId="0" xfId="0" applyFont="1" applyAlignment="1">
      <alignment horizontal="center" vertical="top" wrapText="1"/>
    </xf>
    <xf numFmtId="0" fontId="2" fillId="0" borderId="15" xfId="0" applyFont="1" applyBorder="1" applyAlignment="1">
      <alignment horizontal="center" vertical="center" wrapText="1"/>
    </xf>
    <xf numFmtId="0" fontId="2" fillId="0" borderId="12" xfId="0" applyFont="1" applyBorder="1" applyAlignment="1">
      <alignment horizontal="center" vertical="center"/>
    </xf>
    <xf numFmtId="0" fontId="1" fillId="0" borderId="0" xfId="0" applyFont="1" applyAlignment="1">
      <alignment horizontal="left" vertical="center"/>
    </xf>
    <xf numFmtId="165" fontId="28" fillId="0" borderId="12" xfId="0" applyNumberFormat="1" applyFont="1" applyBorder="1" applyAlignment="1">
      <alignment horizontal="center" vertical="center" wrapText="1"/>
    </xf>
    <xf numFmtId="0" fontId="32" fillId="0" borderId="15" xfId="0" applyFont="1" applyBorder="1" applyAlignment="1">
      <alignment horizontal="center" vertical="top" wrapText="1"/>
    </xf>
    <xf numFmtId="0" fontId="29" fillId="0" borderId="0" xfId="0" quotePrefix="1" applyFont="1" applyAlignment="1">
      <alignment horizontal="left" vertical="center" wrapText="1"/>
    </xf>
    <xf numFmtId="0" fontId="1" fillId="0" borderId="0" xfId="0" applyFont="1" applyAlignment="1">
      <alignment horizontal="left" vertical="center" wrapText="1"/>
    </xf>
    <xf numFmtId="0" fontId="2" fillId="0" borderId="2" xfId="0" applyFont="1" applyBorder="1" applyAlignment="1">
      <alignment horizontal="center"/>
    </xf>
    <xf numFmtId="0" fontId="2" fillId="0" borderId="19" xfId="0" applyFont="1" applyBorder="1" applyAlignment="1">
      <alignment horizontal="center"/>
    </xf>
    <xf numFmtId="0" fontId="2" fillId="0" borderId="17" xfId="0" applyFont="1" applyBorder="1" applyAlignment="1">
      <alignment horizontal="center"/>
    </xf>
    <xf numFmtId="0" fontId="2" fillId="0" borderId="16" xfId="0" applyFont="1" applyBorder="1" applyAlignment="1">
      <alignment horizontal="center"/>
    </xf>
    <xf numFmtId="0" fontId="2" fillId="2" borderId="2" xfId="0" applyFont="1" applyFill="1" applyBorder="1" applyAlignment="1">
      <alignment horizontal="center"/>
    </xf>
    <xf numFmtId="0" fontId="2" fillId="2" borderId="19" xfId="0" applyFont="1" applyFill="1" applyBorder="1" applyAlignment="1">
      <alignment horizontal="center"/>
    </xf>
    <xf numFmtId="0" fontId="2" fillId="2" borderId="16" xfId="0" applyFont="1" applyFill="1" applyBorder="1" applyAlignment="1">
      <alignment horizontal="center"/>
    </xf>
    <xf numFmtId="0" fontId="36" fillId="2" borderId="16" xfId="0" applyFont="1" applyFill="1" applyBorder="1" applyAlignment="1">
      <alignment horizontal="center"/>
    </xf>
    <xf numFmtId="0" fontId="2" fillId="2" borderId="17" xfId="0" applyFont="1" applyFill="1" applyBorder="1" applyAlignment="1">
      <alignment horizontal="center"/>
    </xf>
    <xf numFmtId="0" fontId="36" fillId="0" borderId="16" xfId="0" applyFont="1" applyBorder="1" applyAlignment="1">
      <alignment horizontal="center"/>
    </xf>
    <xf numFmtId="0" fontId="0" fillId="0" borderId="0" xfId="0" applyAlignment="1"/>
    <xf numFmtId="0" fontId="4" fillId="0" borderId="15" xfId="0" applyFont="1" applyBorder="1" applyAlignment="1"/>
    <xf numFmtId="0" fontId="4" fillId="0" borderId="3" xfId="0" applyFont="1" applyBorder="1" applyAlignment="1"/>
    <xf numFmtId="0" fontId="4" fillId="0" borderId="20" xfId="0" applyFont="1" applyBorder="1" applyAlignment="1"/>
    <xf numFmtId="0" fontId="4" fillId="0" borderId="6" xfId="0" applyFont="1" applyBorder="1" applyAlignment="1"/>
    <xf numFmtId="0" fontId="4" fillId="0" borderId="5" xfId="0" applyFont="1" applyBorder="1" applyAlignment="1"/>
    <xf numFmtId="0" fontId="4" fillId="0" borderId="16" xfId="0" applyFont="1" applyBorder="1" applyAlignment="1"/>
    <xf numFmtId="0" fontId="2" fillId="0" borderId="17" xfId="0" applyFont="1" applyBorder="1" applyAlignment="1"/>
    <xf numFmtId="0" fontId="4" fillId="0" borderId="18" xfId="0" applyFont="1" applyBorder="1" applyAlignment="1"/>
    <xf numFmtId="0" fontId="4" fillId="0" borderId="19" xfId="0" applyFont="1" applyBorder="1" applyAlignment="1"/>
    <xf numFmtId="0" fontId="2" fillId="0" borderId="2" xfId="0" applyFont="1" applyBorder="1" applyAlignment="1"/>
    <xf numFmtId="0" fontId="4"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customXml" Target="../customXml/item2.xml"/><Relationship Id="rId16" Type="http://schemas.openxmlformats.org/officeDocument/2006/relationships/externalLink" Target="externalLinks/externalLink1.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46.xml"/><Relationship Id="rId82" Type="http://schemas.openxmlformats.org/officeDocument/2006/relationships/calcChain" Target="calcChain.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customschemas.google.com/relationships/workbookmetadata" Target="metadata"/><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 Type="http://schemas.openxmlformats.org/officeDocument/2006/relationships/worksheet" Target="worksheets/sheet7.xml"/><Relationship Id="rId71" Type="http://schemas.openxmlformats.org/officeDocument/2006/relationships/externalLink" Target="externalLinks/externalLink56.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G-SONBDB\D\D&#7921;%20&#225;n%20Bkav\Ngh&#7879;%20an\HOP%20HDND\Ke%20hoach%20thue%20Nghe%20An\230831_KHT_NgheAn_v1\230831_Du%20toan%20KHT_Nghe%20An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Chi_kh/huong_xl1/Congviec/T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10.0.0.170/Du%20an/Data%20Center/Data%20Center%20for%20Vinh%20Phuc/Du%20an/BOM%20A%20v.02%20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o_GTVT\Tham%20tra%20Bo%20GTVT%202021\2.Bien%20hieu,%20Phu%20hieu\file:\C:\osdc-nt2\osdc\Documents%20and%20Settings\ThoanCT\My%20Documents\Copy%20of%20DataLoadSheet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BANGUY~1.SOU/AppData/Local/Temp/bidv-SEFTool_Infrastructur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Users/Admin/Desktop/QNI_NANGCAP_MCDT_DVC_2019_USECAS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ail.fpt.com.vn/CA-VKS-TA/VKSNDTC/TKKT/Dutoan_PM_VK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OCUME~1\THANHB~1\LOCALS~1\Temp\Viet%20Anh\2011\Ha%20Noi\Ban%20QLXD%20cong%20TTDT-BCT\Project\Documents\Tai%20lieu%20Website\MOIT.GOV.VN\De%20an%20MOIT\BC%20TKKT%20TDT%20Portal\Du%20toan%20TKTCTDT%20P-MOIT%20draft%2013-4-20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SVN/1.%20Tu%20van/b.%202016/BV/Cost%20estimation/BV_Infra_Consolidation_Price_Estimation_30112012_ver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vanba/AppData/Local/Temp/VM_all%203.5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googleDrive/Projects/MOF-DRC/version%2024/DRC-Cost-v2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server2/CHUNGGROUP/PROJECT/2009/QLHT%20DacLak/DaoTM%20Document/Trien%20khai%20DakLak/Dutoan_STP-DL-Chiti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Chi_kh/huong_xl1/DO-HUONG/GT-BO/TKTC10-8/phong%20nen/DT-THL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K:\ShareDoc\Dung%20Quat\Nhom%20GC\New%20Folder\My%20Documents\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C:\vaeco%202010%20(file%20l&#417;n%20khong%20%20nen%20)\gu%20anh%20Hanh%2020-9-2010\BCKTKT%20Version3\Bang%20tinh%20gia%20Khao%20sat%20201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SkyDrive/Work/2014/KBNN/DTTC/KBNN%20DTTC%20BOM%2007042014%20v6.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Du%20an/Data%20Center/Data%20Center%20for%20Vinh%20Phuc/Du%20an/BOM%20A%20v.02%202010.xls" TargetMode="External"/><Relationship Id="rId1" Type="http://schemas.openxmlformats.org/officeDocument/2006/relationships/externalLinkPath" Target="/Du%20an/Data%20Center/Data%20Center%20for%20Vinh%20Phuc/Du%20an/BOM%20A%20v.02%20201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Pham%20Quang%20Son/OneDrive%20-%20CONG%20TY%20CO%20PHAN%20FPT/My%20Works/Sales/TINH,%20THANH%20PHO/Quang%20Ninh%20-%20CSDL%20Dat%20dai/DCDATT%202017/QL_LIS_TM&#272;T_PM%20(Son%20ghep%2020180607).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ay18\SETUP%20(D)\Documents%20and%20Settings\hienptt\Desktop\ke%20toan%202005moi\KE%20TOAN%20THANG%20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10\kinh-doanh\EBIT\TMDT_WIP1.3.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Users/Admin/Desktop/TNMT/BCNKT/QL_LIS_TM&#272;T_PM%20(SonPQ%2020180608).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d.docs.live.net/MyInfo/WorkingData/5%20COST/Template%20DinhGia2589.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C:\ha%20tay\nam%202008\quoc%20oai\sua%20cong\Don%20gia%20khao%20sat%20chua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d.docs.live.net/Documents%20and%20Settings/Pham%20Quang%20Son/Application%20Data/Microsoft/Excel/Tong%20muc%20dau%20tu%20BCNCKT%20(2.2)%20cho%203%20na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DU-AN/BVMicrosoft/Wip/7%20-%20Thiet%20Ke%20Thi%20Cong/Tongdutoan/TMDT_BHBV_tiencv/Thong%20tin%2026_5.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mail.fpt.com.vn/Working/SPC/DTKP%20nang%20cap%20QLAH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Duy/d/HAIPHONG/TRUSO/CHINHLY/CTCLCH~1.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TMDT%20-%20Du%20an%20Bac%20Giang%20(27.6.201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Thai/OneDrive/VVFC/Trung%20t&#226;m/&#7910;y%20Ban%20Qu&#7843;n%20l&#253;%20v&#7889;n%20nh&#224;%20n&#432;&#7899;c/H&#7891;%20s&#417;%20ch&#7889;t/Viettel/Giai%20trinh%20CP%20Ema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d.docs.live.net/Users/THUMINH/Desktop/TCHQ_MGHT_TMDT_MienGiamHoanThue_V1.28.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svpdc/vss/Documents/Van%20ban%20phap%20quy/Mau%20du%20toan%20xay%20du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Lu_thanh_binh/d/Luu_Tru/Ltb_ktkh/DZ220KV_Dau_Noi_sau_tram_500kV_Ha_Tinh/Gia_thau.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Users/vanba/AppData/Local/Temp/Khao%20sat%20hien%20trang%20ung%20dung-12042013-Print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d.docs.live.net/Documents/Offices/DA%20DRC/work_book_tct-0.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Users/vanba/AppData/Local/Temp/kbnn_cost_estimation%200.1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server/Documents%20and%20Settings/Administrator.TPT23/My%20Documents/Releases/2004/8.19/Build/test/DOCUME~1/ADMINI~1/MYDOCU~1/LQExampl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F/TaiLieuHoSoDuAn/Projects/Quang%20Ninh/TKTCTDT_Goi%204/Excel/2589_QLHC%20Huyen.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d.docs.live.net/server2/CHUNGGROUP/Documents%20and%20Settings/PKH/Desktop/Tung/Dang-lam/Qtrung-Caicui/TKKT/Khoiluong_TKKT(new).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Tungtt\Work\2018\MC&#272;T%20-%20NCS\T&#224;i%20li&#7879;u%20k&#7929;%20thu&#7853;t\Danh%20m&#7909;c%20Use%20Case%20m&#7897;t%20c&#7917;a%20&#273;i&#7879;n%20t&#7917;%20(KIENNT).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Users/anhlt/AppData/Local/Temp/DTTC%20Sizing%20v2.2.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docs.live.net/192.168.9.11/isacom/Hung/BAOHANH/WINDOWS/TEMP/IBASE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GoogleDrive/DRC/BOM/Sizing-V%208.1%20-%20ecustoms%20-%20GTT0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d.docs.live.net/Suong_kh/dung_chung/My%20Documents/QTCNVHHK.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ODS_FS\SALES\FileDump\JCQuote10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d.docs.live.net/Users/vanba/AppData/Local/Microsoft/Windows/INetCache/Content.Outlook/XEJXGA3D/Tham%20khao/VM_all-v29-2.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d.docs.live.net/server2/CHUNGGROUP/PROJECT/2012/VKS/DaoTM/VKS_Dinh%20gia%20phan%20mem_HS_V0.6.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Phuong1\CS3408\Standard\RPT.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d.docs.live.net/Users/ThanhNT/AppData/Local/Microsoft/Windows/Temporary%20Internet%20Files/Content.Outlook/QE3SGEGJ/TMDT/UC_HQ1C_v0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d.docs.live.net/Documents%20and%20Settings/Pham%20Quang%20Son/Local%20Settings/Temporary%20Internet%20Files/Content.IE5/O6F80O8G/XDCB_BV108_Core%20Switch_05%2007%202012_To%20Mr%20Khanh.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161.40.251\Support%20Warranty\WINDOWS\TEMP\HRLuongCMCSoft2001_v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d.docs.live.net/eBit_Project/Ebit_Data/Ebit_Project/Kho%20Bac/LienNHang/D&#7921;%20to&#225;n/TTLNH_Tong%20muc%20dau%20tu%20V3.2_deliverabl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d.docs.live.net/Presario/c/My%20Documents/XUANHA/tantt/QTCNVHH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d.docs.live.net/server/luu%20file/DOCUME~1/ngzupt/LOCALS~1/Temp/unicod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O%20dia%20D\Nam%202011\Chinh%20quyen%20dien%20tu%20Quang%20Ninh\Cac%20DA%20CQDT\BC%208\Gui%20So%204T%20QN_New\Gui%20So%204T%20QN_New\Du%20toan_TinhUy_QN_Ver%2013.01.1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d.docs.live.net/server/Documents%20and%20Settings/Administrator/My%20Documents/Resource/APcfg82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d.docs.live.net/Users/chinhnv28/Desktop/D:/Volumes/DATA/Work/1.%20VNPT-VNP/1.Khach%20hang/Cong%20TTDT%20Chinh%20phu/2016/Tham%20tra-Tham%20dinh/C:/Users/chinh_000/Desktop/QLDA-HVCTCAND.xlsx"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1.4.%20HSKTCN%20(TC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NT-QUOT-#3"/>
      <sheetName val="COAT&amp;WRAP-QIOT-#3"/>
      <sheetName val="XL4Poppy"/>
      <sheetName val="DOAM"/>
      <sheetName val="TONGHOP"/>
      <sheetName val="TYTRONG"/>
      <sheetName val="dtrong"/>
      <sheetName val="NEN"/>
      <sheetName val="TK1"/>
      <sheetName val="TK2"/>
      <sheetName val="THKP"/>
      <sheetName val="GDCT"/>
      <sheetName val="DGTH"/>
      <sheetName val="DTXL"/>
      <sheetName val="VChuyen"/>
      <sheetName val="Cachtinh "/>
      <sheetName val="THVLiÖu"/>
      <sheetName val="nhap cap"/>
      <sheetName val="Sheet1"/>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CT _THVLNC"/>
      <sheetName val="May"/>
      <sheetName val="Gia tri vat tu"/>
      <sheetName val="Luong 350 CN+KSDien"/>
      <sheetName val="truc tiep"/>
      <sheetName val="Bang TH"/>
      <sheetName val="TTgia"/>
      <sheetName val="PTDG"/>
      <sheetName val="Sheet3"/>
      <sheetName val="catalogueFTM"/>
      <sheetName val="Sheet2"/>
      <sheetName val="Breakdown"/>
      <sheetName val="Synth"/>
      <sheetName val="Global"/>
      <sheetName val="Reference"/>
      <sheetName val="MAIPLH"/>
      <sheetName val="CPABSS"/>
      <sheetName val="FCOC"/>
      <sheetName val="DIM"/>
      <sheetName val="All in One"/>
      <sheetName val="Config Standards"/>
      <sheetName val="Power"/>
      <sheetName val="Phase 1"/>
      <sheetName val="Phase 2"/>
      <sheetName val="Phase 3"/>
      <sheetName val="Phase 4"/>
      <sheetName val="Phase 5"/>
      <sheetName val="Phase 6"/>
      <sheetName val="Phase 7"/>
      <sheetName val="Erlang"/>
      <sheetName val="Cash-Flow for RAC"/>
      <sheetName val="Cash flow MND Radio"/>
      <sheetName val="IPIS T3G Phase 1"/>
      <sheetName val="Cash Flow MND Core"/>
      <sheetName val="IPIS MND Core"/>
      <sheetName val="GiavattuDT"/>
      <sheetName val="NC"/>
      <sheetName val="Giathanh1m3BT"/>
      <sheetName val="Chiettinh dz0_4"/>
      <sheetName val="CT35"/>
      <sheetName val="MTP"/>
      <sheetName val="Section detail- backfill"/>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BOQ FORM FOR INQUIRY"/>
      <sheetName val="FORM OF PROPOSAL RFP-003"/>
      <sheetName val="??-BLDG"/>
      <sheetName val="???????-BLDG"/>
      <sheetName val="Du toan"/>
      <sheetName val="Phan tich vat tu"/>
      <sheetName val="Tong hop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Sheet5"/>
      <sheetName val="Hoi phu nu"/>
      <sheetName val="4p1"/>
      <sheetName val="4P"/>
      <sheetName val="Schneider"/>
      <sheetName val="THANG1"/>
      <sheetName val="THANG2"/>
      <sheetName val="THANG3"/>
      <sheetName val="THANG4"/>
      <sheetName val="THANG5"/>
      <sheetName val="THANG6"/>
      <sheetName val="THANG7"/>
      <sheetName val="THANG 8"/>
      <sheetName val="Sheet9"/>
      <sheetName val="Sheet8"/>
      <sheetName val="Sheet7"/>
      <sheetName val="Sheet6"/>
      <sheetName val="Sheet4"/>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________BLDG"/>
      <sheetName val="Q1-02"/>
      <sheetName val="Q2-02"/>
      <sheetName val="Q3-02"/>
      <sheetName val="Bia "/>
      <sheetName val="Muc luc"/>
      <sheetName val="Thuyet minh PA1"/>
      <sheetName val="kl xaychan khay"/>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Outlets"/>
      <sheetName val="PGs"/>
      <sheetName val="Jan11"/>
      <sheetName val="Jan13"/>
      <sheetName val="Jan14"/>
      <sheetName val="Jan15"/>
      <sheetName val="Jan16"/>
      <sheetName val="Jan17"/>
      <sheetName val="Jan18"/>
      <sheetName val="Jan20"/>
      <sheetName val="Jan21"/>
      <sheetName val="2001"/>
      <sheetName val="2002"/>
      <sheetName val="Tdoi t.truong"/>
      <sheetName val="BC DBKH T5"/>
      <sheetName val="BC DBKH T6"/>
      <sheetName val="BC DBKH T7"/>
      <sheetName val="XL4Test5"/>
      <sheetName val="HUNG"/>
      <sheetName val="THO"/>
      <sheetName val="HOA"/>
      <sheetName val="TINH"/>
      <sheetName val="THONG"/>
      <sheetName val="XXXXXXX0"/>
      <sheetName val="XXXXXXX1"/>
      <sheetName val="????-BLDG"/>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VL"/>
      <sheetName val="tam"/>
      <sheetName val="DTCT"/>
      <sheetName val="DGBQ"/>
      <sheetName val="DGDT"/>
      <sheetName val="Gia trung thau"/>
      <sheetName val="Thanh toan dot 1"/>
      <sheetName val="THXL"/>
      <sheetName val="dieuphoida"/>
      <sheetName val="dieuphoidat"/>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Mau 1"/>
      <sheetName val="Mau so 2"/>
      <sheetName val="Mau so 3"/>
      <sheetName val="Mau so 7"/>
      <sheetName val="Mau so 8"/>
      <sheetName val="Mau so 9 da tru 45;54"/>
      <sheetName val="Mau so 9 45;54"/>
      <sheetName val="Mau 9 "/>
      <sheetName val="Mau 9 goc"/>
      <sheetName val="Mau 10"/>
      <sheetName val="Mau so 11"/>
      <sheetName val="SC 231"/>
      <sheetName val="SC 410"/>
      <sheetName val="Phan tich VT"/>
      <sheetName val="TKe VT"/>
      <sheetName val="Du tru Vat tu"/>
      <sheetName val="LUONG CHO HUU"/>
      <sheetName val="thu BHXH,YT"/>
      <sheetName val="Phan bo"/>
      <sheetName val="Luong T5-04"/>
      <sheetName val="THLK2"/>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Overhead &amp; Profit B-1"/>
      <sheetName val="=??????-BLDG"/>
      <sheetName val=""/>
      <sheetName val="Bang ngang"/>
      <sheetName val="Bang doc"/>
      <sheetName val="B cham cong"/>
      <sheetName val="Btt luong"/>
      <sheetName val="?¬’P‰¿ì¬?-BLDG"/>
      <sheetName val="?¬P¿ì¬?-BLDG"/>
      <sheetName val="?쒕?-BLDG"/>
      <sheetName val="?+Invoice!$DF$57?-BLDG"/>
      <sheetName val="BOQ FORM FOR INQÕIRY"/>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Chart1"/>
      <sheetName val="10_x0000__x0000__x0000__x0000__x0000__x0000_"/>
      <sheetName val="??????-BLDG"/>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Dec#1"/>
      <sheetName val="MTL$-INTER"/>
      <sheetName val="Chi tiet don gia khgi phuc"/>
      <sheetName val="thietbi"/>
      <sheetName val="DG"/>
      <sheetName val="PTDGDT"/>
      <sheetName val="Sc #34"/>
      <sheetName val="T.hopCPXDho_x0000_n_x0000_hanh (2)"/>
      <sheetName val="LK cp _x0000_dcb"/>
      <sheetName val="GDTH_x0000_5"/>
      <sheetName val="Ph_x0000_n_x0000__x0000_ich _x0000_a_x0000_ tu"/>
      <sheetName val="?¬P¿?¬?-BLDG"/>
      <sheetName val="??+Invoice!$DF$57?????-BLDG"/>
      <sheetName val="DI-ESTI"/>
      <sheetName val="quy 1"/>
      <sheetName val="quy 2"/>
      <sheetName val="6 thang"/>
      <sheetName val="quy 3"/>
      <sheetName val="9 TH"/>
      <sheetName val="quy4"/>
      <sheetName val="nam"/>
      <sheetName val="Sheet11"/>
      <sheetName val="Sheet12"/>
      <sheetName val="DA0463BQ"/>
      <sheetName val="Disch"/>
      <sheetName val="Pack"/>
      <sheetName val="Delivery"/>
      <sheetName val="M50"/>
      <sheetName val="M48"/>
      <sheetName val="M45"/>
      <sheetName val="M38"/>
      <sheetName val="D.Order"/>
      <sheetName val="Report"/>
      <sheetName val="Report.Delivery"/>
      <sheetName val="Monthly"/>
      <sheetName val="FORM OF PROPNSAL RFP-003"/>
      <sheetName val="9 toan"/>
      <sheetName val="KhanhThuong"/>
      <sheetName val="PlotDat4"/>
      <sheetName val="__-BLDG"/>
      <sheetName val="_______-BLDG"/>
      <sheetName val="____-BLDG"/>
      <sheetName val="______-BLDG"/>
      <sheetName val="_¬’P‰¿ì¬_-BLDG"/>
      <sheetName val="_¬P¿ì¬_-BLDG"/>
      <sheetName val="_쒕_-BLDG"/>
      <sheetName val="Hoi phe nu"/>
      <sheetName val="THANG#"/>
      <sheetName val="Sheet("/>
      <sheetName val="Sheed7"/>
      <sheetName val="A`r3"/>
      <sheetName val="Apb4"/>
      <sheetName val="FORM OF PROPOSAL RFP-00Ê"/>
      <sheetName val="PHANG5"/>
      <sheetName val="BCDP_x0005_"/>
      <sheetName val="NKC _x0003__x0000__x0000_TM1_x0006__x0000__x0000_SC 111_x0002__x0000__x0000_NH_x0006__x0000__x0000_SC 1"/>
      <sheetName val="Phan tich don gia chi&quot;tiet"/>
      <sheetName val="V_x000c_(No V-c)"/>
      <sheetName val="N@"/>
      <sheetName val="Don gaa chi tiet"/>
      <sheetName val="XL4Poppq"/>
      <sheetName val="FH"/>
      <sheetName val="Chiet tinh dz22"/>
      <sheetName val="?öm÷²??öm?-BLDG"/>
      <sheetName val="_x0001_pr2"/>
      <sheetName val="XL4Wÿÿÿÿ"/>
      <sheetName val="TIEUHAO"/>
      <sheetName val="CT 1md &amp; dau conM"/>
      <sheetName val="Tro gaup"/>
      <sheetName val="NhapHD"/>
      <sheetName val="INHOADON"/>
      <sheetName val="DataSource"/>
      <sheetName val="Danhsach KH"/>
      <sheetName val="GIA VON"/>
      <sheetName val="DS 11"/>
      <sheetName val="Module2"/>
      <sheetName val="BC"/>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 _x0000_í_x0000_䀘ȁ_x0006_ _x0001_ȉɾ_x000a_ _x0002_î"/>
      <sheetName val="ŀ؂ऀĀऀ縂ਂऀȀ帀㹓"/>
      <sheetName val="_x000a_ _x0003_÷Ĉ_x0000_½_x0012_ 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RecoveredExternalLink1"/>
      <sheetName val="TT DH"/>
      <sheetName val="Operating Room"/>
      <sheetName val="Consultant Room"/>
      <sheetName val="Consultant Person"/>
      <sheetName val="View ROIM"/>
      <sheetName val="Hieu qua"/>
      <sheetName val="Data _6T dau"/>
      <sheetName val="NC XL 6T cuoi 01 CTy"/>
      <sheetName val="Tien Thuong"/>
      <sheetName val="Cong 6T"/>
      <sheetName val="Data_year2001i"/>
      <sheetName val="BGD"/>
      <sheetName val="KT"/>
      <sheetName val="TC"/>
      <sheetName val="KH"/>
      <sheetName val="KD"/>
      <sheetName val="KCS"/>
      <sheetName val="KTNL"/>
      <sheetName val="PX_SX"/>
      <sheetName val="Lcau _ Lxuc"/>
      <sheetName val="DS_Thuong 6T dau"/>
      <sheetName val="GOCKEP"/>
      <sheetName val="Main"/>
      <sheetName val="Eng"/>
      <sheetName val="Validation"/>
      <sheetName val="Data"/>
      <sheetName val="Giới thiệu"/>
      <sheetName val="Gi?i thi?u"/>
      <sheetName val="Gi_i thi_u"/>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Effort"/>
      <sheetName val="Summary"/>
      <sheetName val="Giới_thiệu6"/>
      <sheetName val="Gi?i_thi?u6"/>
      <sheetName val="Gi_i_thi_u"/>
      <sheetName val="DN loại CN"/>
      <sheetName val="DN loại công việc"/>
      <sheetName val="Gi_i_thi_u4"/>
      <sheetName val="Gi_i_thi_u1"/>
      <sheetName val="Gi_i_thi_u2"/>
      <sheetName val="Gi_i_thi_u3"/>
      <sheetName val="Gi_i_thi_u5"/>
      <sheetName val="Gi_i_thi_u6"/>
      <sheetName val="Bia"/>
      <sheetName val="Gia tri phan mem"/>
      <sheetName val="PL_Phan cong thu tuc"/>
      <sheetName val="B1.KS"/>
      <sheetName val="DA trien khai moi cho VTG"/>
      <sheetName val="DU AN DU KIEN TK "/>
      <sheetName val="Danh mục DA Sẽ TK - 2013"/>
      <sheetName val="DS Du an da hoan thanh 2012"/>
      <sheetName val="DS HD Trien khai 2013"/>
      <sheetName val="Giai trinh MM cho DA KTTS VTC"/>
      <sheetName val="Giai trinh ctac phi KTTS VTC"/>
      <sheetName val="Bao gia cho VTG"/>
      <sheetName val="Draff1"/>
      <sheetName val="BM_No luc kiem thu chuc nang"/>
      <sheetName val="Draff2"/>
      <sheetName val="Tham chiếu list"/>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 val="Storage"/>
      <sheetName val="Tom tat"/>
      <sheetName val="Bìa"/>
      <sheetName val="PL1"/>
      <sheetName val="PL2"/>
      <sheetName val="PL5"/>
      <sheetName val="Boc tach theo du an"/>
      <sheetName val="PL1 (Theo du an)"/>
      <sheetName val="PL2 (Theo du an)"/>
      <sheetName val="PL4 (Theo du an)"/>
      <sheetName val="PL4"/>
      <sheetName val="PL5 (Theo du an)"/>
      <sheetName val="PL7 (Theo du an)"/>
      <sheetName val="Tham so"/>
      <sheetName val="Ke hoach"/>
      <sheetName val="Tong du toan"/>
      <sheetName val="DS thanh vien"/>
      <sheetName val="PP boc tach chi tiet"/>
      <sheetName val="GĐFull_Infrastructute"/>
      <sheetName val="GĐFull_License"/>
      <sheetName val="CSDL QG"/>
      <sheetName val="GĐFull_Tonghop"/>
      <sheetName val="GĐ1_Infrastructute"/>
      <sheetName val="GĐ1_License"/>
      <sheetName val="GĐ1_Tonghop"/>
      <sheetName val="TongU"/>
      <sheetName val="Trang bia"/>
      <sheetName val="Bang ghi nhan thay doi"/>
      <sheetName val="BM_No luc code"/>
      <sheetName val="BM_Kiem thu hieu nang"/>
      <sheetName val="HDKTHN"/>
      <sheetName val="Tham so dau vao"/>
      <sheetName val="Tham so nguoi dung"/>
      <sheetName val="Dien giai cach tinh"/>
      <sheetName val="Tong hop cac phuong an gia"/>
      <sheetName val="Bieu mau bao gia"/>
      <sheetName val="Phuong an kinh doanh"/>
      <sheetName val="I. TMĐT"/>
      <sheetName val="B1. Chi phi server"/>
      <sheetName val="B1. CP mua sắm TB"/>
      <sheetName val="B2. CP xây dựng phần mềm"/>
      <sheetName val="B3. CP khác"/>
      <sheetName val="B3.1. Kiem toan và tham tra"/>
      <sheetName val="B3.3. CP đặc thù khác"/>
      <sheetName val="B4. CP triển khai phần mềm"/>
      <sheetName val="B5. CP đầu tư thiết bị hàng năm"/>
      <sheetName val="Tong CP hàng năm"/>
      <sheetName val="III. HQ đầu tư trực tiếp"/>
      <sheetName val="CP Ha tang benh vien"/>
      <sheetName val="CP lap dat tai BV"/>
      <sheetName val="BM_No luc KT chuc nang ERP"/>
      <sheetName val="Tham chiếu list2"/>
      <sheetName val="Nỗ lực triển khai"/>
      <sheetName val="Tonghop TDT"/>
      <sheetName val="THCPTB"/>
      <sheetName val="Thiet bi"/>
      <sheetName val="PMUD"/>
      <sheetName val="ChucNang"/>
      <sheetName val="Usecase"/>
      <sheetName val="TAW"/>
      <sheetName val="TBF"/>
      <sheetName val="Actors"/>
      <sheetName val="HSKTCN"/>
      <sheetName val="HSTDMT"/>
      <sheetName val="Chi phi lap nhiem vu KS"/>
      <sheetName val="CHI PHI KHAO SAT"/>
      <sheetName val="Khaosat_chiphikhac"/>
      <sheetName val="DaoTao"/>
      <sheetName val="Chi phi nhan OTP"/>
      <sheetName val="Mức lương trung bình"/>
      <sheetName val="MucLuongH"/>
      <sheetName val="Dinhmuc993"/>
      <sheetName val="QĐ 993 BoTTTT"/>
      <sheetName val="Tonghop TMĐT"/>
      <sheetName val="Du toan TVKS"/>
      <sheetName val="PLTKBHHTKT"/>
      <sheetName val="Chi phi cai dat"/>
      <sheetName val="HQĐT theo đơn vị"/>
      <sheetName val="PL1.TTr PAKD"/>
      <sheetName val="PL2.TTr PAKD"/>
      <sheetName val="PL03"/>
      <sheetName val="BG đầu vào"/>
      <sheetName val="BG cho KH"/>
      <sheetName val="Báo giá An phát"/>
      <sheetName val="Báo giá STTTT"/>
      <sheetName val="PL2.1. Chi phí"/>
      <sheetName val="Giá đầu vào"/>
      <sheetName val="Giá đầu ra"/>
      <sheetName val="PL2-TH Khoi luong"/>
      <sheetName val="PL4-TH CP đơn vị"/>
      <sheetName val="PL5-Chi tiết CP"/>
      <sheetName val="BB Ban giao"/>
      <sheetName val="Dữ liệu khảo sát"/>
      <sheetName val="BG CNKT"/>
      <sheetName val="BG theo cv ĐH Thái Bình (2)"/>
      <sheetName val="BG VCC"/>
      <sheetName val="Danh mục thiết bị"/>
      <sheetName val="CNKT bao gia"/>
      <sheetName val="VT bao gia"/>
      <sheetName val="HG bao gia"/>
      <sheetName val="BK bao gia (2)"/>
      <sheetName val="Bang TH du toan"/>
      <sheetName val="Mail Merge"/>
      <sheetName val="PL hop dong"/>
      <sheetName val="TB-CBTD"/>
      <sheetName val="KS-KTTC"/>
      <sheetName val="KS-nop"/>
      <sheetName val="DGKS-HN"/>
      <sheetName val="DGKS-HD"/>
      <sheetName val="DGKS-HP"/>
      <sheetName val="VC-tau"/>
      <sheetName val="d-toa"/>
      <sheetName val="VC-oto (2)"/>
      <sheetName val="HaNoi"/>
      <sheetName val="XLTT-HN"/>
      <sheetName val="Ctiet-HN"/>
      <sheetName val="HaiDuong"/>
      <sheetName val="XLTT-HD"/>
      <sheetName val="Ctiet-HD(1)"/>
      <sheetName val="Ctiet-HD(2)"/>
      <sheetName val="HaiPhong"/>
      <sheetName val="XLTT-HP"/>
      <sheetName val="Ctiet-HP"/>
      <sheetName val="blg"/>
      <sheetName val="TK"/>
      <sheetName val="TH-duong nop"/>
      <sheetName val="denbu"/>
      <sheetName val="TMDT"/>
      <sheetName val="0000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refreshError="1"/>
      <sheetData sheetId="673" refreshError="1"/>
      <sheetData sheetId="674"/>
      <sheetData sheetId="675"/>
      <sheetData sheetId="676" refreshError="1"/>
      <sheetData sheetId="677" refreshError="1"/>
      <sheetData sheetId="678" refreshError="1"/>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sheetData sheetId="790" refreshError="1"/>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TongĐT"/>
      <sheetName val="2.TH"/>
      <sheetName val="3.TH_thuêPM"/>
      <sheetName val="Gdv"/>
      <sheetName val="Gpthtdv"/>
      <sheetName val="5. Lương"/>
      <sheetName val="CPVH"/>
      <sheetName val="KS+LAP KH"/>
      <sheetName val="CP đàotạo"/>
      <sheetName val="CPBT"/>
      <sheetName val="CPKhao sat"/>
      <sheetName val="Bang 4. Lap KH"/>
      <sheetName val="Bang 5. Lap HSMT"/>
      <sheetName val="Bang 6. Tham dinh HSMT"/>
      <sheetName val="Rate_1688_ThueDVCNTT_&lt;=15ty"/>
      <sheetName val="NHANCONG"/>
      <sheetName val="Td"/>
      <sheetName val="230831_Du toan KHT_Nghe An_v2"/>
    </sheetNames>
    <definedNames>
      <definedName name="\h2o"/>
      <definedName name="\j"/>
      <definedName name="\l"/>
      <definedName name="\p"/>
      <definedName name="\t40"/>
      <definedName name="\v"/>
      <definedName name="__a1" sheetId="8"/>
      <definedName name="__bia5" sheetId="8"/>
      <definedName name="__bia6" sheetId="8"/>
      <definedName name="__cap1" sheetId="8"/>
      <definedName name="__Cap2" sheetId="8"/>
      <definedName name="__D11" sheetId="8"/>
      <definedName name="__t22" sheetId="8"/>
      <definedName name="__TH1" sheetId="8"/>
      <definedName name="_1BA1037"/>
      <definedName name="_1BA1100"/>
      <definedName name="_1BA3025"/>
      <definedName name="_b"/>
      <definedName name="_Bia22" sheetId="8"/>
      <definedName name="_Bia3" sheetId="8"/>
      <definedName name="_bia5" sheetId="8"/>
      <definedName name="_bia6" sheetId="8"/>
      <definedName name="_cap1" sheetId="8"/>
      <definedName name="_Cap2" sheetId="8"/>
      <definedName name="_D11" sheetId="8"/>
      <definedName name="_ncb1" sheetId="8"/>
      <definedName name="_Sort" sheetId="8"/>
      <definedName name="_t22" sheetId="8"/>
      <definedName name="_TH1" sheetId="8"/>
      <definedName name="aaaaa" sheetId="8"/>
      <definedName name="aaag" sheetId="8"/>
      <definedName name="abcc" sheetId="8"/>
      <definedName name="afasdf" sheetId="8"/>
      <definedName name="ag" sheetId="8"/>
      <definedName name="agfag" sheetId="8"/>
      <definedName name="agfdgadg" sheetId="8"/>
      <definedName name="asdfafa" sheetId="8"/>
      <definedName name="banf" sheetId="8"/>
      <definedName name="bf" sheetId="8"/>
      <definedName name="Cap_YS" sheetId="8"/>
      <definedName name="Çd" sheetId="8"/>
      <definedName name="Çdsf" sheetId="8"/>
      <definedName name="Çggg" sheetId="8"/>
      <definedName name="CTB" sheetId="8"/>
      <definedName name="dasdadasd" sheetId="8"/>
      <definedName name="dfdf" sheetId="8"/>
      <definedName name="dfsdf" sheetId="8"/>
      <definedName name="dh" sheetId="8"/>
      <definedName name="Drop_2" sheetId="8"/>
      <definedName name="Drop_3" sheetId="8"/>
      <definedName name="fads" sheetId="8"/>
      <definedName name="fasdfa" sheetId="8"/>
      <definedName name="fdµ" sheetId="8"/>
      <definedName name="ff" sheetId="8"/>
      <definedName name="fgds" sheetId="8"/>
      <definedName name="fh" sheetId="8"/>
      <definedName name="fhd" sheetId="8"/>
      <definedName name="fsdaf" sheetId="8"/>
      <definedName name="fuyf" sheetId="8"/>
      <definedName name="fyujif" sheetId="8"/>
      <definedName name="ga" sheetId="8"/>
      <definedName name="gadfga" sheetId="8"/>
      <definedName name="gadfgad" sheetId="8"/>
      <definedName name="gdf" sheetId="8"/>
      <definedName name="gdgfgd" sheetId="8"/>
      <definedName name="gf" sheetId="8"/>
      <definedName name="gfad" sheetId="8"/>
      <definedName name="ghf" sheetId="8"/>
      <definedName name="GiaTDMOI" sheetId="8"/>
      <definedName name="goithau" sheetId="8"/>
      <definedName name="hµd" sheetId="8"/>
      <definedName name="haa" sheetId="8"/>
      <definedName name="hfh" sheetId="8"/>
      <definedName name="jgh" sheetId="8"/>
      <definedName name="juhkgh" sheetId="8"/>
      <definedName name="kljl" sheetId="8"/>
      <definedName name="name3" sheetId="8"/>
      <definedName name="Nhap" sheetId="8"/>
      <definedName name="nhapcap" sheetId="8"/>
      <definedName name="ØÓ" sheetId="8"/>
      <definedName name="rate" sheetId="8"/>
      <definedName name="s" sheetId="8"/>
      <definedName name="Sâau" sheetId="8"/>
      <definedName name="sadf" sheetId="8"/>
      <definedName name="sdaf" sheetId="8"/>
      <definedName name="sdas" sheetId="8"/>
      <definedName name="sfds" sheetId="8"/>
      <definedName name="skadjf" sheetId="8"/>
      <definedName name="Sõ_au" sheetId="8"/>
      <definedName name="So_Xau" sheetId="8"/>
      <definedName name="ssau" sheetId="8"/>
      <definedName name="sx" sheetId="8"/>
      <definedName name="sxau" sheetId="8"/>
      <definedName name="TBCLS" sheetId="8"/>
      <definedName name="thau" sheetId="8"/>
      <definedName name="the" sheetId="8"/>
      <definedName name="Tien" sheetId="8"/>
      <definedName name="TLTH1" sheetId="14"/>
      <definedName name="TMM" sheetId="8"/>
      <definedName name="TUANKHANHTUYET12" sheetId="8"/>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Tonghop theo Vendor"/>
      <sheetName val="GD1"/>
      <sheetName val="GD2"/>
      <sheetName val="Du tru SW"/>
      <sheetName val="Phan bo nguon luc"/>
      <sheetName val="Sheet1"/>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Page"/>
      <sheetName val="CustomerProfile"/>
      <sheetName val="Summary"/>
      <sheetName val="ActiveDirectory"/>
      <sheetName val="Exchange"/>
      <sheetName val="Desktop"/>
      <sheetName val="MIIS"/>
      <sheetName val="SCCM"/>
      <sheetName val="SCOM"/>
      <sheetName val="LCS"/>
      <sheetName val="MOSS"/>
      <sheetName val="BizTalk"/>
      <sheetName val="WBS"/>
      <sheetName val="Cp&gt;10-Ln&lt;10"/>
      <sheetName val="EIRR&gt;1&lt;1"/>
      <sheetName val="EIRR&gt; 2"/>
      <sheetName val="EIRR&l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I)"/>
      <sheetName val="Param DuLieu (R)"/>
      <sheetName val="CanCu PhapLy (I)"/>
      <sheetName val="DinhMuc DuToan (R)"/>
      <sheetName val="Tong DuToan XayDung (R)"/>
      <sheetName val="Tong DuToan Thue"/>
      <sheetName val="KhaoSat NCKT"/>
      <sheetName val="KhaoSat TKTCTDT"/>
      <sheetName val="TongCong PhanCung (I)"/>
      <sheetName val="TongCong PhanMem (R)"/>
      <sheetName val="MoTa YeuCau (I)"/>
      <sheetName val="Usecase (I)"/>
      <sheetName val="TAW (R)"/>
      <sheetName val="TBF (R)"/>
      <sheetName val="TrinhDo NhanLuc (I)"/>
      <sheetName val="EFW,EF,ES,P (I)"/>
      <sheetName val="TFW,TCF (I)"/>
      <sheetName val="3364 (R)"/>
      <sheetName val="2589 (R)"/>
      <sheetName val="Param ChuyenGiao"/>
      <sheetName val="ChuyenGiao"/>
      <sheetName val="DuLieu (I)"/>
      <sheetName val="NgayCong QuangNinh"/>
      <sheetName val="NgayCong General (R)"/>
      <sheetName val="NgayCong TP HCM1 (R)"/>
      <sheetName val="NgayCong TP HCM2 (R)"/>
      <sheetName val="NgayCong Tinh (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1. QLTTKT"/>
      <sheetName val="2. QLTTĐTTPTP"/>
      <sheetName val="3. THQCT&amp; KSĐT"/>
      <sheetName val="4. THQCT&amp; KSXX"/>
      <sheetName val="5. THQCT&amp; KSTHA"/>
      <sheetName val="6. KSTGTG"/>
      <sheetName val="7. NC QL&amp;TKAHS"/>
      <sheetName val="8. CTTĐT"/>
      <sheetName val="9&amp;10. TĐTT_T4TP"/>
      <sheetName val="Dinh muc 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Appendix 2"/>
      <sheetName val="Appendix 3"/>
      <sheetName val="Appendix 4"/>
      <sheetName val="Du toan"/>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Q1-02"/>
      <sheetName val="Q2-02"/>
      <sheetName val="Q3-02"/>
      <sheetName val="Outlets"/>
      <sheetName val="PGs"/>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C45"/>
      <sheetName val="C47A"/>
      <sheetName val="C47B"/>
      <sheetName val="C46"/>
      <sheetName val="DsachYT"/>
      <sheetName val="00"/>
      <sheetName val="Bhxhoi"/>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H QT"/>
      <sheetName val="KE QT"/>
      <sheetName val="T6"/>
      <sheetName val="Mau"/>
      <sheetName val="KH LDTL"/>
      <sheetName val="SILICAT_x0003_"/>
      <sheetName val="XL4Test5"/>
      <sheetName val="LUONG CHO HUU"/>
      <sheetName val="thu BHXH,YT"/>
      <sheetName val="Phan bo"/>
      <sheetName val="MTL$-INTER"/>
      <sheetName val="1-12"/>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P-KH"/>
      <sheetName val="Xuatkho"/>
      <sheetName val="PT"/>
      <sheetName val="Pivot(Silica|e)"/>
      <sheetName val="Summary"/>
      <sheetName val="Design &amp; Applications"/>
      <sheetName val="Building Summary"/>
      <sheetName val="Building"/>
      <sheetName val="External Works"/>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BLDG"/>
      <sheetName val="Macro1"/>
      <sheetName val="Macro2"/>
      <sheetName val="Macro3"/>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Chiet tinh dz22"/>
      <sheetName val="Pivot(RckWool)"/>
      <sheetName val="gvl"/>
      <sheetName val="???????-BLDG"/>
      <sheetName val="Pi6ot(Urethan)"/>
      <sheetName val="S¶_x001d_et2"/>
      <sheetName val="ROCK WO_x0003__x0000_"/>
      <sheetName val="vi_du_n"/>
      <sheetName val="vi_du"/>
      <sheetName val="Bieu 2"/>
      <sheetName val="biªu 3"/>
      <sheetName val="bieu1 CTy"/>
      <sheetName val="b2 cty"/>
      <sheetName val="b 3 cty"/>
      <sheetName val="bieu 7"/>
      <sheetName val="bieu 9"/>
      <sheetName val="b14"/>
      <sheetName val="Sheet12"/>
      <sheetName val="Q2-00"/>
      <sheetName val="TH VL, NC, DDHT Thanhphuoc"/>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뜃맟뭁돽띿맟?-BLDG"/>
      <sheetName val="CAT_5"/>
      <sheetName val="현장관리비"/>
      <sheetName val="실행내역"/>
      <sheetName val="#REF"/>
      <sheetName val="적용환율"/>
      <sheetName val="合成単価作成表-BLDG"/>
      <sheetName val="DU TRU LUONG 06 TH@NG"/>
      <sheetName val="AN CA DH 10"/>
      <sheetName val="TAM UNG LNC TH 08"/>
      <sheetName val="Leong thoi gian th 10"/>
      <sheetName val="Luong thoa gian th 11"/>
      <sheetName val="at lns th 10"/>
      <sheetName val="tam ung DNS th 11"/>
      <sheetName val="XL4Test4"/>
      <sheetName val="NEW-PANEL"/>
      <sheetName val="TH T19"/>
      <sheetName val="_x0000__x0000__x0000__x0000__x0000__x0000_"/>
      <sheetName val="Sheev6"/>
      <sheetName val="Nhap fon gia VL dia phuong"/>
      <sheetName val="Dieu chinh"/>
      <sheetName val="So -03"/>
      <sheetName val="SoLD"/>
      <sheetName val="So-02"/>
      <sheetName val="Luong moÿÿngay cong khao sat"/>
      <sheetName val="INSUL"/>
      <sheetName val="PACK"/>
      <sheetName val="INV"/>
      <sheetName val="TK-XUAT"/>
      <sheetName val="TK-NHAP"/>
      <sheetName val="DT 1"/>
      <sheetName val="DT 2"/>
      <sheetName val="DT 3"/>
      <sheetName val="DM"/>
      <sheetName val="SP"/>
      <sheetName val="NPL"/>
      <sheetName val="N"/>
      <sheetName val="X"/>
      <sheetName val="Piwot(Silicate)"/>
      <sheetName val="thong tin cty"/>
      <sheetName val="TK-in"/>
      <sheetName val="TKTH"/>
      <sheetName val="BR"/>
      <sheetName val="MV"/>
      <sheetName val="mvtt"/>
      <sheetName val="HDKT"/>
      <sheetName val="Linh tinh"/>
      <sheetName val="nk"/>
      <sheetName val="MTO REV.0"/>
      <sheetName val="Pivot(_x0007_lass Wool)"/>
      <sheetName val="bcôha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refreshError="1"/>
      <sheetData sheetId="326"/>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Total"/>
      <sheetName val="Software License "/>
      <sheetName val="service-wmware"/>
      <sheetName val="service-ADandCore"/>
      <sheetName val="service-SCCM "/>
      <sheetName val="service-SCOM "/>
      <sheetName val="BOM_Software"/>
      <sheetName val="hardware"/>
      <sheetName val="rate_TT18"/>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ce_systemSW"/>
      <sheetName val="code_price"/>
      <sheetName val="license"/>
      <sheetName val="hp-unix"/>
      <sheetName val="Specs"/>
      <sheetName val="sizing-input"/>
      <sheetName val="TCHQ_vm"/>
      <sheetName val="KBNN_vm"/>
      <sheetName val="tct_vm"/>
      <sheetName val="btc_vm"/>
      <sheetName val="DTNN_vm"/>
      <sheetName val="ubcknn_vm"/>
      <sheetName val="TTLK_vm"/>
      <sheetName val="SGDCKHN_VM"/>
      <sheetName val="power-BK"/>
      <sheetName val="hp-SAN"/>
      <sheetName val="vdi-specs"/>
      <sheetName val="vdi-store"/>
      <sheetName val="hp-blade"/>
      <sheetName val="HP-IA"/>
      <sheetName val="Oracle"/>
      <sheetName val="Device_BK_Spec"/>
      <sheetName val="device_BK_B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Phân bổ kinh phí"/>
      <sheetName val="tong du toan"/>
      <sheetName val="Chi phi du an"/>
      <sheetName val="(1)_XayLap_old"/>
      <sheetName val="(1.2)_ChiTiet_XL"/>
      <sheetName val="Phuluc1-XayLap"/>
      <sheetName val="Chi phi Khac"/>
      <sheetName val="(2)_ThietBi"/>
      <sheetName val="(2.1)_TB phan cung"/>
      <sheetName val="(2.2)_TB phanmem"/>
      <sheetName val="(2.3)_CDDL"/>
      <sheetName val="(2.4)_DaoTao"/>
      <sheetName val="(2.5)_TrienKhai"/>
      <sheetName val="(2.6)_CaiDat "/>
      <sheetName val="Phuluc2-LapDat"/>
      <sheetName val="Phuluc3-BanggiaVL"/>
      <sheetName val="Phuluc4_PM_Estimates"/>
      <sheetName val="Don gia nhan cong 2"/>
      <sheetName val="Phuluc4_PM_I"/>
      <sheetName val="Phuluc4_PM_II"/>
      <sheetName val="Phuluc4_PM_III"/>
      <sheetName val="Phuluc4_PM_IV"/>
      <sheetName val="Phuluc_PM_V"/>
      <sheetName val="Phuluc4_PM_VI"/>
      <sheetName val="DSTPQH"/>
      <sheetName val="steps"/>
      <sheetName val="Training"/>
      <sheetName val="operation"/>
      <sheetName val="Cloud service"/>
      <sheetName val="DR_Procedures"/>
      <sheetName val="PIT-Tabmis-Move"/>
      <sheetName val="Phuluc_rate_CG"/>
      <sheetName val="mov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hinh"/>
      <sheetName val="TDT_GDI"/>
      <sheetName val="Xa_phuong"/>
      <sheetName val="Quan_huyen"/>
      <sheetName val="TTDL_SoTP"/>
      <sheetName val="Trienkhai_daotao"/>
      <sheetName val="Trienkhai_QLHT"/>
      <sheetName val="KP Trien khai PM"/>
      <sheetName val="KP Dao tao PM"/>
      <sheetName val="Chiphi_nhaplieu"/>
      <sheetName val="TDT_GDII"/>
      <sheetName val="TDT_GDIII"/>
      <sheetName val="Luu"/>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PANEL"/>
    </sheetNames>
    <definedNames>
      <definedName name="DataFilter"/>
      <definedName name="DataSort"/>
      <definedName name="GoBack" sheetId="0"/>
    </definedNames>
    <sheetDataSet>
      <sheetData sheetId="0"/>
      <sheetData sheetId="1"/>
      <sheetData sheetId="2"/>
      <sheetData sheetId="3"/>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DGKSat"/>
      <sheetName val="Phan tich-DGKS"/>
      <sheetName val="Don gia vat tu"/>
      <sheetName val="DG-NC"/>
      <sheetName val="suyhao"/>
    </sheetNames>
    <sheetDataSet>
      <sheetData sheetId="0"/>
      <sheetData sheetId="1"/>
      <sheetData sheetId="2"/>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M"/>
      <sheetName val="SPEC"/>
      <sheetName val="f5"/>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ng hop"/>
      <sheetName val="Tonghop theo Vendor"/>
      <sheetName val="GD1"/>
      <sheetName val="GD2"/>
      <sheetName val="Du tru SW"/>
      <sheetName val="Phan bo nguon luc"/>
      <sheetName val="Sheet1"/>
    </sheetNames>
    <sheetDataSet>
      <sheetData sheetId="0"/>
      <sheetData sheetId="1"/>
      <sheetData sheetId="2"/>
      <sheetData sheetId="3"/>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I"/>
      <sheetName val="PL II"/>
      <sheetName val="PL II.1"/>
      <sheetName val="PL II.2"/>
      <sheetName val="Sheet1"/>
      <sheetName val="PL II.3"/>
      <sheetName val="Actors"/>
      <sheetName val="BMT"/>
      <sheetName val="User Case"/>
      <sheetName val="Chức năng"/>
      <sheetName val="TFW, TCF"/>
      <sheetName val="EFW, EF, ES, P"/>
      <sheetName val="NC"/>
      <sheetName val="H"/>
      <sheetName val="PL II.4"/>
      <sheetName val="PL II.5"/>
      <sheetName val="PL III"/>
      <sheetName val="Các hệ số"/>
      <sheetName val="DMQL"/>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sheetData sheetId="11"/>
      <sheetData sheetId="12" refreshError="1"/>
      <sheetData sheetId="13" refreshError="1"/>
      <sheetData sheetId="14"/>
      <sheetData sheetId="15" refreshError="1"/>
      <sheetData sheetId="16" refreshError="1"/>
      <sheetData sheetId="17"/>
      <sheetData sheetId="1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T"/>
      <sheetName val="DMTK"/>
      <sheetName val="SODU"/>
      <sheetName val="CDSPS"/>
      <sheetName val="CDTK 01-99"/>
      <sheetName val="CDDM98"/>
      <sheetName val="PSTH"/>
      <sheetName val="SOCAI-TK"/>
      <sheetName val="cong no 312"/>
      <sheetName val="Cong no 311"/>
      <sheetName val="531"/>
      <sheetName val="th 631"/>
      <sheetName val="TK-141-T"/>
      <sheetName val="PB-CHIPHI"/>
      <sheetName val="PB-TSCD"/>
      <sheetName val="BANG-LUONG"/>
      <sheetName val="BT-LUONG"/>
      <sheetName val="TH D.THU"/>
      <sheetName val="BANG THUE"/>
      <sheetName val="BANG G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DL"/>
      <sheetName val="ĐM 2519"/>
      <sheetName val="QĐ 993 bo TTTT"/>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I"/>
      <sheetName val="PL II"/>
      <sheetName val="PL II.1"/>
      <sheetName val="PL II.2"/>
      <sheetName val="Actors"/>
      <sheetName val="BMT"/>
      <sheetName val="User Case"/>
      <sheetName val="Chức năng"/>
      <sheetName val="TFW, TCF"/>
      <sheetName val="EFW, EF, ES, P"/>
      <sheetName val="PL II.3"/>
      <sheetName val="NC"/>
      <sheetName val="Các hệ số"/>
      <sheetName val="DM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Mo ta yeu cau"/>
      <sheetName val="Chuyen yeu cau sang Use-case"/>
      <sheetName val="TAW"/>
      <sheetName val="TBF"/>
      <sheetName val="TFW,TCF"/>
      <sheetName val="EFW,EF,ES,P"/>
      <sheetName val="3364"/>
      <sheetName val="2589"/>
      <sheetName val="KhaoSat"/>
      <sheetName val="DaoTao"/>
      <sheetName val="TrienKhai"/>
      <sheetName val="Dữ liệu đầu kỳ 1589"/>
      <sheetName val="Cấu trúc dữ liệu đầu kỳ"/>
      <sheetName val="Định giá ngày công"/>
      <sheetName val="TongH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toan TH"/>
      <sheetName val="Du toan KS"/>
      <sheetName val="Don gia KS"/>
      <sheetName val="PTDGCT"/>
      <sheetName val="DG-VL"/>
      <sheetName val="DG-NC"/>
    </sheetNames>
    <sheetDataSet>
      <sheetData sheetId="0"/>
      <sheetData sheetId="1"/>
      <sheetData sheetId="2"/>
      <sheetData sheetId="3"/>
      <sheetData sheetId="4"/>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DT"/>
      <sheetName val="A. BQPM"/>
      <sheetName val="B. CPGC-TK"/>
      <sheetName val="B1. Mô tả yêu cầu"/>
      <sheetName val="B2. User Case"/>
      <sheetName val="B3. Actors"/>
      <sheetName val="B4. BMT"/>
      <sheetName val="B5. TCW"/>
      <sheetName val="B6. EF"/>
      <sheetName val="C. Đào tạo"/>
      <sheetName val="D. Hosting"/>
      <sheetName val="Các hệ số"/>
      <sheetName val="DMQL"/>
      <sheetName val="Dịch vụ triển khai"/>
    </sheetNames>
    <sheetDataSet>
      <sheetData sheetId="0"/>
      <sheetData sheetId="1" refreshError="1"/>
      <sheetData sheetId="2" refreshError="1"/>
      <sheetData sheetId="3"/>
      <sheetData sheetId="4"/>
      <sheetData sheetId="5" refreshError="1"/>
      <sheetData sheetId="6" refreshError="1"/>
      <sheetData sheetId="7"/>
      <sheetData sheetId="8"/>
      <sheetData sheetId="9" refreshError="1"/>
      <sheetData sheetId="10" refreshError="1"/>
      <sheetData sheetId="11"/>
      <sheetData sheetId="12"/>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ối tượng"/>
      <sheetName val="THSD"/>
      <sheetName val="UC"/>
      <sheetName val="UseCase"/>
      <sheetName val="Sheet1"/>
      <sheetName val="Sheet4"/>
      <sheetName val="UC_1"/>
      <sheetName val="Sheet2"/>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KP nang cap PM"/>
      <sheetName val="Chi phí đào tạo tại HP &amp; NA"/>
      <sheetName val="Chi phí đào tạo tại ĐN"/>
      <sheetName val="Chi phí đào tạo tại TP. HCM"/>
    </sheetNames>
    <sheetDataSet>
      <sheetData sheetId="0" refreshError="1"/>
      <sheetData sheetId="1"/>
      <sheetData sheetId="2" refreshError="1"/>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 AM DT"/>
      <sheetName val="C,PHI"/>
      <sheetName val="catnen"/>
      <sheetName val="Sheet1"/>
      <sheetName val="Sheet2"/>
      <sheetName val="Sheet3"/>
      <sheetName val="XL4Poppy"/>
      <sheetName val="CAODO"/>
      <sheetName val="MD-HG"/>
      <sheetName val="RANH SDOC"/>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gVL"/>
      <sheetName val="Doi chieu I-2006"/>
      <sheetName val="Thu I"/>
      <sheetName val="7_BCT"/>
      <sheetName val="6-BCT (3)"/>
      <sheetName val="B CAO 3-06"/>
      <sheetName val="DIENTHOAI"/>
      <sheetName val="Luy ke I"/>
      <sheetName val="Baocaothu"/>
      <sheetName val="B CAO THANG"/>
      <sheetName val="S03-BH"/>
      <sheetName val="Bang gia tong hop"/>
      <sheetName val="MTL$-INTER"/>
      <sheetName val="tuong"/>
      <sheetName val="SPL4"/>
      <sheetName val="Sheat1"/>
      <sheetName val="GiaVL"/>
      <sheetName val="CTCLCH~1"/>
      <sheetName val="Tong_ke"/>
      <sheetName val="IN"/>
      <sheetName val="PBCPVC"/>
      <sheetName val="BANG LUONG "/>
      <sheetName val="BÁO CÁO KHO"/>
      <sheetName val="NHAP KHO"/>
      <sheetName val="DOANH THU"/>
      <sheetName val="242"/>
      <sheetName val="NKCHUNG"/>
      <sheetName val="THCN"/>
      <sheetName val="SOCAI"/>
      <sheetName val="THCN_TK"/>
      <sheetName val="CTCN_KH"/>
      <sheetName val="CDPS"/>
      <sheetName val="CDKT"/>
      <sheetName val="KQKD I"/>
      <sheetName val="KQKD II"/>
      <sheetName val="QT TNDN moi"/>
      <sheetName val="PL03"/>
      <sheetName val="QT TNDN"/>
      <sheetName val="KHTSCD"/>
      <sheetName val="MA"/>
      <sheetName val="XL4Test5"/>
      <sheetName val="TONG KE DZ 0.4 KV"/>
      <sheetName val="C,ÐHI"/>
      <sheetName val="RÁNH SDOC"/>
      <sheetName val="Tinh toan"/>
      <sheetName val="So lieu"/>
      <sheetName val="DSKH DIEM²_x0000__x0000_NPP"/>
      <sheetName val="PTVT (MAU)"/>
      <sheetName val="Gia vat tu"/>
      <sheetName val="Bang 2B"/>
      <sheetName val="ptdg-duong"/>
      <sheetName val="SLN"/>
      <sheetName val="TINHDAODAP"/>
      <sheetName val="TIENLUONG"/>
      <sheetName val="KL"/>
      <sheetName val="SOLIEU"/>
      <sheetName val="DSKH DIEM²"/>
      <sheetName val="BO"/>
      <sheetName val="DSKH DIEM_x0006__x0000__x0000_lapr"/>
      <sheetName val="She%t3"/>
      <sheetName val="Tru So Lam Viec"/>
      <sheetName val="DO_AM_DT"/>
      <sheetName val="RANH_SDOC"/>
      <sheetName val="DANH_SACH"/>
      <sheetName val="TAM_QUANG"/>
      <sheetName val="Dskh_diem_le-F5_vnm"/>
      <sheetName val="DSKH_DIEM_LE_NPP"/>
      <sheetName val="Doi_chieu_I-2006"/>
      <sheetName val="Thu_I"/>
      <sheetName val="6-BCT_(3)"/>
      <sheetName val="B_CAO_3-06"/>
      <sheetName val="Luy_ke_I"/>
      <sheetName val="B_CAO_THANG"/>
      <sheetName val="Bang_gia_tong_hop"/>
      <sheetName val="BANG_LUONG_"/>
      <sheetName val="BÁO_CÁO_KHO"/>
      <sheetName val="NHAP_KHO"/>
      <sheetName val="DOANH_THU"/>
      <sheetName val="KQKD_I"/>
      <sheetName val="KQKD_II"/>
      <sheetName val="QT_TNDN_moi"/>
      <sheetName val="QT_TNDN"/>
      <sheetName val="Tinh_toan"/>
      <sheetName val="So_lieu"/>
      <sheetName val="TONG_KE_DZ_0_4_KV"/>
      <sheetName val="RÁNH_SDOC"/>
      <sheetName val="DSKH_DIEM²NPP"/>
      <sheetName val="Bang_2B"/>
      <sheetName val="PTVT_(MAU)"/>
      <sheetName val="Gia_vat_tu"/>
      <sheetName val="May"/>
      <sheetName val="Vat lieu"/>
      <sheetName val="Ts"/>
      <sheetName val="CMA_Samplings KTra TSHH t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chi phi"/>
      <sheetName val="Tong hop thiet bi"/>
      <sheetName val="2 May chu-thiet bi"/>
      <sheetName val="3. PM Ung dung"/>
      <sheetName val="3.1. YCCN"/>
      <sheetName val="3.2 UCase"/>
      <sheetName val="3.3 Actor"/>
      <sheetName val="3.4. Diem"/>
      <sheetName val="3.5 Phuc tap"/>
      <sheetName val="3.6 MT"/>
      <sheetName val="3.7PM"/>
      <sheetName val="3.8 GTPM"/>
      <sheetName val="4.Phan mem bản quyền"/>
      <sheetName val="5.Daotao"/>
      <sheetName val="6.TH LD"/>
      <sheetName val="6.1 DTHM"/>
      <sheetName val="6.2 HPVT"/>
      <sheetName val="7 Chiphikhac"/>
      <sheetName val="8. Chi khao sat"/>
      <sheetName val="gia vt_nc_m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ĐT"/>
      <sheetName val="PL10.KIEMDINHATTT"/>
      <sheetName val="PL04_Cauhinh_Trienkhai"/>
      <sheetName val="PL05.DaoTao"/>
      <sheetName val="PL08.VanHanh_BK"/>
      <sheetName val="HSKTCN_KT"/>
      <sheetName val="HSTDMT_KT"/>
      <sheetName val="Actors"/>
      <sheetName val="Bảng lương"/>
      <sheetName val="TB luong KT"/>
      <sheetName val="QĐ 2387 BoTTTT"/>
      <sheetName val="QĐ 993 BoTTTT"/>
      <sheetName val="KT - CN"/>
      <sheetName val="Sheet2"/>
      <sheetName val="CV 257"/>
      <sheetName val="CPTV"/>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TMĐT"/>
      <sheetName val="THCPTB"/>
      <sheetName val="THTB1"/>
      <sheetName val="DinhMuc2378"/>
      <sheetName val="LapDatCaiDat"/>
      <sheetName val="CDLD2519"/>
      <sheetName val="DaoTao"/>
      <sheetName val="KH Dao Tao"/>
      <sheetName val="Chuyen doi CSDL"/>
      <sheetName val="DGVL"/>
      <sheetName val="Ky su "/>
      <sheetName val="DSThutuc"/>
      <sheetName val="HTK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hoi luong"/>
      <sheetName val="Bang phan tich"/>
      <sheetName val="TH vat tu"/>
      <sheetName val="Bang tinh gia VL"/>
      <sheetName val="TH Kinh phi"/>
      <sheetName val="TH thiet bi"/>
      <sheetName val="TH may TC"/>
      <sheetName val="TH Nhan cong"/>
      <sheetName val="DM Chi phi"/>
    </sheetNames>
    <sheetDataSet>
      <sheetData sheetId="0"/>
      <sheetData sheetId="1"/>
      <sheetData sheetId="2"/>
      <sheetData sheetId="3"/>
      <sheetData sheetId="4"/>
      <sheetData sheetId="5"/>
      <sheetData sheetId="6"/>
      <sheetData sheetId="7"/>
      <sheetData sheetId="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Bang ve"/>
      <sheetName val="Bang tong ke"/>
      <sheetName val="Liet ke vat tu"/>
      <sheetName val="Thang02"/>
      <sheetName val="Thang03"/>
      <sheetName val="thang04"/>
      <sheetName val="Solieu"/>
      <sheetName val="TMC"/>
      <sheetName val="TMDT"/>
      <sheetName val="GiaQuyen"/>
      <sheetName val="tong hop"/>
      <sheetName val="TONG"/>
      <sheetName val="THXL"/>
      <sheetName val="GT"/>
      <sheetName val="chitiet"/>
      <sheetName val="DG"/>
      <sheetName val="ThuHoiVT"/>
      <sheetName val="vc"/>
      <sheetName val="VCDD"/>
      <sheetName val="THXL-tr"/>
      <sheetName val="CT_tram"/>
      <sheetName val="TK"/>
      <sheetName val="bu"/>
      <sheetName val="bu-tr"/>
      <sheetName val="klth"/>
      <sheetName val="vtthuhoi"/>
      <sheetName val="tram1x25"/>
      <sheetName val="tram1x50"/>
      <sheetName val="tram3x25"/>
      <sheetName val="tram250"/>
      <sheetName val="tram160"/>
      <sheetName val="kldd2"/>
      <sheetName val="kldd1"/>
      <sheetName val="pp3p_NC"/>
      <sheetName val="pp3p "/>
      <sheetName val="pp1p"/>
      <sheetName val="pphtABC"/>
      <sheetName val="pphtAV"/>
      <sheetName val="TienLuong"/>
      <sheetName val="00000000"/>
      <sheetName val="10000000"/>
      <sheetName val="THXM-tr"/>
      <sheetName val="pp3x!"/>
      <sheetName val="Sheet2"/>
      <sheetName val="Sheet3"/>
      <sheetName val="Sheet4"/>
      <sheetName val="Sheet5"/>
      <sheetName val="XL4Test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tinChung-1"/>
      <sheetName val="HienTrangDC-2"/>
      <sheetName val="HSUngDung-3"/>
      <sheetName val="DSMayChuUngDung-4"/>
      <sheetName val="KHChuyendoiUD-5"/>
      <sheetName val="DVHaTang-6"/>
      <sheetName val="DSMaychuHaTang-7"/>
      <sheetName val="LuuTruHienTai-8"/>
      <sheetName val="SaoLuuHienNay-9"/>
      <sheetName val="yeucauluutru1-3-10"/>
      <sheetName val="nw-11"/>
      <sheetName val="list"/>
      <sheetName val="KP nang cap PM"/>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en trang DC"/>
      <sheetName val="App Profile"/>
      <sheetName val="apps_architecture"/>
      <sheetName val="apps-server"/>
      <sheetName val="KH Chuyển đổi ƯD"/>
      <sheetName val="Luu Tru"/>
      <sheetName val="Sao lưu"/>
      <sheetName val="list"/>
      <sheetName val="Taxonomy"/>
      <sheetName val="fireall-PAN"/>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otal_BTC"/>
      <sheetName val="KBNN"/>
      <sheetName val="Specs"/>
      <sheetName val="KBNN_vm"/>
      <sheetName val="DSMayChuUngDung-4"/>
      <sheetName val="oracle_lc"/>
      <sheetName val="Exadata FullR"/>
      <sheetName val="Exadata HlfR"/>
      <sheetName val="Exadata QrtR"/>
      <sheetName val="Đào tạo Exadata"/>
      <sheetName val="HP"/>
      <sheetName val="license"/>
      <sheetName val="operation-"/>
      <sheetName val="Taxonom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age Quote"/>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Mo ta yeu cau"/>
      <sheetName val="Chuyen yeu cau sang Use-case"/>
      <sheetName val="Tong hop UC"/>
      <sheetName val="TAW"/>
      <sheetName val="TBF"/>
      <sheetName val="TFW,TCF"/>
      <sheetName val="Nhan cong"/>
      <sheetName val="EFW,EF,ES,P"/>
      <sheetName val="PM1"/>
      <sheetName val="PM2"/>
      <sheetName val="KhaoSat"/>
      <sheetName val="DLDK"/>
      <sheetName val="DL Huyen"/>
      <sheetName val="Dữ liệu đầu kỳ 1595"/>
      <sheetName val="Cấu trúc dữ liệu đầu kỳ"/>
      <sheetName val="TongHop"/>
      <sheetName val="Định giá ngày công"/>
      <sheetName val="DaoTao"/>
      <sheetName val="TrienKha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ột Cửa Điện Tử"/>
      <sheetName val="Cate"/>
    </sheetNames>
    <sheetDataSet>
      <sheetData sheetId="0"/>
      <sheetData sheetId="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Ước tính số cán bộ (2)"/>
      <sheetName val="Số cán bộ KS thực tế"/>
      <sheetName val="Ước tính số cán bộ"/>
      <sheetName val="Số cán bộ 2013"/>
      <sheetName val="Đào tạo"/>
      <sheetName val="Dữ liệu khảo sát"/>
      <sheetName val="Sizing lưu trữ "/>
      <sheetName val="DS bảng + trường"/>
      <sheetName val="Sizing dự án"/>
      <sheetName val="DL mẫu chuyển đổi"/>
      <sheetName val="Sizing trao đổi TT nghiệp vụ"/>
      <sheetName val="Chuyển đổi dữ liệu"/>
      <sheetName val="Tác nhâ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s>
    <sheetDataSet>
      <sheetData sheetId="0"/>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Net_162_NVC"/>
      <sheetName val="Net_Sec_full"/>
      <sheetName val="F5"/>
      <sheetName val="Oracle License Unix"/>
      <sheetName val="Oracle License x86"/>
      <sheetName val="License"/>
      <sheetName val="BOM x86"/>
      <sheetName val="Thue DC"/>
      <sheetName val="TCHQ_vm"/>
      <sheetName val="Thống kê tủ rack"/>
      <sheetName val="Dich vu xay dung quy trinh DPTH"/>
      <sheetName val="Dich vu trien kha HT &amp; U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khung ten TD"/>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Loai-4-5"/>
      <sheetName val="om"/>
      <sheetName val="OM6"/>
      <sheetName val="om05"/>
      <sheetName val="NSU"/>
      <sheetName val="XL4Test5"/>
      <sheetName val="ESTI."/>
      <sheetName val="DI-ESTI"/>
      <sheetName val="SPL4-TOTAL"/>
      <sheetName val="Input"/>
      <sheetName val="ptdg "/>
      <sheetName val="ptke"/>
      <sheetName val="ptdg"/>
      <sheetName val="IBASE"/>
      <sheetName val="(24)-Truc 9"/>
      <sheetName val="ctdg"/>
      <sheetName val="clecÿÿt"/>
      <sheetName val="ÿÿng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heetName val="Quotation"/>
      <sheetName val="PR"/>
      <sheetName val="Incoming"/>
      <sheetName val="Movement"/>
      <sheetName val="Picking Slip"/>
      <sheetName val="Chart1"/>
      <sheetName val="specification-T123"/>
    </sheetNames>
    <sheetDataSet>
      <sheetData sheetId="0"/>
      <sheetData sheetId="1" refreshError="1"/>
      <sheetData sheetId="2"/>
      <sheetData sheetId="3" refreshError="1"/>
      <sheetData sheetId="4" refreshError="1"/>
      <sheetData sheetId="5"/>
      <sheetData sheetId="6" refreshError="1"/>
      <sheetData sheetId="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ost"/>
      <sheetName val="sys-mon"/>
      <sheetName val="System"/>
      <sheetName val="SW-License"/>
      <sheetName val="nw-sec"/>
      <sheetName val="sizing-input"/>
      <sheetName val="code_price"/>
      <sheetName val="backup"/>
      <sheetName val="PC Laptop"/>
      <sheetName val="bk-hp"/>
      <sheetName val="bk-EMC"/>
      <sheetName val="portal-btc"/>
      <sheetName val="portal-dttc-kb"/>
      <sheetName val="btc_vm"/>
      <sheetName val="KBNN_vm"/>
      <sheetName val="Shared-store"/>
      <sheetName val="gdt-storate at HCM"/>
      <sheetName val="DTNN_vm"/>
      <sheetName val="TCHQ_vm"/>
      <sheetName val="tct_vm"/>
      <sheetName val="ubcknn_vm"/>
      <sheetName val="SGDCKHN_VM"/>
      <sheetName val="VSD_vm"/>
      <sheetName val="cloud-storage"/>
      <sheetName val="nguyen tac tinh"/>
      <sheetName val="lo trinh"/>
      <sheetName val="App_total"/>
      <sheetName val="license"/>
      <sheetName val="hp-blade-drc2"/>
      <sheetName val="power-BK"/>
      <sheetName val="LB-DC"/>
      <sheetName val="LB-DR"/>
      <sheetName val="LB"/>
      <sheetName val="bk-Spec"/>
      <sheetName val="system - spec"/>
      <sheetName val="smart_cloud"/>
      <sheetName val="smart_cloud (2)"/>
      <sheetName val="cloud-2"/>
      <sheetName val="Specs"/>
      <sheetName val="Rack"/>
      <sheetName val="cabling"/>
      <sheetName val="Oracle Sparc T"/>
      <sheetName val="hp-unix 1"/>
      <sheetName val="HP UX 2"/>
      <sheetName val="new storage"/>
      <sheetName val="HP-SAN (option2)"/>
      <sheetName val="hp-SAN(optipn1)"/>
      <sheetName val="vdi-specs"/>
      <sheetName val="vdi-store"/>
      <sheetName val="hp_blade-cloud"/>
      <sheetName val="HP-IA"/>
      <sheetName val="BK_spec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Tong gia tri phan mem"/>
      <sheetName val="Estimates"/>
      <sheetName val="PhulucI"/>
      <sheetName val="PhulucII"/>
      <sheetName val="PhulucIII"/>
      <sheetName val="PhulucIV"/>
      <sheetName val="PhulucV"/>
      <sheetName val="PhulucVI"/>
      <sheetName val="Don gia nhan co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ESTI_"/>
      <sheetName val="DI_ESTI"/>
      <sheetName val="IBASE"/>
      <sheetName val="NEW-PANEL"/>
    </sheetNames>
    <sheetDataSet>
      <sheetData sheetId="0" refreshError="1"/>
      <sheetData sheetId="1" refreshError="1"/>
      <sheetData sheetId="2" refreshError="1"/>
      <sheetData sheetId="3" refreshError="1"/>
      <sheetData sheetId="4"/>
      <sheetData sheetId="5"/>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C (2)"/>
      <sheetName val="Giấy cấp phép_2"/>
      <sheetName val="Sheet14"/>
      <sheetName val="Sheet15"/>
      <sheetName val="Sheet16"/>
      <sheetName val="Sheet18"/>
      <sheetName val="Sheet17"/>
      <sheetName val="Sheet19"/>
      <sheetName val="Sheet20"/>
      <sheetName val="Sheet12"/>
      <sheetName val="Usecase"/>
      <sheetName val="Bộ hồ sơ xin cấp phép"/>
      <sheetName val="Đơn xin cấp phép"/>
      <sheetName val="Giấy cấp phép"/>
      <sheetName val="Giấp phép"/>
      <sheetName val="Sheet1"/>
      <sheetName val="Sheet11"/>
      <sheetName val="U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ầu vào"/>
      <sheetName val="1. Tiên lượng"/>
      <sheetName val="Giá TB"/>
      <sheetName val="Bù giá CM"/>
      <sheetName val="Cước CG"/>
      <sheetName val="Cước TC"/>
      <sheetName val="Cước ĐT"/>
      <sheetName val="Phân tích VT"/>
      <sheetName val="Vật liệu"/>
      <sheetName val="Nhân công"/>
      <sheetName val="Máy TC"/>
      <sheetName val="Chiết tính"/>
      <sheetName val="ĐG Công trình"/>
      <sheetName val="2. Tổng hợp KPHM"/>
      <sheetName val="3. THCPXD"/>
      <sheetName val="THCPTB"/>
      <sheetName val="THKP1751"/>
      <sheetName val="CV1751"/>
      <sheetName val="THKP957"/>
      <sheetName val="TH Thép"/>
      <sheetName val="CFDP"/>
      <sheetName val="QD957"/>
      <sheetName val="Bìa"/>
      <sheetName val="Tính giá NC"/>
      <sheetName val="Tính giá M"/>
      <sheetName val="SL cước"/>
      <sheetName val="Config"/>
      <sheetName val="Bang THMTC"/>
      <sheetName val="Prin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 luong CMC Soft"/>
      <sheetName val="Skills"/>
      <sheetName val="Danh sach 1-2001"/>
      <sheetName val="Luong thang10-2000"/>
    </sheetNames>
    <sheetDataSet>
      <sheetData sheetId="0"/>
      <sheetData sheetId="1"/>
      <sheetData sheetId="2"/>
      <sheetData sheetId="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TMĐT"/>
      <sheetName val="THCPTB"/>
      <sheetName val="Dinhmuc993"/>
      <sheetName val="ThietBi"/>
      <sheetName val="Chi tiết lắp đặt"/>
      <sheetName val="Phân tích vật tư"/>
      <sheetName val="ChiPhi_trienkhai"/>
      <sheetName val="Chuyển đổi dữ liệu"/>
      <sheetName val="Du toan TVKS"/>
      <sheetName val="Nhancong"/>
      <sheetName val="Banggi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s>
    <sheetDataSet>
      <sheetData sheetId="0"/>
      <sheetData sheetId="1"/>
      <sheetData sheetId="2"/>
      <sheetData sheetId="3"/>
      <sheetData sheetId="4"/>
      <sheetData sheetId="5"/>
      <sheetData sheetId="6"/>
      <sheetData sheetId="7"/>
      <sheetData sheetId="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et thiet bi cac hang muc"/>
      <sheetName val="Khai toan chi tiet"/>
      <sheetName val="UPS, RACK"/>
      <sheetName val="Điện và làm mát"/>
      <sheetName val="Cabling"/>
      <sheetName val="CCTV &amp; Access Control"/>
      <sheetName val="San nang-Tran gia"/>
      <sheetName val="FM200"/>
      <sheetName val="Chong set"/>
      <sheetName val="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N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thuvienphapluat.vn/van-ban/Cong-nghe-thong-tin/Quyet-dinh-1688-QD-BTTTT-2019-sua-doi-Quyet-dinh-2378-QD-BTTTT-426256.aspx" TargetMode="External"/><Relationship Id="rId2" Type="http://schemas.openxmlformats.org/officeDocument/2006/relationships/hyperlink" Target="https://thuvienphapluat.vn/van-ban/Cong-nghe-thong-tin/Quyet-dinh-1688-QD-BTTTT-2019-sua-doi-Quyet-dinh-2378-QD-BTTTT-426256.aspx" TargetMode="External"/><Relationship Id="rId1" Type="http://schemas.openxmlformats.org/officeDocument/2006/relationships/hyperlink" Target="https://thuvienphapluat.vn/van-ban/Cong-nghe-thong-tin/Quyet-dinh-1688-QD-BTTTT-2019-sua-doi-Quyet-dinh-2378-QD-BTTTT-426256.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11" sqref="C11"/>
    </sheetView>
  </sheetViews>
  <sheetFormatPr defaultColWidth="10.109375" defaultRowHeight="15" customHeight="1"/>
  <cols>
    <col min="1" max="1" width="4.88671875" customWidth="1"/>
    <col min="2" max="2" width="33.6640625" customWidth="1"/>
    <col min="3" max="3" width="21" customWidth="1"/>
    <col min="4" max="4" width="15.77734375" customWidth="1"/>
    <col min="5" max="5" width="10.77734375" customWidth="1"/>
    <col min="6" max="6" width="7" customWidth="1"/>
    <col min="7" max="7" width="26.77734375" customWidth="1"/>
    <col min="8" max="8" width="19.6640625" customWidth="1"/>
    <col min="9" max="25" width="7" customWidth="1"/>
  </cols>
  <sheetData>
    <row r="1" spans="1:26" ht="34.5" customHeight="1">
      <c r="A1" s="343" t="s">
        <v>0</v>
      </c>
      <c r="B1" s="380"/>
      <c r="C1" s="380"/>
      <c r="D1" s="380"/>
      <c r="E1" s="380"/>
      <c r="F1" s="9"/>
      <c r="G1" s="9"/>
      <c r="H1" s="9"/>
      <c r="I1" s="9"/>
      <c r="J1" s="9"/>
      <c r="K1" s="9"/>
      <c r="L1" s="9"/>
      <c r="M1" s="9"/>
      <c r="N1" s="9"/>
      <c r="O1" s="9"/>
      <c r="P1" s="9"/>
      <c r="Q1" s="9"/>
      <c r="R1" s="9"/>
      <c r="S1" s="9"/>
      <c r="T1" s="9"/>
      <c r="U1" s="9"/>
      <c r="V1" s="9"/>
      <c r="W1" s="9"/>
      <c r="X1" s="9"/>
      <c r="Y1" s="9"/>
      <c r="Z1" s="9"/>
    </row>
    <row r="2" spans="1:26" ht="16.5" customHeight="1">
      <c r="A2" s="344"/>
      <c r="B2" s="381"/>
      <c r="C2" s="381"/>
      <c r="D2" s="381"/>
      <c r="E2" s="10"/>
      <c r="F2" s="9"/>
      <c r="G2" s="9"/>
      <c r="H2" s="9"/>
      <c r="I2" s="9"/>
      <c r="J2" s="9"/>
      <c r="K2" s="9"/>
      <c r="L2" s="9"/>
      <c r="M2" s="9"/>
      <c r="N2" s="9"/>
      <c r="O2" s="9"/>
      <c r="P2" s="9"/>
      <c r="Q2" s="9"/>
      <c r="R2" s="9"/>
      <c r="S2" s="9"/>
      <c r="T2" s="9"/>
      <c r="U2" s="9"/>
      <c r="V2" s="9"/>
      <c r="W2" s="9"/>
      <c r="X2" s="9"/>
      <c r="Y2" s="9"/>
      <c r="Z2" s="9"/>
    </row>
    <row r="3" spans="1:26" ht="16.5" customHeight="1">
      <c r="A3" s="11" t="s">
        <v>1</v>
      </c>
      <c r="B3" s="12" t="s">
        <v>2</v>
      </c>
      <c r="C3" s="12" t="s">
        <v>3</v>
      </c>
      <c r="D3" s="12" t="s">
        <v>4</v>
      </c>
      <c r="E3" s="12" t="s">
        <v>5</v>
      </c>
      <c r="F3" s="9"/>
      <c r="G3" s="9"/>
      <c r="H3" s="9"/>
      <c r="I3" s="9"/>
      <c r="J3" s="9"/>
      <c r="K3" s="9"/>
      <c r="L3" s="9"/>
      <c r="M3" s="9"/>
      <c r="N3" s="9"/>
      <c r="O3" s="9"/>
      <c r="P3" s="9"/>
      <c r="Q3" s="9"/>
      <c r="R3" s="9"/>
      <c r="S3" s="9"/>
      <c r="T3" s="9"/>
      <c r="U3" s="9"/>
      <c r="V3" s="9"/>
      <c r="W3" s="9"/>
      <c r="X3" s="9"/>
      <c r="Y3" s="9"/>
      <c r="Z3" s="9"/>
    </row>
    <row r="4" spans="1:26" ht="16.5" customHeight="1">
      <c r="A4" s="13" t="s">
        <v>6</v>
      </c>
      <c r="B4" s="14" t="s">
        <v>7</v>
      </c>
      <c r="C4" s="15"/>
      <c r="D4" s="16"/>
      <c r="E4" s="17"/>
      <c r="F4" s="9"/>
      <c r="G4" s="9"/>
      <c r="H4" s="9"/>
      <c r="I4" s="9"/>
      <c r="J4" s="9"/>
      <c r="K4" s="9"/>
      <c r="L4" s="9"/>
      <c r="M4" s="9"/>
      <c r="N4" s="9"/>
      <c r="O4" s="9"/>
      <c r="P4" s="9"/>
      <c r="Q4" s="9"/>
      <c r="R4" s="9"/>
      <c r="S4" s="9"/>
      <c r="T4" s="9"/>
      <c r="U4" s="9"/>
      <c r="V4" s="9"/>
      <c r="W4" s="9"/>
      <c r="X4" s="9"/>
      <c r="Y4" s="9"/>
      <c r="Z4" s="9"/>
    </row>
    <row r="5" spans="1:26" ht="16.5" customHeight="1">
      <c r="A5" s="18">
        <v>1</v>
      </c>
      <c r="B5" s="19" t="s">
        <v>8</v>
      </c>
      <c r="C5" s="19" t="s">
        <v>9</v>
      </c>
      <c r="D5" s="20">
        <f>'1.2.TAW'!F8</f>
        <v>17</v>
      </c>
      <c r="E5" s="15" t="s">
        <v>9</v>
      </c>
      <c r="F5" s="9"/>
      <c r="G5" s="9"/>
      <c r="H5" s="9"/>
      <c r="I5" s="9"/>
      <c r="J5" s="9"/>
      <c r="K5" s="9"/>
      <c r="L5" s="9"/>
      <c r="M5" s="9"/>
      <c r="N5" s="9"/>
      <c r="O5" s="9"/>
      <c r="P5" s="9"/>
      <c r="Q5" s="9"/>
      <c r="R5" s="9"/>
      <c r="S5" s="9"/>
      <c r="T5" s="9"/>
      <c r="U5" s="9"/>
      <c r="V5" s="9"/>
      <c r="W5" s="9"/>
      <c r="X5" s="9"/>
      <c r="Y5" s="9"/>
      <c r="Z5" s="9"/>
    </row>
    <row r="6" spans="1:26" ht="16.5" customHeight="1">
      <c r="A6" s="18">
        <v>2</v>
      </c>
      <c r="B6" s="21" t="s">
        <v>10</v>
      </c>
      <c r="C6" s="19" t="s">
        <v>11</v>
      </c>
      <c r="D6" s="20">
        <f>'1.3. TBF'!F17</f>
        <v>1720</v>
      </c>
      <c r="E6" s="15" t="s">
        <v>11</v>
      </c>
      <c r="F6" s="9"/>
      <c r="G6" s="9"/>
      <c r="H6" s="9"/>
      <c r="I6" s="9"/>
      <c r="J6" s="9"/>
      <c r="K6" s="9"/>
      <c r="L6" s="9"/>
      <c r="M6" s="9"/>
      <c r="N6" s="9"/>
      <c r="O6" s="9"/>
      <c r="P6" s="9"/>
      <c r="Q6" s="9"/>
      <c r="R6" s="9"/>
      <c r="S6" s="9"/>
      <c r="T6" s="9"/>
      <c r="U6" s="9"/>
      <c r="V6" s="9"/>
      <c r="W6" s="9"/>
      <c r="X6" s="9"/>
      <c r="Y6" s="9"/>
      <c r="Z6" s="9"/>
    </row>
    <row r="7" spans="1:26" ht="16.5" customHeight="1">
      <c r="A7" s="18">
        <v>3</v>
      </c>
      <c r="B7" s="21" t="s">
        <v>12</v>
      </c>
      <c r="C7" s="22" t="s">
        <v>13</v>
      </c>
      <c r="D7" s="20">
        <f>D5+D6</f>
        <v>1737</v>
      </c>
      <c r="E7" s="15" t="s">
        <v>14</v>
      </c>
      <c r="F7" s="9"/>
      <c r="G7" s="9"/>
      <c r="H7" s="9"/>
      <c r="I7" s="9"/>
      <c r="J7" s="9"/>
      <c r="K7" s="9"/>
      <c r="L7" s="9"/>
      <c r="M7" s="9"/>
      <c r="N7" s="9"/>
      <c r="O7" s="9"/>
      <c r="P7" s="9"/>
      <c r="Q7" s="9"/>
      <c r="R7" s="9"/>
      <c r="S7" s="9"/>
      <c r="T7" s="9"/>
      <c r="U7" s="9"/>
      <c r="V7" s="9"/>
      <c r="W7" s="9"/>
      <c r="X7" s="9"/>
      <c r="Y7" s="9"/>
      <c r="Z7" s="9"/>
    </row>
    <row r="8" spans="1:26" ht="16.5" customHeight="1">
      <c r="A8" s="18">
        <v>4</v>
      </c>
      <c r="B8" s="19" t="s">
        <v>15</v>
      </c>
      <c r="C8" s="19" t="s">
        <v>16</v>
      </c>
      <c r="D8" s="23">
        <f>'1.4.TCF moi'!E19</f>
        <v>0.98</v>
      </c>
      <c r="E8" s="15" t="s">
        <v>17</v>
      </c>
      <c r="F8" s="9"/>
      <c r="G8" s="9"/>
      <c r="H8" s="9"/>
      <c r="I8" s="9"/>
      <c r="J8" s="9"/>
      <c r="K8" s="9"/>
      <c r="L8" s="9"/>
      <c r="M8" s="9"/>
      <c r="N8" s="9"/>
      <c r="O8" s="9"/>
      <c r="P8" s="9"/>
      <c r="Q8" s="9"/>
      <c r="R8" s="9"/>
      <c r="S8" s="9"/>
      <c r="T8" s="9"/>
      <c r="U8" s="9"/>
      <c r="V8" s="9"/>
      <c r="W8" s="9"/>
      <c r="X8" s="9"/>
      <c r="Y8" s="9"/>
      <c r="Z8" s="9"/>
    </row>
    <row r="9" spans="1:26" ht="16.5" customHeight="1">
      <c r="A9" s="18">
        <v>5</v>
      </c>
      <c r="B9" s="21" t="s">
        <v>18</v>
      </c>
      <c r="C9" s="19" t="s">
        <v>19</v>
      </c>
      <c r="D9" s="24">
        <f>'1.5. EF moi'!E13</f>
        <v>0.93499999999999994</v>
      </c>
      <c r="E9" s="15" t="s">
        <v>20</v>
      </c>
      <c r="F9" s="9"/>
      <c r="G9" s="9"/>
      <c r="H9" s="9"/>
      <c r="I9" s="9"/>
      <c r="J9" s="9"/>
      <c r="K9" s="9"/>
      <c r="L9" s="9"/>
      <c r="M9" s="9"/>
      <c r="N9" s="9"/>
      <c r="O9" s="9"/>
      <c r="P9" s="9"/>
      <c r="Q9" s="9"/>
      <c r="R9" s="9"/>
      <c r="S9" s="9"/>
      <c r="T9" s="9"/>
      <c r="U9" s="9"/>
      <c r="V9" s="9"/>
      <c r="W9" s="9"/>
      <c r="X9" s="9"/>
      <c r="Y9" s="9"/>
      <c r="Z9" s="9"/>
    </row>
    <row r="10" spans="1:26" ht="16.5" customHeight="1">
      <c r="A10" s="18">
        <v>6</v>
      </c>
      <c r="B10" s="25" t="s">
        <v>21</v>
      </c>
      <c r="C10" s="26" t="s">
        <v>22</v>
      </c>
      <c r="D10" s="27">
        <f>D7*D8*D9</f>
        <v>1591.6130999999998</v>
      </c>
      <c r="E10" s="15" t="s">
        <v>23</v>
      </c>
      <c r="F10" s="9"/>
      <c r="G10" s="9"/>
      <c r="H10" s="9"/>
      <c r="I10" s="9"/>
      <c r="J10" s="9"/>
      <c r="K10" s="9"/>
      <c r="L10" s="9"/>
      <c r="M10" s="9"/>
      <c r="N10" s="9"/>
      <c r="O10" s="9"/>
      <c r="P10" s="9"/>
      <c r="Q10" s="9"/>
      <c r="R10" s="9"/>
      <c r="S10" s="9"/>
      <c r="T10" s="9"/>
      <c r="U10" s="9"/>
      <c r="V10" s="9"/>
      <c r="W10" s="9"/>
      <c r="X10" s="9"/>
      <c r="Y10" s="9"/>
      <c r="Z10" s="9"/>
    </row>
    <row r="11" spans="1:26" ht="16.5" customHeight="1">
      <c r="A11" s="13" t="s">
        <v>24</v>
      </c>
      <c r="B11" s="28" t="s">
        <v>25</v>
      </c>
      <c r="C11" s="19" t="s">
        <v>26</v>
      </c>
      <c r="D11" s="27">
        <f>'1.5. EF moi'!F15</f>
        <v>26.699999999999996</v>
      </c>
      <c r="E11" s="17" t="s">
        <v>26</v>
      </c>
      <c r="F11" s="9"/>
      <c r="G11" s="9"/>
      <c r="H11" s="9"/>
      <c r="I11" s="9"/>
      <c r="J11" s="9"/>
      <c r="K11" s="9"/>
      <c r="L11" s="9"/>
      <c r="M11" s="9"/>
      <c r="N11" s="9"/>
      <c r="O11" s="9"/>
      <c r="P11" s="9"/>
      <c r="Q11" s="9"/>
      <c r="R11" s="9"/>
      <c r="S11" s="9"/>
      <c r="T11" s="9"/>
      <c r="U11" s="9"/>
      <c r="V11" s="9"/>
      <c r="W11" s="9"/>
      <c r="X11" s="9"/>
      <c r="Y11" s="9"/>
      <c r="Z11" s="9"/>
    </row>
    <row r="12" spans="1:26" ht="16.5" customHeight="1">
      <c r="A12" s="13" t="s">
        <v>27</v>
      </c>
      <c r="B12" s="29" t="s">
        <v>28</v>
      </c>
      <c r="C12" s="26" t="s">
        <v>29</v>
      </c>
      <c r="D12" s="30">
        <f>10/6*D10</f>
        <v>2652.6884999999997</v>
      </c>
      <c r="E12" s="17" t="s">
        <v>30</v>
      </c>
      <c r="F12" s="31"/>
      <c r="G12" s="31"/>
      <c r="H12" s="31"/>
      <c r="I12" s="31"/>
      <c r="J12" s="31"/>
      <c r="K12" s="31"/>
      <c r="L12" s="31"/>
      <c r="M12" s="31"/>
      <c r="N12" s="31"/>
      <c r="O12" s="31"/>
      <c r="P12" s="31"/>
      <c r="Q12" s="31"/>
      <c r="R12" s="31"/>
      <c r="S12" s="31"/>
      <c r="T12" s="31"/>
      <c r="U12" s="31"/>
      <c r="V12" s="31"/>
      <c r="W12" s="31"/>
      <c r="X12" s="31"/>
      <c r="Y12" s="31"/>
      <c r="Z12" s="31"/>
    </row>
    <row r="13" spans="1:26" ht="16.5" customHeight="1">
      <c r="A13" s="13" t="s">
        <v>31</v>
      </c>
      <c r="B13" s="28" t="s">
        <v>32</v>
      </c>
      <c r="C13" s="32" t="s">
        <v>33</v>
      </c>
      <c r="D13" s="33">
        <f>'Bang luong'!D19</f>
        <v>72594</v>
      </c>
      <c r="E13" s="13" t="s">
        <v>34</v>
      </c>
      <c r="F13" s="31"/>
      <c r="G13" s="34"/>
      <c r="H13" s="31"/>
      <c r="I13" s="31"/>
      <c r="J13" s="31"/>
      <c r="K13" s="31"/>
      <c r="L13" s="31"/>
      <c r="M13" s="31"/>
      <c r="N13" s="31"/>
      <c r="O13" s="31"/>
      <c r="P13" s="31"/>
      <c r="Q13" s="31"/>
      <c r="R13" s="31"/>
      <c r="S13" s="31"/>
      <c r="T13" s="31"/>
      <c r="U13" s="31"/>
      <c r="V13" s="31"/>
      <c r="W13" s="31"/>
      <c r="X13" s="31"/>
      <c r="Y13" s="31"/>
      <c r="Z13" s="31"/>
    </row>
    <row r="14" spans="1:26" ht="16.5" customHeight="1">
      <c r="A14" s="13" t="s">
        <v>35</v>
      </c>
      <c r="B14" s="29" t="s">
        <v>36</v>
      </c>
      <c r="C14" s="29" t="s">
        <v>37</v>
      </c>
      <c r="D14" s="30">
        <f>1.4*D12*D11*D13</f>
        <v>7198239274.0612183</v>
      </c>
      <c r="E14" s="17" t="s">
        <v>38</v>
      </c>
      <c r="F14" s="31"/>
      <c r="G14" s="35"/>
      <c r="H14" s="31"/>
      <c r="I14" s="31"/>
      <c r="J14" s="31"/>
      <c r="K14" s="31"/>
      <c r="L14" s="31"/>
      <c r="M14" s="31"/>
      <c r="N14" s="31"/>
      <c r="O14" s="31"/>
      <c r="P14" s="31"/>
      <c r="Q14" s="31"/>
      <c r="R14" s="31"/>
      <c r="S14" s="31"/>
      <c r="T14" s="31"/>
      <c r="U14" s="31"/>
      <c r="V14" s="31"/>
      <c r="W14" s="31"/>
      <c r="X14" s="31"/>
      <c r="Y14" s="31"/>
      <c r="Z14" s="31"/>
    </row>
    <row r="15" spans="1:26" ht="21" customHeight="1">
      <c r="A15" s="345" t="s">
        <v>39</v>
      </c>
      <c r="B15" s="380"/>
      <c r="C15" s="380"/>
      <c r="D15" s="380"/>
      <c r="E15" s="380"/>
      <c r="F15" s="31"/>
      <c r="G15" s="31"/>
      <c r="H15" s="31"/>
      <c r="I15" s="9"/>
      <c r="J15" s="9"/>
      <c r="K15" s="9"/>
      <c r="L15" s="9"/>
      <c r="M15" s="9"/>
      <c r="N15" s="9"/>
      <c r="O15" s="9"/>
      <c r="P15" s="9"/>
      <c r="Q15" s="9"/>
      <c r="R15" s="9"/>
      <c r="S15" s="9"/>
      <c r="T15" s="9"/>
      <c r="U15" s="9"/>
      <c r="V15" s="9"/>
      <c r="W15" s="9"/>
      <c r="X15" s="9"/>
      <c r="Y15" s="9"/>
      <c r="Z15" s="9"/>
    </row>
    <row r="16" spans="1:26" ht="16.5" customHeight="1">
      <c r="A16" s="36"/>
      <c r="B16" s="36"/>
      <c r="C16" s="36"/>
      <c r="D16" s="37"/>
      <c r="E16" s="38"/>
      <c r="F16" s="36"/>
      <c r="G16" s="36"/>
      <c r="H16" s="36"/>
      <c r="I16" s="9"/>
      <c r="J16" s="9"/>
      <c r="K16" s="9"/>
      <c r="L16" s="9"/>
      <c r="M16" s="9"/>
      <c r="N16" s="9"/>
      <c r="O16" s="9"/>
      <c r="P16" s="9"/>
      <c r="Q16" s="9"/>
      <c r="R16" s="9"/>
      <c r="S16" s="9"/>
      <c r="T16" s="9"/>
      <c r="U16" s="9"/>
      <c r="V16" s="9"/>
      <c r="W16" s="9"/>
      <c r="X16" s="9"/>
      <c r="Y16" s="9"/>
      <c r="Z16" s="9"/>
    </row>
    <row r="17" spans="1:26" ht="16.5" customHeight="1">
      <c r="A17" s="11" t="s">
        <v>1</v>
      </c>
      <c r="B17" s="12" t="s">
        <v>40</v>
      </c>
      <c r="C17" s="12" t="s">
        <v>41</v>
      </c>
      <c r="D17" s="39" t="s">
        <v>4</v>
      </c>
      <c r="E17" s="12" t="s">
        <v>42</v>
      </c>
      <c r="F17" s="9"/>
      <c r="G17" s="9"/>
      <c r="H17" s="9"/>
      <c r="I17" s="9"/>
      <c r="J17" s="9"/>
      <c r="K17" s="9"/>
      <c r="L17" s="9"/>
      <c r="M17" s="9"/>
      <c r="N17" s="9"/>
      <c r="O17" s="9"/>
      <c r="P17" s="9"/>
      <c r="Q17" s="9"/>
      <c r="R17" s="9"/>
      <c r="S17" s="9"/>
      <c r="T17" s="9"/>
      <c r="U17" s="9"/>
      <c r="V17" s="9"/>
      <c r="W17" s="9"/>
      <c r="X17" s="9"/>
      <c r="Y17" s="9"/>
      <c r="Z17" s="9"/>
    </row>
    <row r="18" spans="1:26" ht="16.5" customHeight="1">
      <c r="A18" s="13">
        <v>1</v>
      </c>
      <c r="B18" s="40" t="s">
        <v>43</v>
      </c>
      <c r="C18" s="15" t="s">
        <v>44</v>
      </c>
      <c r="D18" s="30">
        <f>D14</f>
        <v>7198239274.0612183</v>
      </c>
      <c r="E18" s="17" t="s">
        <v>38</v>
      </c>
      <c r="F18" s="9"/>
      <c r="G18" s="9"/>
      <c r="H18" s="9"/>
      <c r="I18" s="9"/>
      <c r="J18" s="9"/>
      <c r="K18" s="9"/>
      <c r="L18" s="9"/>
      <c r="M18" s="9"/>
      <c r="N18" s="9"/>
      <c r="O18" s="9"/>
      <c r="P18" s="9"/>
      <c r="Q18" s="9"/>
      <c r="R18" s="9"/>
      <c r="S18" s="9"/>
      <c r="T18" s="9"/>
      <c r="U18" s="9"/>
      <c r="V18" s="9"/>
      <c r="W18" s="9"/>
      <c r="X18" s="9"/>
      <c r="Y18" s="9"/>
      <c r="Z18" s="9"/>
    </row>
    <row r="19" spans="1:26" ht="16.5" customHeight="1">
      <c r="A19" s="18">
        <v>2</v>
      </c>
      <c r="B19" s="21" t="s">
        <v>45</v>
      </c>
      <c r="C19" s="41" t="s">
        <v>46</v>
      </c>
      <c r="D19" s="20">
        <f>D18*0.65</f>
        <v>4678855528.1397924</v>
      </c>
      <c r="E19" s="17" t="s">
        <v>47</v>
      </c>
      <c r="F19" s="9"/>
      <c r="G19" s="9"/>
      <c r="H19" s="9"/>
      <c r="I19" s="9"/>
      <c r="J19" s="9"/>
      <c r="K19" s="9"/>
      <c r="L19" s="9"/>
      <c r="M19" s="9"/>
      <c r="N19" s="9"/>
      <c r="O19" s="9"/>
      <c r="P19" s="9"/>
      <c r="Q19" s="9"/>
      <c r="R19" s="9"/>
      <c r="S19" s="9"/>
      <c r="T19" s="9"/>
      <c r="U19" s="9"/>
      <c r="V19" s="9"/>
      <c r="W19" s="9"/>
      <c r="X19" s="9"/>
      <c r="Y19" s="9"/>
      <c r="Z19" s="9"/>
    </row>
    <row r="20" spans="1:26" ht="16.5" customHeight="1">
      <c r="A20" s="18">
        <v>3</v>
      </c>
      <c r="B20" s="21" t="s">
        <v>48</v>
      </c>
      <c r="C20" s="41" t="s">
        <v>49</v>
      </c>
      <c r="D20" s="20">
        <f>(D18+D19)*6%</f>
        <v>712625688.13206065</v>
      </c>
      <c r="E20" s="17" t="s">
        <v>50</v>
      </c>
      <c r="F20" s="9"/>
      <c r="G20" s="9"/>
      <c r="H20" s="9"/>
      <c r="I20" s="9"/>
      <c r="J20" s="9"/>
      <c r="K20" s="9"/>
      <c r="L20" s="9"/>
      <c r="M20" s="9"/>
      <c r="N20" s="9"/>
      <c r="O20" s="9"/>
      <c r="P20" s="9"/>
      <c r="Q20" s="9"/>
      <c r="R20" s="9"/>
      <c r="S20" s="9"/>
      <c r="T20" s="9"/>
      <c r="U20" s="9"/>
      <c r="V20" s="9"/>
      <c r="W20" s="9"/>
      <c r="X20" s="9"/>
      <c r="Y20" s="9"/>
      <c r="Z20" s="9"/>
    </row>
    <row r="21" spans="1:26" ht="16.5" customHeight="1">
      <c r="A21" s="18">
        <v>4</v>
      </c>
      <c r="B21" s="40" t="s">
        <v>51</v>
      </c>
      <c r="C21" s="41" t="s">
        <v>52</v>
      </c>
      <c r="D21" s="20">
        <f>SUM(D18:D20)</f>
        <v>12589720490.333073</v>
      </c>
      <c r="E21" s="17" t="s">
        <v>53</v>
      </c>
      <c r="F21" s="9"/>
      <c r="G21" s="9"/>
      <c r="H21" s="9"/>
      <c r="I21" s="9"/>
      <c r="J21" s="9"/>
      <c r="K21" s="9"/>
      <c r="L21" s="9"/>
      <c r="M21" s="9"/>
      <c r="N21" s="9"/>
      <c r="O21" s="9"/>
      <c r="P21" s="9"/>
      <c r="Q21" s="9"/>
      <c r="R21" s="9"/>
      <c r="S21" s="9"/>
      <c r="T21" s="9"/>
      <c r="U21" s="9"/>
      <c r="V21" s="9"/>
      <c r="W21" s="9"/>
      <c r="X21" s="9"/>
      <c r="Y21" s="9"/>
      <c r="Z21" s="9"/>
    </row>
    <row r="22" spans="1:26" ht="16.5" customHeight="1">
      <c r="A22" s="18"/>
      <c r="B22" s="40" t="s">
        <v>54</v>
      </c>
      <c r="C22" s="42" t="s">
        <v>53</v>
      </c>
      <c r="D22" s="30">
        <f>D21</f>
        <v>12589720490.333073</v>
      </c>
      <c r="E22" s="15"/>
      <c r="F22" s="9"/>
      <c r="G22" s="9"/>
      <c r="H22" s="9"/>
      <c r="I22" s="9"/>
      <c r="J22" s="9"/>
      <c r="K22" s="9"/>
      <c r="L22" s="9"/>
      <c r="M22" s="9"/>
      <c r="N22" s="9"/>
      <c r="O22" s="9"/>
      <c r="P22" s="9"/>
      <c r="Q22" s="9"/>
      <c r="R22" s="9"/>
      <c r="S22" s="9"/>
      <c r="T22" s="9"/>
      <c r="U22" s="9"/>
      <c r="V22" s="9"/>
      <c r="W22" s="9"/>
      <c r="X22" s="9"/>
      <c r="Y22" s="9"/>
      <c r="Z22" s="9"/>
    </row>
    <row r="23" spans="1:26" ht="16.5" customHeight="1">
      <c r="A23" s="9"/>
      <c r="B23" s="9"/>
      <c r="C23" s="9"/>
      <c r="D23" s="43"/>
      <c r="E23" s="10"/>
      <c r="F23" s="9"/>
      <c r="G23" s="9"/>
      <c r="H23" s="9"/>
      <c r="I23" s="9"/>
      <c r="J23" s="9"/>
      <c r="K23" s="9"/>
      <c r="L23" s="9"/>
      <c r="M23" s="9"/>
      <c r="N23" s="9"/>
      <c r="O23" s="9"/>
      <c r="P23" s="9"/>
      <c r="Q23" s="9"/>
      <c r="R23" s="9"/>
      <c r="S23" s="9"/>
      <c r="T23" s="9"/>
      <c r="U23" s="9"/>
      <c r="V23" s="9"/>
      <c r="W23" s="9"/>
      <c r="X23" s="9"/>
      <c r="Y23" s="9"/>
      <c r="Z23" s="9"/>
    </row>
    <row r="24" spans="1:26" ht="16.5" customHeight="1">
      <c r="A24" s="9"/>
      <c r="B24" s="9"/>
      <c r="C24" s="9"/>
      <c r="D24" s="43"/>
      <c r="E24" s="10"/>
      <c r="F24" s="9"/>
      <c r="G24" s="9"/>
      <c r="H24" s="9"/>
      <c r="I24" s="9"/>
      <c r="J24" s="9"/>
      <c r="K24" s="9"/>
      <c r="L24" s="9"/>
      <c r="M24" s="9"/>
      <c r="N24" s="9"/>
      <c r="O24" s="9"/>
      <c r="P24" s="9"/>
      <c r="Q24" s="9"/>
      <c r="R24" s="9"/>
      <c r="S24" s="9"/>
      <c r="T24" s="9"/>
      <c r="U24" s="9"/>
      <c r="V24" s="9"/>
      <c r="W24" s="9"/>
      <c r="X24" s="9"/>
      <c r="Y24" s="9"/>
      <c r="Z24" s="9"/>
    </row>
    <row r="25" spans="1:26" ht="16.5" customHeight="1">
      <c r="A25" s="9"/>
      <c r="B25" s="9"/>
      <c r="C25" s="9"/>
      <c r="D25" s="44"/>
      <c r="E25" s="10"/>
      <c r="F25" s="9"/>
      <c r="G25" s="9"/>
      <c r="H25" s="9"/>
      <c r="I25" s="9"/>
      <c r="J25" s="9"/>
      <c r="K25" s="9"/>
      <c r="L25" s="9"/>
      <c r="M25" s="9"/>
      <c r="N25" s="9"/>
      <c r="O25" s="9"/>
      <c r="P25" s="9"/>
      <c r="Q25" s="9"/>
      <c r="R25" s="9"/>
      <c r="S25" s="9"/>
      <c r="T25" s="9"/>
      <c r="U25" s="9"/>
      <c r="V25" s="9"/>
      <c r="W25" s="9"/>
      <c r="X25" s="9"/>
      <c r="Y25" s="9"/>
      <c r="Z25" s="9"/>
    </row>
    <row r="26" spans="1:26" ht="16.5" customHeight="1">
      <c r="A26" s="9"/>
      <c r="B26" s="9"/>
      <c r="C26" s="9"/>
      <c r="D26" s="43"/>
      <c r="E26" s="10"/>
      <c r="F26" s="9"/>
      <c r="G26" s="9"/>
      <c r="H26" s="9"/>
      <c r="I26" s="9"/>
      <c r="J26" s="9"/>
      <c r="K26" s="9"/>
      <c r="L26" s="9"/>
      <c r="M26" s="9"/>
      <c r="N26" s="9"/>
      <c r="O26" s="9"/>
      <c r="P26" s="9"/>
      <c r="Q26" s="9"/>
      <c r="R26" s="9"/>
      <c r="S26" s="9"/>
      <c r="T26" s="9"/>
      <c r="U26" s="9"/>
      <c r="V26" s="9"/>
      <c r="W26" s="9"/>
      <c r="X26" s="9"/>
      <c r="Y26" s="9"/>
      <c r="Z26" s="9"/>
    </row>
    <row r="27" spans="1:26" ht="16.5" customHeight="1">
      <c r="A27" s="9"/>
      <c r="B27" s="9"/>
      <c r="C27" s="9"/>
      <c r="D27" s="43"/>
      <c r="E27" s="10"/>
      <c r="F27" s="9"/>
      <c r="G27" s="9"/>
      <c r="H27" s="9"/>
      <c r="I27" s="9"/>
      <c r="J27" s="9"/>
      <c r="K27" s="9"/>
      <c r="L27" s="9"/>
      <c r="M27" s="9"/>
      <c r="N27" s="9"/>
      <c r="O27" s="9"/>
      <c r="P27" s="9"/>
      <c r="Q27" s="9"/>
      <c r="R27" s="9"/>
      <c r="S27" s="9"/>
      <c r="T27" s="9"/>
      <c r="U27" s="9"/>
      <c r="V27" s="9"/>
      <c r="W27" s="9"/>
      <c r="X27" s="9"/>
      <c r="Y27" s="9"/>
      <c r="Z27" s="9"/>
    </row>
    <row r="28" spans="1:26" ht="16.5" customHeight="1">
      <c r="A28" s="9"/>
      <c r="B28" s="9"/>
      <c r="C28" s="9"/>
      <c r="D28" s="43"/>
      <c r="E28" s="10"/>
      <c r="F28" s="9"/>
      <c r="G28" s="9"/>
      <c r="H28" s="9"/>
      <c r="I28" s="9"/>
      <c r="J28" s="9"/>
      <c r="K28" s="9"/>
      <c r="L28" s="9"/>
      <c r="M28" s="9"/>
      <c r="N28" s="9"/>
      <c r="O28" s="9"/>
      <c r="P28" s="9"/>
      <c r="Q28" s="9"/>
      <c r="R28" s="9"/>
      <c r="S28" s="9"/>
      <c r="T28" s="9"/>
      <c r="U28" s="9"/>
      <c r="V28" s="9"/>
      <c r="W28" s="9"/>
      <c r="X28" s="9"/>
      <c r="Y28" s="9"/>
      <c r="Z28" s="9"/>
    </row>
    <row r="29" spans="1:26" ht="16.5" customHeight="1">
      <c r="A29" s="9"/>
      <c r="B29" s="9"/>
      <c r="C29" s="9"/>
      <c r="D29" s="43"/>
      <c r="E29" s="10"/>
      <c r="F29" s="9"/>
      <c r="G29" s="9"/>
      <c r="H29" s="9"/>
      <c r="I29" s="9"/>
      <c r="J29" s="9"/>
      <c r="K29" s="9"/>
      <c r="L29" s="9"/>
      <c r="M29" s="9"/>
      <c r="N29" s="9"/>
      <c r="O29" s="9"/>
      <c r="P29" s="9"/>
      <c r="Q29" s="9"/>
      <c r="R29" s="9"/>
      <c r="S29" s="9"/>
      <c r="T29" s="9"/>
      <c r="U29" s="9"/>
      <c r="V29" s="9"/>
      <c r="W29" s="9"/>
      <c r="X29" s="9"/>
      <c r="Y29" s="9"/>
      <c r="Z29" s="9"/>
    </row>
    <row r="30" spans="1:26" ht="16.5" customHeight="1">
      <c r="A30" s="9"/>
      <c r="B30" s="9"/>
      <c r="C30" s="9"/>
      <c r="D30" s="43"/>
      <c r="E30" s="10"/>
      <c r="F30" s="9"/>
      <c r="G30" s="9"/>
      <c r="H30" s="9"/>
      <c r="I30" s="9"/>
      <c r="J30" s="9"/>
      <c r="K30" s="9"/>
      <c r="L30" s="9"/>
      <c r="M30" s="9"/>
      <c r="N30" s="9"/>
      <c r="O30" s="9"/>
      <c r="P30" s="9"/>
      <c r="Q30" s="9"/>
      <c r="R30" s="9"/>
      <c r="S30" s="9"/>
      <c r="T30" s="9"/>
      <c r="U30" s="9"/>
      <c r="V30" s="9"/>
      <c r="W30" s="9"/>
      <c r="X30" s="9"/>
      <c r="Y30" s="9"/>
      <c r="Z30" s="9"/>
    </row>
    <row r="31" spans="1:26" ht="16.5" customHeight="1">
      <c r="A31" s="9"/>
      <c r="B31" s="9"/>
      <c r="C31" s="9"/>
      <c r="D31" s="43"/>
      <c r="E31" s="10"/>
      <c r="F31" s="9"/>
      <c r="G31" s="9"/>
      <c r="H31" s="9"/>
      <c r="I31" s="9"/>
      <c r="J31" s="9"/>
      <c r="K31" s="9"/>
      <c r="L31" s="9"/>
      <c r="M31" s="9"/>
      <c r="N31" s="9"/>
      <c r="O31" s="9"/>
      <c r="P31" s="9"/>
      <c r="Q31" s="9"/>
      <c r="R31" s="9"/>
      <c r="S31" s="9"/>
      <c r="T31" s="9"/>
      <c r="U31" s="9"/>
      <c r="V31" s="9"/>
      <c r="W31" s="9"/>
      <c r="X31" s="9"/>
      <c r="Y31" s="9"/>
      <c r="Z31" s="9"/>
    </row>
    <row r="32" spans="1:26" ht="16.5" customHeight="1">
      <c r="A32" s="9"/>
      <c r="B32" s="9"/>
      <c r="C32" s="9"/>
      <c r="D32" s="43"/>
      <c r="E32" s="10"/>
      <c r="F32" s="9"/>
      <c r="G32" s="9"/>
      <c r="H32" s="9"/>
      <c r="I32" s="9"/>
      <c r="J32" s="9"/>
      <c r="K32" s="9"/>
      <c r="L32" s="9"/>
      <c r="M32" s="9"/>
      <c r="N32" s="9"/>
      <c r="O32" s="9"/>
      <c r="P32" s="9"/>
      <c r="Q32" s="9"/>
      <c r="R32" s="9"/>
      <c r="S32" s="9"/>
      <c r="T32" s="9"/>
      <c r="U32" s="9"/>
      <c r="V32" s="9"/>
      <c r="W32" s="9"/>
      <c r="X32" s="9"/>
      <c r="Y32" s="9"/>
      <c r="Z32" s="9"/>
    </row>
    <row r="33" spans="1:26" ht="16.5" customHeight="1">
      <c r="A33" s="9"/>
      <c r="B33" s="9"/>
      <c r="C33" s="9"/>
      <c r="D33" s="43"/>
      <c r="E33" s="10"/>
      <c r="F33" s="9"/>
      <c r="G33" s="9"/>
      <c r="H33" s="9"/>
      <c r="I33" s="9"/>
      <c r="J33" s="9"/>
      <c r="K33" s="9"/>
      <c r="L33" s="9"/>
      <c r="M33" s="9"/>
      <c r="N33" s="9"/>
      <c r="O33" s="9"/>
      <c r="P33" s="9"/>
      <c r="Q33" s="9"/>
      <c r="R33" s="9"/>
      <c r="S33" s="9"/>
      <c r="T33" s="9"/>
      <c r="U33" s="9"/>
      <c r="V33" s="9"/>
      <c r="W33" s="9"/>
      <c r="X33" s="9"/>
      <c r="Y33" s="9"/>
      <c r="Z33" s="9"/>
    </row>
    <row r="34" spans="1:26" ht="16.5" customHeight="1">
      <c r="A34" s="9"/>
      <c r="B34" s="9"/>
      <c r="C34" s="9"/>
      <c r="D34" s="43"/>
      <c r="E34" s="10"/>
      <c r="F34" s="9"/>
      <c r="G34" s="9"/>
      <c r="H34" s="9"/>
      <c r="I34" s="9"/>
      <c r="J34" s="9"/>
      <c r="K34" s="9"/>
      <c r="L34" s="9"/>
      <c r="M34" s="9"/>
      <c r="N34" s="9"/>
      <c r="O34" s="9"/>
      <c r="P34" s="9"/>
      <c r="Q34" s="9"/>
      <c r="R34" s="9"/>
      <c r="S34" s="9"/>
      <c r="T34" s="9"/>
      <c r="U34" s="9"/>
      <c r="V34" s="9"/>
      <c r="W34" s="9"/>
      <c r="X34" s="9"/>
      <c r="Y34" s="9"/>
      <c r="Z34" s="9"/>
    </row>
    <row r="35" spans="1:26" ht="16.5" customHeight="1">
      <c r="A35" s="9"/>
      <c r="B35" s="9"/>
      <c r="C35" s="9"/>
      <c r="D35" s="43"/>
      <c r="E35" s="10"/>
      <c r="F35" s="9"/>
      <c r="G35" s="9"/>
      <c r="H35" s="9"/>
      <c r="I35" s="9"/>
      <c r="J35" s="9"/>
      <c r="K35" s="9"/>
      <c r="L35" s="9"/>
      <c r="M35" s="9"/>
      <c r="N35" s="9"/>
      <c r="O35" s="9"/>
      <c r="P35" s="9"/>
      <c r="Q35" s="9"/>
      <c r="R35" s="9"/>
      <c r="S35" s="9"/>
      <c r="T35" s="9"/>
      <c r="U35" s="9"/>
      <c r="V35" s="9"/>
      <c r="W35" s="9"/>
      <c r="X35" s="9"/>
      <c r="Y35" s="9"/>
      <c r="Z35" s="9"/>
    </row>
    <row r="36" spans="1:26" ht="16.5" customHeight="1">
      <c r="A36" s="9"/>
      <c r="B36" s="9"/>
      <c r="C36" s="9"/>
      <c r="D36" s="43"/>
      <c r="E36" s="10"/>
      <c r="F36" s="9"/>
      <c r="G36" s="9"/>
      <c r="H36" s="9"/>
      <c r="I36" s="9"/>
      <c r="J36" s="9"/>
      <c r="K36" s="9"/>
      <c r="L36" s="9"/>
      <c r="M36" s="9"/>
      <c r="N36" s="9"/>
      <c r="O36" s="9"/>
      <c r="P36" s="9"/>
      <c r="Q36" s="9"/>
      <c r="R36" s="9"/>
      <c r="S36" s="9"/>
      <c r="T36" s="9"/>
      <c r="U36" s="9"/>
      <c r="V36" s="9"/>
      <c r="W36" s="9"/>
      <c r="X36" s="9"/>
      <c r="Y36" s="9"/>
      <c r="Z36" s="9"/>
    </row>
    <row r="37" spans="1:26" ht="16.5" customHeight="1">
      <c r="A37" s="9"/>
      <c r="B37" s="9"/>
      <c r="C37" s="9"/>
      <c r="D37" s="43"/>
      <c r="E37" s="10"/>
      <c r="F37" s="9"/>
      <c r="G37" s="9"/>
      <c r="H37" s="9"/>
      <c r="I37" s="9"/>
      <c r="J37" s="9"/>
      <c r="K37" s="9"/>
      <c r="L37" s="9"/>
      <c r="M37" s="9"/>
      <c r="N37" s="9"/>
      <c r="O37" s="9"/>
      <c r="P37" s="9"/>
      <c r="Q37" s="9"/>
      <c r="R37" s="9"/>
      <c r="S37" s="9"/>
      <c r="T37" s="9"/>
      <c r="U37" s="9"/>
      <c r="V37" s="9"/>
      <c r="W37" s="9"/>
      <c r="X37" s="9"/>
      <c r="Y37" s="9"/>
      <c r="Z37" s="9"/>
    </row>
    <row r="38" spans="1:26" ht="16.5" customHeight="1">
      <c r="A38" s="9"/>
      <c r="B38" s="9"/>
      <c r="C38" s="9"/>
      <c r="D38" s="43"/>
      <c r="E38" s="10"/>
      <c r="F38" s="9"/>
      <c r="G38" s="9"/>
      <c r="H38" s="9"/>
      <c r="I38" s="9"/>
      <c r="J38" s="9"/>
      <c r="K38" s="9"/>
      <c r="L38" s="9"/>
      <c r="M38" s="9"/>
      <c r="N38" s="9"/>
      <c r="O38" s="9"/>
      <c r="P38" s="9"/>
      <c r="Q38" s="9"/>
      <c r="R38" s="9"/>
      <c r="S38" s="9"/>
      <c r="T38" s="9"/>
      <c r="U38" s="9"/>
      <c r="V38" s="9"/>
      <c r="W38" s="9"/>
      <c r="X38" s="9"/>
      <c r="Y38" s="9"/>
      <c r="Z38" s="9"/>
    </row>
    <row r="39" spans="1:26" ht="16.5" customHeight="1">
      <c r="A39" s="9"/>
      <c r="B39" s="9"/>
      <c r="C39" s="9"/>
      <c r="D39" s="43"/>
      <c r="E39" s="10"/>
      <c r="F39" s="9"/>
      <c r="G39" s="9"/>
      <c r="H39" s="9"/>
      <c r="I39" s="9"/>
      <c r="J39" s="9"/>
      <c r="K39" s="9"/>
      <c r="L39" s="9"/>
      <c r="M39" s="9"/>
      <c r="N39" s="9"/>
      <c r="O39" s="9"/>
      <c r="P39" s="9"/>
      <c r="Q39" s="9"/>
      <c r="R39" s="9"/>
      <c r="S39" s="9"/>
      <c r="T39" s="9"/>
      <c r="U39" s="9"/>
      <c r="V39" s="9"/>
      <c r="W39" s="9"/>
      <c r="X39" s="9"/>
      <c r="Y39" s="9"/>
      <c r="Z39" s="9"/>
    </row>
    <row r="40" spans="1:26" ht="16.5" customHeight="1">
      <c r="A40" s="9"/>
      <c r="B40" s="9"/>
      <c r="C40" s="9"/>
      <c r="D40" s="43"/>
      <c r="E40" s="10"/>
      <c r="F40" s="9"/>
      <c r="G40" s="9"/>
      <c r="H40" s="9"/>
      <c r="I40" s="9"/>
      <c r="J40" s="9"/>
      <c r="K40" s="9"/>
      <c r="L40" s="9"/>
      <c r="M40" s="9"/>
      <c r="N40" s="9"/>
      <c r="O40" s="9"/>
      <c r="P40" s="9"/>
      <c r="Q40" s="9"/>
      <c r="R40" s="9"/>
      <c r="S40" s="9"/>
      <c r="T40" s="9"/>
      <c r="U40" s="9"/>
      <c r="V40" s="9"/>
      <c r="W40" s="9"/>
      <c r="X40" s="9"/>
      <c r="Y40" s="9"/>
      <c r="Z40" s="9"/>
    </row>
    <row r="41" spans="1:26" ht="16.5" customHeight="1">
      <c r="A41" s="9"/>
      <c r="B41" s="9"/>
      <c r="C41" s="9"/>
      <c r="D41" s="43"/>
      <c r="E41" s="10"/>
      <c r="F41" s="9"/>
      <c r="G41" s="9"/>
      <c r="H41" s="9"/>
      <c r="I41" s="9"/>
      <c r="J41" s="9"/>
      <c r="K41" s="9"/>
      <c r="L41" s="9"/>
      <c r="M41" s="9"/>
      <c r="N41" s="9"/>
      <c r="O41" s="9"/>
      <c r="P41" s="9"/>
      <c r="Q41" s="9"/>
      <c r="R41" s="9"/>
      <c r="S41" s="9"/>
      <c r="T41" s="9"/>
      <c r="U41" s="9"/>
      <c r="V41" s="9"/>
      <c r="W41" s="9"/>
      <c r="X41" s="9"/>
      <c r="Y41" s="9"/>
      <c r="Z41" s="9"/>
    </row>
    <row r="42" spans="1:26" ht="16.5" customHeight="1">
      <c r="A42" s="9"/>
      <c r="B42" s="9"/>
      <c r="C42" s="9"/>
      <c r="D42" s="43"/>
      <c r="E42" s="10"/>
      <c r="F42" s="9"/>
      <c r="G42" s="9"/>
      <c r="H42" s="9"/>
      <c r="I42" s="9"/>
      <c r="J42" s="9"/>
      <c r="K42" s="9"/>
      <c r="L42" s="9"/>
      <c r="M42" s="9"/>
      <c r="N42" s="9"/>
      <c r="O42" s="9"/>
      <c r="P42" s="9"/>
      <c r="Q42" s="9"/>
      <c r="R42" s="9"/>
      <c r="S42" s="9"/>
      <c r="T42" s="9"/>
      <c r="U42" s="9"/>
      <c r="V42" s="9"/>
      <c r="W42" s="9"/>
      <c r="X42" s="9"/>
      <c r="Y42" s="9"/>
      <c r="Z42" s="9"/>
    </row>
    <row r="43" spans="1:26" ht="16.5" customHeight="1">
      <c r="A43" s="9"/>
      <c r="B43" s="9"/>
      <c r="C43" s="9"/>
      <c r="D43" s="43"/>
      <c r="E43" s="10"/>
      <c r="F43" s="9"/>
      <c r="G43" s="9"/>
      <c r="H43" s="9"/>
      <c r="I43" s="9"/>
      <c r="J43" s="9"/>
      <c r="K43" s="9"/>
      <c r="L43" s="9"/>
      <c r="M43" s="9"/>
      <c r="N43" s="9"/>
      <c r="O43" s="9"/>
      <c r="P43" s="9"/>
      <c r="Q43" s="9"/>
      <c r="R43" s="9"/>
      <c r="S43" s="9"/>
      <c r="T43" s="9"/>
      <c r="U43" s="9"/>
      <c r="V43" s="9"/>
      <c r="W43" s="9"/>
      <c r="X43" s="9"/>
      <c r="Y43" s="9"/>
      <c r="Z43" s="9"/>
    </row>
    <row r="44" spans="1:26" ht="16.5" customHeight="1">
      <c r="A44" s="9"/>
      <c r="B44" s="9"/>
      <c r="C44" s="9"/>
      <c r="D44" s="43"/>
      <c r="E44" s="10"/>
      <c r="F44" s="9"/>
      <c r="G44" s="9"/>
      <c r="H44" s="9"/>
      <c r="I44" s="9"/>
      <c r="J44" s="9"/>
      <c r="K44" s="9"/>
      <c r="L44" s="9"/>
      <c r="M44" s="9"/>
      <c r="N44" s="9"/>
      <c r="O44" s="9"/>
      <c r="P44" s="9"/>
      <c r="Q44" s="9"/>
      <c r="R44" s="9"/>
      <c r="S44" s="9"/>
      <c r="T44" s="9"/>
      <c r="U44" s="9"/>
      <c r="V44" s="9"/>
      <c r="W44" s="9"/>
      <c r="X44" s="9"/>
      <c r="Y44" s="9"/>
      <c r="Z44" s="9"/>
    </row>
    <row r="45" spans="1:26" ht="16.5" customHeight="1">
      <c r="A45" s="9"/>
      <c r="B45" s="9"/>
      <c r="C45" s="9"/>
      <c r="D45" s="43"/>
      <c r="E45" s="10"/>
      <c r="F45" s="9"/>
      <c r="G45" s="9"/>
      <c r="H45" s="9"/>
      <c r="I45" s="9"/>
      <c r="J45" s="9"/>
      <c r="K45" s="9"/>
      <c r="L45" s="9"/>
      <c r="M45" s="9"/>
      <c r="N45" s="9"/>
      <c r="O45" s="9"/>
      <c r="P45" s="9"/>
      <c r="Q45" s="9"/>
      <c r="R45" s="9"/>
      <c r="S45" s="9"/>
      <c r="T45" s="9"/>
      <c r="U45" s="9"/>
      <c r="V45" s="9"/>
      <c r="W45" s="9"/>
      <c r="X45" s="9"/>
      <c r="Y45" s="9"/>
      <c r="Z45" s="9"/>
    </row>
    <row r="46" spans="1:26" ht="16.5" customHeight="1">
      <c r="A46" s="9"/>
      <c r="B46" s="9"/>
      <c r="C46" s="9"/>
      <c r="D46" s="43"/>
      <c r="E46" s="10"/>
      <c r="F46" s="9"/>
      <c r="G46" s="9"/>
      <c r="H46" s="9"/>
      <c r="I46" s="9"/>
      <c r="J46" s="9"/>
      <c r="K46" s="9"/>
      <c r="L46" s="9"/>
      <c r="M46" s="9"/>
      <c r="N46" s="9"/>
      <c r="O46" s="9"/>
      <c r="P46" s="9"/>
      <c r="Q46" s="9"/>
      <c r="R46" s="9"/>
      <c r="S46" s="9"/>
      <c r="T46" s="9"/>
      <c r="U46" s="9"/>
      <c r="V46" s="9"/>
      <c r="W46" s="9"/>
      <c r="X46" s="9"/>
      <c r="Y46" s="9"/>
      <c r="Z46" s="9"/>
    </row>
    <row r="47" spans="1:26" ht="16.5" customHeight="1">
      <c r="A47" s="9"/>
      <c r="B47" s="9"/>
      <c r="C47" s="9"/>
      <c r="D47" s="43"/>
      <c r="E47" s="10"/>
      <c r="F47" s="9"/>
      <c r="G47" s="9"/>
      <c r="H47" s="9"/>
      <c r="I47" s="9"/>
      <c r="J47" s="9"/>
      <c r="K47" s="9"/>
      <c r="L47" s="9"/>
      <c r="M47" s="9"/>
      <c r="N47" s="9"/>
      <c r="O47" s="9"/>
      <c r="P47" s="9"/>
      <c r="Q47" s="9"/>
      <c r="R47" s="9"/>
      <c r="S47" s="9"/>
      <c r="T47" s="9"/>
      <c r="U47" s="9"/>
      <c r="V47" s="9"/>
      <c r="W47" s="9"/>
      <c r="X47" s="9"/>
      <c r="Y47" s="9"/>
      <c r="Z47" s="9"/>
    </row>
    <row r="48" spans="1:26" ht="16.5" customHeight="1">
      <c r="A48" s="9"/>
      <c r="B48" s="9"/>
      <c r="C48" s="9"/>
      <c r="D48" s="43"/>
      <c r="E48" s="10"/>
      <c r="F48" s="9"/>
      <c r="G48" s="9"/>
      <c r="H48" s="9"/>
      <c r="I48" s="9"/>
      <c r="J48" s="9"/>
      <c r="K48" s="9"/>
      <c r="L48" s="9"/>
      <c r="M48" s="9"/>
      <c r="N48" s="9"/>
      <c r="O48" s="9"/>
      <c r="P48" s="9"/>
      <c r="Q48" s="9"/>
      <c r="R48" s="9"/>
      <c r="S48" s="9"/>
      <c r="T48" s="9"/>
      <c r="U48" s="9"/>
      <c r="V48" s="9"/>
      <c r="W48" s="9"/>
      <c r="X48" s="9"/>
      <c r="Y48" s="9"/>
      <c r="Z48" s="9"/>
    </row>
    <row r="49" spans="1:26" ht="16.5" customHeight="1">
      <c r="A49" s="9"/>
      <c r="B49" s="9"/>
      <c r="C49" s="9"/>
      <c r="D49" s="43"/>
      <c r="E49" s="10"/>
      <c r="F49" s="9"/>
      <c r="G49" s="9"/>
      <c r="H49" s="9"/>
      <c r="I49" s="9"/>
      <c r="J49" s="9"/>
      <c r="K49" s="9"/>
      <c r="L49" s="9"/>
      <c r="M49" s="9"/>
      <c r="N49" s="9"/>
      <c r="O49" s="9"/>
      <c r="P49" s="9"/>
      <c r="Q49" s="9"/>
      <c r="R49" s="9"/>
      <c r="S49" s="9"/>
      <c r="T49" s="9"/>
      <c r="U49" s="9"/>
      <c r="V49" s="9"/>
      <c r="W49" s="9"/>
      <c r="X49" s="9"/>
      <c r="Y49" s="9"/>
      <c r="Z49" s="9"/>
    </row>
    <row r="50" spans="1:26" ht="16.5" customHeight="1">
      <c r="A50" s="9"/>
      <c r="B50" s="9"/>
      <c r="C50" s="9"/>
      <c r="D50" s="43"/>
      <c r="E50" s="10"/>
      <c r="F50" s="9"/>
      <c r="G50" s="9"/>
      <c r="H50" s="9"/>
      <c r="I50" s="9"/>
      <c r="J50" s="9"/>
      <c r="K50" s="9"/>
      <c r="L50" s="9"/>
      <c r="M50" s="9"/>
      <c r="N50" s="9"/>
      <c r="O50" s="9"/>
      <c r="P50" s="9"/>
      <c r="Q50" s="9"/>
      <c r="R50" s="9"/>
      <c r="S50" s="9"/>
      <c r="T50" s="9"/>
      <c r="U50" s="9"/>
      <c r="V50" s="9"/>
      <c r="W50" s="9"/>
      <c r="X50" s="9"/>
      <c r="Y50" s="9"/>
      <c r="Z50" s="9"/>
    </row>
    <row r="51" spans="1:26" ht="16.5" customHeight="1">
      <c r="A51" s="9"/>
      <c r="B51" s="9"/>
      <c r="C51" s="9"/>
      <c r="D51" s="43"/>
      <c r="E51" s="10"/>
      <c r="F51" s="9"/>
      <c r="G51" s="9"/>
      <c r="H51" s="9"/>
      <c r="I51" s="9"/>
      <c r="J51" s="9"/>
      <c r="K51" s="9"/>
      <c r="L51" s="9"/>
      <c r="M51" s="9"/>
      <c r="N51" s="9"/>
      <c r="O51" s="9"/>
      <c r="P51" s="9"/>
      <c r="Q51" s="9"/>
      <c r="R51" s="9"/>
      <c r="S51" s="9"/>
      <c r="T51" s="9"/>
      <c r="U51" s="9"/>
      <c r="V51" s="9"/>
      <c r="W51" s="9"/>
      <c r="X51" s="9"/>
      <c r="Y51" s="9"/>
      <c r="Z51" s="9"/>
    </row>
    <row r="52" spans="1:26" ht="16.5" customHeight="1">
      <c r="A52" s="9"/>
      <c r="B52" s="9"/>
      <c r="C52" s="9"/>
      <c r="D52" s="43"/>
      <c r="E52" s="10"/>
      <c r="F52" s="9"/>
      <c r="G52" s="9"/>
      <c r="H52" s="9"/>
      <c r="I52" s="9"/>
      <c r="J52" s="9"/>
      <c r="K52" s="9"/>
      <c r="L52" s="9"/>
      <c r="M52" s="9"/>
      <c r="N52" s="9"/>
      <c r="O52" s="9"/>
      <c r="P52" s="9"/>
      <c r="Q52" s="9"/>
      <c r="R52" s="9"/>
      <c r="S52" s="9"/>
      <c r="T52" s="9"/>
      <c r="U52" s="9"/>
      <c r="V52" s="9"/>
      <c r="W52" s="9"/>
      <c r="X52" s="9"/>
      <c r="Y52" s="9"/>
      <c r="Z52" s="9"/>
    </row>
    <row r="53" spans="1:26" ht="16.5" customHeight="1">
      <c r="A53" s="9"/>
      <c r="B53" s="9"/>
      <c r="C53" s="9"/>
      <c r="D53" s="43"/>
      <c r="E53" s="10"/>
      <c r="F53" s="9"/>
      <c r="G53" s="9"/>
      <c r="H53" s="9"/>
      <c r="I53" s="9"/>
      <c r="J53" s="9"/>
      <c r="K53" s="9"/>
      <c r="L53" s="9"/>
      <c r="M53" s="9"/>
      <c r="N53" s="9"/>
      <c r="O53" s="9"/>
      <c r="P53" s="9"/>
      <c r="Q53" s="9"/>
      <c r="R53" s="9"/>
      <c r="S53" s="9"/>
      <c r="T53" s="9"/>
      <c r="U53" s="9"/>
      <c r="V53" s="9"/>
      <c r="W53" s="9"/>
      <c r="X53" s="9"/>
      <c r="Y53" s="9"/>
      <c r="Z53" s="9"/>
    </row>
    <row r="54" spans="1:26" ht="16.5" customHeight="1">
      <c r="A54" s="9"/>
      <c r="B54" s="9"/>
      <c r="C54" s="9"/>
      <c r="D54" s="43"/>
      <c r="E54" s="10"/>
      <c r="F54" s="9"/>
      <c r="G54" s="9"/>
      <c r="H54" s="9"/>
      <c r="I54" s="9"/>
      <c r="J54" s="9"/>
      <c r="K54" s="9"/>
      <c r="L54" s="9"/>
      <c r="M54" s="9"/>
      <c r="N54" s="9"/>
      <c r="O54" s="9"/>
      <c r="P54" s="9"/>
      <c r="Q54" s="9"/>
      <c r="R54" s="9"/>
      <c r="S54" s="9"/>
      <c r="T54" s="9"/>
      <c r="U54" s="9"/>
      <c r="V54" s="9"/>
      <c r="W54" s="9"/>
      <c r="X54" s="9"/>
      <c r="Y54" s="9"/>
      <c r="Z54" s="9"/>
    </row>
    <row r="55" spans="1:26" ht="16.5" customHeight="1">
      <c r="A55" s="9"/>
      <c r="B55" s="9"/>
      <c r="C55" s="9"/>
      <c r="D55" s="43"/>
      <c r="E55" s="10"/>
      <c r="F55" s="9"/>
      <c r="G55" s="9"/>
      <c r="H55" s="9"/>
      <c r="I55" s="9"/>
      <c r="J55" s="9"/>
      <c r="K55" s="9"/>
      <c r="L55" s="9"/>
      <c r="M55" s="9"/>
      <c r="N55" s="9"/>
      <c r="O55" s="9"/>
      <c r="P55" s="9"/>
      <c r="Q55" s="9"/>
      <c r="R55" s="9"/>
      <c r="S55" s="9"/>
      <c r="T55" s="9"/>
      <c r="U55" s="9"/>
      <c r="V55" s="9"/>
      <c r="W55" s="9"/>
      <c r="X55" s="9"/>
      <c r="Y55" s="9"/>
      <c r="Z55" s="9"/>
    </row>
    <row r="56" spans="1:26" ht="16.5" customHeight="1">
      <c r="A56" s="9"/>
      <c r="B56" s="9"/>
      <c r="C56" s="9"/>
      <c r="D56" s="43"/>
      <c r="E56" s="10"/>
      <c r="F56" s="9"/>
      <c r="G56" s="9"/>
      <c r="H56" s="9"/>
      <c r="I56" s="9"/>
      <c r="J56" s="9"/>
      <c r="K56" s="9"/>
      <c r="L56" s="9"/>
      <c r="M56" s="9"/>
      <c r="N56" s="9"/>
      <c r="O56" s="9"/>
      <c r="P56" s="9"/>
      <c r="Q56" s="9"/>
      <c r="R56" s="9"/>
      <c r="S56" s="9"/>
      <c r="T56" s="9"/>
      <c r="U56" s="9"/>
      <c r="V56" s="9"/>
      <c r="W56" s="9"/>
      <c r="X56" s="9"/>
      <c r="Y56" s="9"/>
      <c r="Z56" s="9"/>
    </row>
    <row r="57" spans="1:26" ht="16.5" customHeight="1">
      <c r="A57" s="9"/>
      <c r="B57" s="9"/>
      <c r="C57" s="9"/>
      <c r="D57" s="43"/>
      <c r="E57" s="10"/>
      <c r="F57" s="9"/>
      <c r="G57" s="9"/>
      <c r="H57" s="9"/>
      <c r="I57" s="9"/>
      <c r="J57" s="9"/>
      <c r="K57" s="9"/>
      <c r="L57" s="9"/>
      <c r="M57" s="9"/>
      <c r="N57" s="9"/>
      <c r="O57" s="9"/>
      <c r="P57" s="9"/>
      <c r="Q57" s="9"/>
      <c r="R57" s="9"/>
      <c r="S57" s="9"/>
      <c r="T57" s="9"/>
      <c r="U57" s="9"/>
      <c r="V57" s="9"/>
      <c r="W57" s="9"/>
      <c r="X57" s="9"/>
      <c r="Y57" s="9"/>
      <c r="Z57" s="9"/>
    </row>
    <row r="58" spans="1:26" ht="16.5" customHeight="1">
      <c r="A58" s="9"/>
      <c r="B58" s="9"/>
      <c r="C58" s="9"/>
      <c r="D58" s="43"/>
      <c r="E58" s="10"/>
      <c r="F58" s="9"/>
      <c r="G58" s="9"/>
      <c r="H58" s="9"/>
      <c r="I58" s="9"/>
      <c r="J58" s="9"/>
      <c r="K58" s="9"/>
      <c r="L58" s="9"/>
      <c r="M58" s="9"/>
      <c r="N58" s="9"/>
      <c r="O58" s="9"/>
      <c r="P58" s="9"/>
      <c r="Q58" s="9"/>
      <c r="R58" s="9"/>
      <c r="S58" s="9"/>
      <c r="T58" s="9"/>
      <c r="U58" s="9"/>
      <c r="V58" s="9"/>
      <c r="W58" s="9"/>
      <c r="X58" s="9"/>
      <c r="Y58" s="9"/>
      <c r="Z58" s="9"/>
    </row>
    <row r="59" spans="1:26" ht="16.5" customHeight="1">
      <c r="A59" s="9"/>
      <c r="B59" s="9"/>
      <c r="C59" s="9"/>
      <c r="D59" s="43"/>
      <c r="E59" s="10"/>
      <c r="F59" s="9"/>
      <c r="G59" s="9"/>
      <c r="H59" s="9"/>
      <c r="I59" s="9"/>
      <c r="J59" s="9"/>
      <c r="K59" s="9"/>
      <c r="L59" s="9"/>
      <c r="M59" s="9"/>
      <c r="N59" s="9"/>
      <c r="O59" s="9"/>
      <c r="P59" s="9"/>
      <c r="Q59" s="9"/>
      <c r="R59" s="9"/>
      <c r="S59" s="9"/>
      <c r="T59" s="9"/>
      <c r="U59" s="9"/>
      <c r="V59" s="9"/>
      <c r="W59" s="9"/>
      <c r="X59" s="9"/>
      <c r="Y59" s="9"/>
      <c r="Z59" s="9"/>
    </row>
    <row r="60" spans="1:26" ht="16.5" customHeight="1">
      <c r="A60" s="9"/>
      <c r="B60" s="9"/>
      <c r="C60" s="9"/>
      <c r="D60" s="43"/>
      <c r="E60" s="10"/>
      <c r="F60" s="9"/>
      <c r="G60" s="9"/>
      <c r="H60" s="9"/>
      <c r="I60" s="9"/>
      <c r="J60" s="9"/>
      <c r="K60" s="9"/>
      <c r="L60" s="9"/>
      <c r="M60" s="9"/>
      <c r="N60" s="9"/>
      <c r="O60" s="9"/>
      <c r="P60" s="9"/>
      <c r="Q60" s="9"/>
      <c r="R60" s="9"/>
      <c r="S60" s="9"/>
      <c r="T60" s="9"/>
      <c r="U60" s="9"/>
      <c r="V60" s="9"/>
      <c r="W60" s="9"/>
      <c r="X60" s="9"/>
      <c r="Y60" s="9"/>
      <c r="Z60" s="9"/>
    </row>
    <row r="61" spans="1:26" ht="16.5" customHeight="1">
      <c r="A61" s="9"/>
      <c r="B61" s="9"/>
      <c r="C61" s="9"/>
      <c r="D61" s="43"/>
      <c r="E61" s="10"/>
      <c r="F61" s="9"/>
      <c r="G61" s="9"/>
      <c r="H61" s="9"/>
      <c r="I61" s="9"/>
      <c r="J61" s="9"/>
      <c r="K61" s="9"/>
      <c r="L61" s="9"/>
      <c r="M61" s="9"/>
      <c r="N61" s="9"/>
      <c r="O61" s="9"/>
      <c r="P61" s="9"/>
      <c r="Q61" s="9"/>
      <c r="R61" s="9"/>
      <c r="S61" s="9"/>
      <c r="T61" s="9"/>
      <c r="U61" s="9"/>
      <c r="V61" s="9"/>
      <c r="W61" s="9"/>
      <c r="X61" s="9"/>
      <c r="Y61" s="9"/>
      <c r="Z61" s="9"/>
    </row>
    <row r="62" spans="1:26" ht="16.5" customHeight="1">
      <c r="A62" s="9"/>
      <c r="B62" s="9"/>
      <c r="C62" s="9"/>
      <c r="D62" s="43"/>
      <c r="E62" s="10"/>
      <c r="F62" s="9"/>
      <c r="G62" s="9"/>
      <c r="H62" s="9"/>
      <c r="I62" s="9"/>
      <c r="J62" s="9"/>
      <c r="K62" s="9"/>
      <c r="L62" s="9"/>
      <c r="M62" s="9"/>
      <c r="N62" s="9"/>
      <c r="O62" s="9"/>
      <c r="P62" s="9"/>
      <c r="Q62" s="9"/>
      <c r="R62" s="9"/>
      <c r="S62" s="9"/>
      <c r="T62" s="9"/>
      <c r="U62" s="9"/>
      <c r="V62" s="9"/>
      <c r="W62" s="9"/>
      <c r="X62" s="9"/>
      <c r="Y62" s="9"/>
      <c r="Z62" s="9"/>
    </row>
    <row r="63" spans="1:26" ht="16.5" customHeight="1">
      <c r="A63" s="9"/>
      <c r="B63" s="9"/>
      <c r="C63" s="9"/>
      <c r="D63" s="43"/>
      <c r="E63" s="10"/>
      <c r="F63" s="9"/>
      <c r="G63" s="9"/>
      <c r="H63" s="9"/>
      <c r="I63" s="9"/>
      <c r="J63" s="9"/>
      <c r="K63" s="9"/>
      <c r="L63" s="9"/>
      <c r="M63" s="9"/>
      <c r="N63" s="9"/>
      <c r="O63" s="9"/>
      <c r="P63" s="9"/>
      <c r="Q63" s="9"/>
      <c r="R63" s="9"/>
      <c r="S63" s="9"/>
      <c r="T63" s="9"/>
      <c r="U63" s="9"/>
      <c r="V63" s="9"/>
      <c r="W63" s="9"/>
      <c r="X63" s="9"/>
      <c r="Y63" s="9"/>
      <c r="Z63" s="9"/>
    </row>
    <row r="64" spans="1:26" ht="16.5" customHeight="1">
      <c r="A64" s="9"/>
      <c r="B64" s="9"/>
      <c r="C64" s="9"/>
      <c r="D64" s="43"/>
      <c r="E64" s="10"/>
      <c r="F64" s="9"/>
      <c r="G64" s="9"/>
      <c r="H64" s="9"/>
      <c r="I64" s="9"/>
      <c r="J64" s="9"/>
      <c r="K64" s="9"/>
      <c r="L64" s="9"/>
      <c r="M64" s="9"/>
      <c r="N64" s="9"/>
      <c r="O64" s="9"/>
      <c r="P64" s="9"/>
      <c r="Q64" s="9"/>
      <c r="R64" s="9"/>
      <c r="S64" s="9"/>
      <c r="T64" s="9"/>
      <c r="U64" s="9"/>
      <c r="V64" s="9"/>
      <c r="W64" s="9"/>
      <c r="X64" s="9"/>
      <c r="Y64" s="9"/>
      <c r="Z64" s="9"/>
    </row>
    <row r="65" spans="1:26" ht="16.5" customHeight="1">
      <c r="A65" s="9"/>
      <c r="B65" s="9"/>
      <c r="C65" s="9"/>
      <c r="D65" s="43"/>
      <c r="E65" s="10"/>
      <c r="F65" s="9"/>
      <c r="G65" s="9"/>
      <c r="H65" s="9"/>
      <c r="I65" s="9"/>
      <c r="J65" s="9"/>
      <c r="K65" s="9"/>
      <c r="L65" s="9"/>
      <c r="M65" s="9"/>
      <c r="N65" s="9"/>
      <c r="O65" s="9"/>
      <c r="P65" s="9"/>
      <c r="Q65" s="9"/>
      <c r="R65" s="9"/>
      <c r="S65" s="9"/>
      <c r="T65" s="9"/>
      <c r="U65" s="9"/>
      <c r="V65" s="9"/>
      <c r="W65" s="9"/>
      <c r="X65" s="9"/>
      <c r="Y65" s="9"/>
      <c r="Z65" s="9"/>
    </row>
    <row r="66" spans="1:26" ht="16.5" customHeight="1">
      <c r="A66" s="9"/>
      <c r="B66" s="9"/>
      <c r="C66" s="9"/>
      <c r="D66" s="43"/>
      <c r="E66" s="10"/>
      <c r="F66" s="9"/>
      <c r="G66" s="9"/>
      <c r="H66" s="9"/>
      <c r="I66" s="9"/>
      <c r="J66" s="9"/>
      <c r="K66" s="9"/>
      <c r="L66" s="9"/>
      <c r="M66" s="9"/>
      <c r="N66" s="9"/>
      <c r="O66" s="9"/>
      <c r="P66" s="9"/>
      <c r="Q66" s="9"/>
      <c r="R66" s="9"/>
      <c r="S66" s="9"/>
      <c r="T66" s="9"/>
      <c r="U66" s="9"/>
      <c r="V66" s="9"/>
      <c r="W66" s="9"/>
      <c r="X66" s="9"/>
      <c r="Y66" s="9"/>
      <c r="Z66" s="9"/>
    </row>
    <row r="67" spans="1:26" ht="16.5" customHeight="1">
      <c r="A67" s="9"/>
      <c r="B67" s="9"/>
      <c r="C67" s="9"/>
      <c r="D67" s="43"/>
      <c r="E67" s="10"/>
      <c r="F67" s="9"/>
      <c r="G67" s="9"/>
      <c r="H67" s="9"/>
      <c r="I67" s="9"/>
      <c r="J67" s="9"/>
      <c r="K67" s="9"/>
      <c r="L67" s="9"/>
      <c r="M67" s="9"/>
      <c r="N67" s="9"/>
      <c r="O67" s="9"/>
      <c r="P67" s="9"/>
      <c r="Q67" s="9"/>
      <c r="R67" s="9"/>
      <c r="S67" s="9"/>
      <c r="T67" s="9"/>
      <c r="U67" s="9"/>
      <c r="V67" s="9"/>
      <c r="W67" s="9"/>
      <c r="X67" s="9"/>
      <c r="Y67" s="9"/>
      <c r="Z67" s="9"/>
    </row>
    <row r="68" spans="1:26" ht="16.5" customHeight="1">
      <c r="A68" s="9"/>
      <c r="B68" s="9"/>
      <c r="C68" s="9"/>
      <c r="D68" s="43"/>
      <c r="E68" s="10"/>
      <c r="F68" s="9"/>
      <c r="G68" s="9"/>
      <c r="H68" s="9"/>
      <c r="I68" s="9"/>
      <c r="J68" s="9"/>
      <c r="K68" s="9"/>
      <c r="L68" s="9"/>
      <c r="M68" s="9"/>
      <c r="N68" s="9"/>
      <c r="O68" s="9"/>
      <c r="P68" s="9"/>
      <c r="Q68" s="9"/>
      <c r="R68" s="9"/>
      <c r="S68" s="9"/>
      <c r="T68" s="9"/>
      <c r="U68" s="9"/>
      <c r="V68" s="9"/>
      <c r="W68" s="9"/>
      <c r="X68" s="9"/>
      <c r="Y68" s="9"/>
      <c r="Z68" s="9"/>
    </row>
    <row r="69" spans="1:26" ht="16.5" customHeight="1">
      <c r="A69" s="9"/>
      <c r="B69" s="9"/>
      <c r="C69" s="9"/>
      <c r="D69" s="43"/>
      <c r="E69" s="10"/>
      <c r="F69" s="9"/>
      <c r="G69" s="9"/>
      <c r="H69" s="9"/>
      <c r="I69" s="9"/>
      <c r="J69" s="9"/>
      <c r="K69" s="9"/>
      <c r="L69" s="9"/>
      <c r="M69" s="9"/>
      <c r="N69" s="9"/>
      <c r="O69" s="9"/>
      <c r="P69" s="9"/>
      <c r="Q69" s="9"/>
      <c r="R69" s="9"/>
      <c r="S69" s="9"/>
      <c r="T69" s="9"/>
      <c r="U69" s="9"/>
      <c r="V69" s="9"/>
      <c r="W69" s="9"/>
      <c r="X69" s="9"/>
      <c r="Y69" s="9"/>
      <c r="Z69" s="9"/>
    </row>
    <row r="70" spans="1:26" ht="16.5" customHeight="1">
      <c r="A70" s="9"/>
      <c r="B70" s="9"/>
      <c r="C70" s="9"/>
      <c r="D70" s="43"/>
      <c r="E70" s="10"/>
      <c r="F70" s="9"/>
      <c r="G70" s="9"/>
      <c r="H70" s="9"/>
      <c r="I70" s="9"/>
      <c r="J70" s="9"/>
      <c r="K70" s="9"/>
      <c r="L70" s="9"/>
      <c r="M70" s="9"/>
      <c r="N70" s="9"/>
      <c r="O70" s="9"/>
      <c r="P70" s="9"/>
      <c r="Q70" s="9"/>
      <c r="R70" s="9"/>
      <c r="S70" s="9"/>
      <c r="T70" s="9"/>
      <c r="U70" s="9"/>
      <c r="V70" s="9"/>
      <c r="W70" s="9"/>
      <c r="X70" s="9"/>
      <c r="Y70" s="9"/>
      <c r="Z70" s="9"/>
    </row>
    <row r="71" spans="1:26" ht="16.5" customHeight="1">
      <c r="A71" s="9"/>
      <c r="B71" s="9"/>
      <c r="C71" s="9"/>
      <c r="D71" s="43"/>
      <c r="E71" s="10"/>
      <c r="F71" s="9"/>
      <c r="G71" s="9"/>
      <c r="H71" s="9"/>
      <c r="I71" s="9"/>
      <c r="J71" s="9"/>
      <c r="K71" s="9"/>
      <c r="L71" s="9"/>
      <c r="M71" s="9"/>
      <c r="N71" s="9"/>
      <c r="O71" s="9"/>
      <c r="P71" s="9"/>
      <c r="Q71" s="9"/>
      <c r="R71" s="9"/>
      <c r="S71" s="9"/>
      <c r="T71" s="9"/>
      <c r="U71" s="9"/>
      <c r="V71" s="9"/>
      <c r="W71" s="9"/>
      <c r="X71" s="9"/>
      <c r="Y71" s="9"/>
      <c r="Z71" s="9"/>
    </row>
    <row r="72" spans="1:26" ht="16.5" customHeight="1">
      <c r="A72" s="9"/>
      <c r="B72" s="9"/>
      <c r="C72" s="9"/>
      <c r="D72" s="43"/>
      <c r="E72" s="10"/>
      <c r="F72" s="9"/>
      <c r="G72" s="9"/>
      <c r="H72" s="9"/>
      <c r="I72" s="9"/>
      <c r="J72" s="9"/>
      <c r="K72" s="9"/>
      <c r="L72" s="9"/>
      <c r="M72" s="9"/>
      <c r="N72" s="9"/>
      <c r="O72" s="9"/>
      <c r="P72" s="9"/>
      <c r="Q72" s="9"/>
      <c r="R72" s="9"/>
      <c r="S72" s="9"/>
      <c r="T72" s="9"/>
      <c r="U72" s="9"/>
      <c r="V72" s="9"/>
      <c r="W72" s="9"/>
      <c r="X72" s="9"/>
      <c r="Y72" s="9"/>
      <c r="Z72" s="9"/>
    </row>
    <row r="73" spans="1:26" ht="16.5" customHeight="1">
      <c r="A73" s="9"/>
      <c r="B73" s="9"/>
      <c r="C73" s="9"/>
      <c r="D73" s="43"/>
      <c r="E73" s="10"/>
      <c r="F73" s="9"/>
      <c r="G73" s="9"/>
      <c r="H73" s="9"/>
      <c r="I73" s="9"/>
      <c r="J73" s="9"/>
      <c r="K73" s="9"/>
      <c r="L73" s="9"/>
      <c r="M73" s="9"/>
      <c r="N73" s="9"/>
      <c r="O73" s="9"/>
      <c r="P73" s="9"/>
      <c r="Q73" s="9"/>
      <c r="R73" s="9"/>
      <c r="S73" s="9"/>
      <c r="T73" s="9"/>
      <c r="U73" s="9"/>
      <c r="V73" s="9"/>
      <c r="W73" s="9"/>
      <c r="X73" s="9"/>
      <c r="Y73" s="9"/>
      <c r="Z73" s="9"/>
    </row>
    <row r="74" spans="1:26" ht="16.5" customHeight="1">
      <c r="A74" s="9"/>
      <c r="B74" s="9"/>
      <c r="C74" s="9"/>
      <c r="D74" s="43"/>
      <c r="E74" s="10"/>
      <c r="F74" s="9"/>
      <c r="G74" s="9"/>
      <c r="H74" s="9"/>
      <c r="I74" s="9"/>
      <c r="J74" s="9"/>
      <c r="K74" s="9"/>
      <c r="L74" s="9"/>
      <c r="M74" s="9"/>
      <c r="N74" s="9"/>
      <c r="O74" s="9"/>
      <c r="P74" s="9"/>
      <c r="Q74" s="9"/>
      <c r="R74" s="9"/>
      <c r="S74" s="9"/>
      <c r="T74" s="9"/>
      <c r="U74" s="9"/>
      <c r="V74" s="9"/>
      <c r="W74" s="9"/>
      <c r="X74" s="9"/>
      <c r="Y74" s="9"/>
      <c r="Z74" s="9"/>
    </row>
    <row r="75" spans="1:26" ht="16.5" customHeight="1">
      <c r="A75" s="9"/>
      <c r="B75" s="9"/>
      <c r="C75" s="9"/>
      <c r="D75" s="43"/>
      <c r="E75" s="10"/>
      <c r="F75" s="9"/>
      <c r="G75" s="9"/>
      <c r="H75" s="9"/>
      <c r="I75" s="9"/>
      <c r="J75" s="9"/>
      <c r="K75" s="9"/>
      <c r="L75" s="9"/>
      <c r="M75" s="9"/>
      <c r="N75" s="9"/>
      <c r="O75" s="9"/>
      <c r="P75" s="9"/>
      <c r="Q75" s="9"/>
      <c r="R75" s="9"/>
      <c r="S75" s="9"/>
      <c r="T75" s="9"/>
      <c r="U75" s="9"/>
      <c r="V75" s="9"/>
      <c r="W75" s="9"/>
      <c r="X75" s="9"/>
      <c r="Y75" s="9"/>
      <c r="Z75" s="9"/>
    </row>
    <row r="76" spans="1:26" ht="16.5" customHeight="1">
      <c r="A76" s="9"/>
      <c r="B76" s="9"/>
      <c r="C76" s="9"/>
      <c r="D76" s="43"/>
      <c r="E76" s="10"/>
      <c r="F76" s="9"/>
      <c r="G76" s="9"/>
      <c r="H76" s="9"/>
      <c r="I76" s="9"/>
      <c r="J76" s="9"/>
      <c r="K76" s="9"/>
      <c r="L76" s="9"/>
      <c r="M76" s="9"/>
      <c r="N76" s="9"/>
      <c r="O76" s="9"/>
      <c r="P76" s="9"/>
      <c r="Q76" s="9"/>
      <c r="R76" s="9"/>
      <c r="S76" s="9"/>
      <c r="T76" s="9"/>
      <c r="U76" s="9"/>
      <c r="V76" s="9"/>
      <c r="W76" s="9"/>
      <c r="X76" s="9"/>
      <c r="Y76" s="9"/>
      <c r="Z76" s="9"/>
    </row>
    <row r="77" spans="1:26" ht="16.5" customHeight="1">
      <c r="A77" s="9"/>
      <c r="B77" s="9"/>
      <c r="C77" s="9"/>
      <c r="D77" s="43"/>
      <c r="E77" s="10"/>
      <c r="F77" s="9"/>
      <c r="G77" s="9"/>
      <c r="H77" s="9"/>
      <c r="I77" s="9"/>
      <c r="J77" s="9"/>
      <c r="K77" s="9"/>
      <c r="L77" s="9"/>
      <c r="M77" s="9"/>
      <c r="N77" s="9"/>
      <c r="O77" s="9"/>
      <c r="P77" s="9"/>
      <c r="Q77" s="9"/>
      <c r="R77" s="9"/>
      <c r="S77" s="9"/>
      <c r="T77" s="9"/>
      <c r="U77" s="9"/>
      <c r="V77" s="9"/>
      <c r="W77" s="9"/>
      <c r="X77" s="9"/>
      <c r="Y77" s="9"/>
      <c r="Z77" s="9"/>
    </row>
    <row r="78" spans="1:26" ht="16.5" customHeight="1">
      <c r="A78" s="9"/>
      <c r="B78" s="9"/>
      <c r="C78" s="9"/>
      <c r="D78" s="43"/>
      <c r="E78" s="10"/>
      <c r="F78" s="9"/>
      <c r="G78" s="9"/>
      <c r="H78" s="9"/>
      <c r="I78" s="9"/>
      <c r="J78" s="9"/>
      <c r="K78" s="9"/>
      <c r="L78" s="9"/>
      <c r="M78" s="9"/>
      <c r="N78" s="9"/>
      <c r="O78" s="9"/>
      <c r="P78" s="9"/>
      <c r="Q78" s="9"/>
      <c r="R78" s="9"/>
      <c r="S78" s="9"/>
      <c r="T78" s="9"/>
      <c r="U78" s="9"/>
      <c r="V78" s="9"/>
      <c r="W78" s="9"/>
      <c r="X78" s="9"/>
      <c r="Y78" s="9"/>
      <c r="Z78" s="9"/>
    </row>
    <row r="79" spans="1:26" ht="16.5" customHeight="1">
      <c r="A79" s="9"/>
      <c r="B79" s="9"/>
      <c r="C79" s="9"/>
      <c r="D79" s="43"/>
      <c r="E79" s="10"/>
      <c r="F79" s="9"/>
      <c r="G79" s="9"/>
      <c r="H79" s="9"/>
      <c r="I79" s="9"/>
      <c r="J79" s="9"/>
      <c r="K79" s="9"/>
      <c r="L79" s="9"/>
      <c r="M79" s="9"/>
      <c r="N79" s="9"/>
      <c r="O79" s="9"/>
      <c r="P79" s="9"/>
      <c r="Q79" s="9"/>
      <c r="R79" s="9"/>
      <c r="S79" s="9"/>
      <c r="T79" s="9"/>
      <c r="U79" s="9"/>
      <c r="V79" s="9"/>
      <c r="W79" s="9"/>
      <c r="X79" s="9"/>
      <c r="Y79" s="9"/>
      <c r="Z79" s="9"/>
    </row>
    <row r="80" spans="1:26" ht="16.5" customHeight="1">
      <c r="A80" s="9"/>
      <c r="B80" s="9"/>
      <c r="C80" s="9"/>
      <c r="D80" s="43"/>
      <c r="E80" s="10"/>
      <c r="F80" s="9"/>
      <c r="G80" s="9"/>
      <c r="H80" s="9"/>
      <c r="I80" s="9"/>
      <c r="J80" s="9"/>
      <c r="K80" s="9"/>
      <c r="L80" s="9"/>
      <c r="M80" s="9"/>
      <c r="N80" s="9"/>
      <c r="O80" s="9"/>
      <c r="P80" s="9"/>
      <c r="Q80" s="9"/>
      <c r="R80" s="9"/>
      <c r="S80" s="9"/>
      <c r="T80" s="9"/>
      <c r="U80" s="9"/>
      <c r="V80" s="9"/>
      <c r="W80" s="9"/>
      <c r="X80" s="9"/>
      <c r="Y80" s="9"/>
      <c r="Z80" s="9"/>
    </row>
    <row r="81" spans="1:26" ht="16.5" customHeight="1">
      <c r="A81" s="9"/>
      <c r="B81" s="9"/>
      <c r="C81" s="9"/>
      <c r="D81" s="43"/>
      <c r="E81" s="10"/>
      <c r="F81" s="9"/>
      <c r="G81" s="9"/>
      <c r="H81" s="9"/>
      <c r="I81" s="9"/>
      <c r="J81" s="9"/>
      <c r="K81" s="9"/>
      <c r="L81" s="9"/>
      <c r="M81" s="9"/>
      <c r="N81" s="9"/>
      <c r="O81" s="9"/>
      <c r="P81" s="9"/>
      <c r="Q81" s="9"/>
      <c r="R81" s="9"/>
      <c r="S81" s="9"/>
      <c r="T81" s="9"/>
      <c r="U81" s="9"/>
      <c r="V81" s="9"/>
      <c r="W81" s="9"/>
      <c r="X81" s="9"/>
      <c r="Y81" s="9"/>
      <c r="Z81" s="9"/>
    </row>
    <row r="82" spans="1:26" ht="16.5" customHeight="1">
      <c r="A82" s="9"/>
      <c r="B82" s="9"/>
      <c r="C82" s="9"/>
      <c r="D82" s="43"/>
      <c r="E82" s="10"/>
      <c r="F82" s="9"/>
      <c r="G82" s="9"/>
      <c r="H82" s="9"/>
      <c r="I82" s="9"/>
      <c r="J82" s="9"/>
      <c r="K82" s="9"/>
      <c r="L82" s="9"/>
      <c r="M82" s="9"/>
      <c r="N82" s="9"/>
      <c r="O82" s="9"/>
      <c r="P82" s="9"/>
      <c r="Q82" s="9"/>
      <c r="R82" s="9"/>
      <c r="S82" s="9"/>
      <c r="T82" s="9"/>
      <c r="U82" s="9"/>
      <c r="V82" s="9"/>
      <c r="W82" s="9"/>
      <c r="X82" s="9"/>
      <c r="Y82" s="9"/>
      <c r="Z82" s="9"/>
    </row>
    <row r="83" spans="1:26" ht="16.5" customHeight="1">
      <c r="A83" s="9"/>
      <c r="B83" s="9"/>
      <c r="C83" s="9"/>
      <c r="D83" s="43"/>
      <c r="E83" s="10"/>
      <c r="F83" s="9"/>
      <c r="G83" s="9"/>
      <c r="H83" s="9"/>
      <c r="I83" s="9"/>
      <c r="J83" s="9"/>
      <c r="K83" s="9"/>
      <c r="L83" s="9"/>
      <c r="M83" s="9"/>
      <c r="N83" s="9"/>
      <c r="O83" s="9"/>
      <c r="P83" s="9"/>
      <c r="Q83" s="9"/>
      <c r="R83" s="9"/>
      <c r="S83" s="9"/>
      <c r="T83" s="9"/>
      <c r="U83" s="9"/>
      <c r="V83" s="9"/>
      <c r="W83" s="9"/>
      <c r="X83" s="9"/>
      <c r="Y83" s="9"/>
      <c r="Z83" s="9"/>
    </row>
    <row r="84" spans="1:26" ht="16.5" customHeight="1">
      <c r="A84" s="9"/>
      <c r="B84" s="9"/>
      <c r="C84" s="9"/>
      <c r="D84" s="43"/>
      <c r="E84" s="10"/>
      <c r="F84" s="9"/>
      <c r="G84" s="9"/>
      <c r="H84" s="9"/>
      <c r="I84" s="9"/>
      <c r="J84" s="9"/>
      <c r="K84" s="9"/>
      <c r="L84" s="9"/>
      <c r="M84" s="9"/>
      <c r="N84" s="9"/>
      <c r="O84" s="9"/>
      <c r="P84" s="9"/>
      <c r="Q84" s="9"/>
      <c r="R84" s="9"/>
      <c r="S84" s="9"/>
      <c r="T84" s="9"/>
      <c r="U84" s="9"/>
      <c r="V84" s="9"/>
      <c r="W84" s="9"/>
      <c r="X84" s="9"/>
      <c r="Y84" s="9"/>
      <c r="Z84" s="9"/>
    </row>
    <row r="85" spans="1:26" ht="16.5" customHeight="1">
      <c r="A85" s="9"/>
      <c r="B85" s="9"/>
      <c r="C85" s="9"/>
      <c r="D85" s="43"/>
      <c r="E85" s="10"/>
      <c r="F85" s="9"/>
      <c r="G85" s="9"/>
      <c r="H85" s="9"/>
      <c r="I85" s="9"/>
      <c r="J85" s="9"/>
      <c r="K85" s="9"/>
      <c r="L85" s="9"/>
      <c r="M85" s="9"/>
      <c r="N85" s="9"/>
      <c r="O85" s="9"/>
      <c r="P85" s="9"/>
      <c r="Q85" s="9"/>
      <c r="R85" s="9"/>
      <c r="S85" s="9"/>
      <c r="T85" s="9"/>
      <c r="U85" s="9"/>
      <c r="V85" s="9"/>
      <c r="W85" s="9"/>
      <c r="X85" s="9"/>
      <c r="Y85" s="9"/>
      <c r="Z85" s="9"/>
    </row>
    <row r="86" spans="1:26" ht="16.5" customHeight="1">
      <c r="A86" s="9"/>
      <c r="B86" s="9"/>
      <c r="C86" s="9"/>
      <c r="D86" s="43"/>
      <c r="E86" s="10"/>
      <c r="F86" s="9"/>
      <c r="G86" s="9"/>
      <c r="H86" s="9"/>
      <c r="I86" s="9"/>
      <c r="J86" s="9"/>
      <c r="K86" s="9"/>
      <c r="L86" s="9"/>
      <c r="M86" s="9"/>
      <c r="N86" s="9"/>
      <c r="O86" s="9"/>
      <c r="P86" s="9"/>
      <c r="Q86" s="9"/>
      <c r="R86" s="9"/>
      <c r="S86" s="9"/>
      <c r="T86" s="9"/>
      <c r="U86" s="9"/>
      <c r="V86" s="9"/>
      <c r="W86" s="9"/>
      <c r="X86" s="9"/>
      <c r="Y86" s="9"/>
      <c r="Z86" s="9"/>
    </row>
    <row r="87" spans="1:26" ht="16.5" customHeight="1">
      <c r="A87" s="9"/>
      <c r="B87" s="9"/>
      <c r="C87" s="9"/>
      <c r="D87" s="43"/>
      <c r="E87" s="10"/>
      <c r="F87" s="9"/>
      <c r="G87" s="9"/>
      <c r="H87" s="9"/>
      <c r="I87" s="9"/>
      <c r="J87" s="9"/>
      <c r="K87" s="9"/>
      <c r="L87" s="9"/>
      <c r="M87" s="9"/>
      <c r="N87" s="9"/>
      <c r="O87" s="9"/>
      <c r="P87" s="9"/>
      <c r="Q87" s="9"/>
      <c r="R87" s="9"/>
      <c r="S87" s="9"/>
      <c r="T87" s="9"/>
      <c r="U87" s="9"/>
      <c r="V87" s="9"/>
      <c r="W87" s="9"/>
      <c r="X87" s="9"/>
      <c r="Y87" s="9"/>
      <c r="Z87" s="9"/>
    </row>
    <row r="88" spans="1:26" ht="16.5" customHeight="1">
      <c r="A88" s="9"/>
      <c r="B88" s="9"/>
      <c r="C88" s="9"/>
      <c r="D88" s="43"/>
      <c r="E88" s="10"/>
      <c r="F88" s="9"/>
      <c r="G88" s="9"/>
      <c r="H88" s="9"/>
      <c r="I88" s="9"/>
      <c r="J88" s="9"/>
      <c r="K88" s="9"/>
      <c r="L88" s="9"/>
      <c r="M88" s="9"/>
      <c r="N88" s="9"/>
      <c r="O88" s="9"/>
      <c r="P88" s="9"/>
      <c r="Q88" s="9"/>
      <c r="R88" s="9"/>
      <c r="S88" s="9"/>
      <c r="T88" s="9"/>
      <c r="U88" s="9"/>
      <c r="V88" s="9"/>
      <c r="W88" s="9"/>
      <c r="X88" s="9"/>
      <c r="Y88" s="9"/>
      <c r="Z88" s="9"/>
    </row>
    <row r="89" spans="1:26" ht="16.5" customHeight="1">
      <c r="A89" s="9"/>
      <c r="B89" s="9"/>
      <c r="C89" s="9"/>
      <c r="D89" s="43"/>
      <c r="E89" s="10"/>
      <c r="F89" s="9"/>
      <c r="G89" s="9"/>
      <c r="H89" s="9"/>
      <c r="I89" s="9"/>
      <c r="J89" s="9"/>
      <c r="K89" s="9"/>
      <c r="L89" s="9"/>
      <c r="M89" s="9"/>
      <c r="N89" s="9"/>
      <c r="O89" s="9"/>
      <c r="P89" s="9"/>
      <c r="Q89" s="9"/>
      <c r="R89" s="9"/>
      <c r="S89" s="9"/>
      <c r="T89" s="9"/>
      <c r="U89" s="9"/>
      <c r="V89" s="9"/>
      <c r="W89" s="9"/>
      <c r="X89" s="9"/>
      <c r="Y89" s="9"/>
      <c r="Z89" s="9"/>
    </row>
    <row r="90" spans="1:26" ht="16.5" customHeight="1">
      <c r="A90" s="9"/>
      <c r="B90" s="9"/>
      <c r="C90" s="9"/>
      <c r="D90" s="43"/>
      <c r="E90" s="10"/>
      <c r="F90" s="9"/>
      <c r="G90" s="9"/>
      <c r="H90" s="9"/>
      <c r="I90" s="9"/>
      <c r="J90" s="9"/>
      <c r="K90" s="9"/>
      <c r="L90" s="9"/>
      <c r="M90" s="9"/>
      <c r="N90" s="9"/>
      <c r="O90" s="9"/>
      <c r="P90" s="9"/>
      <c r="Q90" s="9"/>
      <c r="R90" s="9"/>
      <c r="S90" s="9"/>
      <c r="T90" s="9"/>
      <c r="U90" s="9"/>
      <c r="V90" s="9"/>
      <c r="W90" s="9"/>
      <c r="X90" s="9"/>
      <c r="Y90" s="9"/>
      <c r="Z90" s="9"/>
    </row>
    <row r="91" spans="1:26" ht="16.5" customHeight="1">
      <c r="A91" s="9"/>
      <c r="B91" s="9"/>
      <c r="C91" s="9"/>
      <c r="D91" s="43"/>
      <c r="E91" s="10"/>
      <c r="F91" s="9"/>
      <c r="G91" s="9"/>
      <c r="H91" s="9"/>
      <c r="I91" s="9"/>
      <c r="J91" s="9"/>
      <c r="K91" s="9"/>
      <c r="L91" s="9"/>
      <c r="M91" s="9"/>
      <c r="N91" s="9"/>
      <c r="O91" s="9"/>
      <c r="P91" s="9"/>
      <c r="Q91" s="9"/>
      <c r="R91" s="9"/>
      <c r="S91" s="9"/>
      <c r="T91" s="9"/>
      <c r="U91" s="9"/>
      <c r="V91" s="9"/>
      <c r="W91" s="9"/>
      <c r="X91" s="9"/>
      <c r="Y91" s="9"/>
      <c r="Z91" s="9"/>
    </row>
    <row r="92" spans="1:26" ht="16.5" customHeight="1">
      <c r="A92" s="9"/>
      <c r="B92" s="9"/>
      <c r="C92" s="9"/>
      <c r="D92" s="43"/>
      <c r="E92" s="10"/>
      <c r="F92" s="9"/>
      <c r="G92" s="9"/>
      <c r="H92" s="9"/>
      <c r="I92" s="9"/>
      <c r="J92" s="9"/>
      <c r="K92" s="9"/>
      <c r="L92" s="9"/>
      <c r="M92" s="9"/>
      <c r="N92" s="9"/>
      <c r="O92" s="9"/>
      <c r="P92" s="9"/>
      <c r="Q92" s="9"/>
      <c r="R92" s="9"/>
      <c r="S92" s="9"/>
      <c r="T92" s="9"/>
      <c r="U92" s="9"/>
      <c r="V92" s="9"/>
      <c r="W92" s="9"/>
      <c r="X92" s="9"/>
      <c r="Y92" s="9"/>
      <c r="Z92" s="9"/>
    </row>
    <row r="93" spans="1:26" ht="16.5" customHeight="1">
      <c r="A93" s="9"/>
      <c r="B93" s="9"/>
      <c r="C93" s="9"/>
      <c r="D93" s="43"/>
      <c r="E93" s="10"/>
      <c r="F93" s="9"/>
      <c r="G93" s="9"/>
      <c r="H93" s="9"/>
      <c r="I93" s="9"/>
      <c r="J93" s="9"/>
      <c r="K93" s="9"/>
      <c r="L93" s="9"/>
      <c r="M93" s="9"/>
      <c r="N93" s="9"/>
      <c r="O93" s="9"/>
      <c r="P93" s="9"/>
      <c r="Q93" s="9"/>
      <c r="R93" s="9"/>
      <c r="S93" s="9"/>
      <c r="T93" s="9"/>
      <c r="U93" s="9"/>
      <c r="V93" s="9"/>
      <c r="W93" s="9"/>
      <c r="X93" s="9"/>
      <c r="Y93" s="9"/>
      <c r="Z93" s="9"/>
    </row>
    <row r="94" spans="1:26" ht="16.5" customHeight="1">
      <c r="A94" s="9"/>
      <c r="B94" s="9"/>
      <c r="C94" s="9"/>
      <c r="D94" s="43"/>
      <c r="E94" s="10"/>
      <c r="F94" s="9"/>
      <c r="G94" s="9"/>
      <c r="H94" s="9"/>
      <c r="I94" s="9"/>
      <c r="J94" s="9"/>
      <c r="K94" s="9"/>
      <c r="L94" s="9"/>
      <c r="M94" s="9"/>
      <c r="N94" s="9"/>
      <c r="O94" s="9"/>
      <c r="P94" s="9"/>
      <c r="Q94" s="9"/>
      <c r="R94" s="9"/>
      <c r="S94" s="9"/>
      <c r="T94" s="9"/>
      <c r="U94" s="9"/>
      <c r="V94" s="9"/>
      <c r="W94" s="9"/>
      <c r="X94" s="9"/>
      <c r="Y94" s="9"/>
      <c r="Z94" s="9"/>
    </row>
    <row r="95" spans="1:26" ht="16.5" customHeight="1">
      <c r="A95" s="9"/>
      <c r="B95" s="9"/>
      <c r="C95" s="9"/>
      <c r="D95" s="43"/>
      <c r="E95" s="10"/>
      <c r="F95" s="9"/>
      <c r="G95" s="9"/>
      <c r="H95" s="9"/>
      <c r="I95" s="9"/>
      <c r="J95" s="9"/>
      <c r="K95" s="9"/>
      <c r="L95" s="9"/>
      <c r="M95" s="9"/>
      <c r="N95" s="9"/>
      <c r="O95" s="9"/>
      <c r="P95" s="9"/>
      <c r="Q95" s="9"/>
      <c r="R95" s="9"/>
      <c r="S95" s="9"/>
      <c r="T95" s="9"/>
      <c r="U95" s="9"/>
      <c r="V95" s="9"/>
      <c r="W95" s="9"/>
      <c r="X95" s="9"/>
      <c r="Y95" s="9"/>
      <c r="Z95" s="9"/>
    </row>
    <row r="96" spans="1:26" ht="16.5" customHeight="1">
      <c r="A96" s="9"/>
      <c r="B96" s="9"/>
      <c r="C96" s="9"/>
      <c r="D96" s="43"/>
      <c r="E96" s="10"/>
      <c r="F96" s="9"/>
      <c r="G96" s="9"/>
      <c r="H96" s="9"/>
      <c r="I96" s="9"/>
      <c r="J96" s="9"/>
      <c r="K96" s="9"/>
      <c r="L96" s="9"/>
      <c r="M96" s="9"/>
      <c r="N96" s="9"/>
      <c r="O96" s="9"/>
      <c r="P96" s="9"/>
      <c r="Q96" s="9"/>
      <c r="R96" s="9"/>
      <c r="S96" s="9"/>
      <c r="T96" s="9"/>
      <c r="U96" s="9"/>
      <c r="V96" s="9"/>
      <c r="W96" s="9"/>
      <c r="X96" s="9"/>
      <c r="Y96" s="9"/>
      <c r="Z96" s="9"/>
    </row>
    <row r="97" spans="1:26" ht="16.5" customHeight="1">
      <c r="A97" s="9"/>
      <c r="B97" s="9"/>
      <c r="C97" s="9"/>
      <c r="D97" s="43"/>
      <c r="E97" s="10"/>
      <c r="F97" s="9"/>
      <c r="G97" s="9"/>
      <c r="H97" s="9"/>
      <c r="I97" s="9"/>
      <c r="J97" s="9"/>
      <c r="K97" s="9"/>
      <c r="L97" s="9"/>
      <c r="M97" s="9"/>
      <c r="N97" s="9"/>
      <c r="O97" s="9"/>
      <c r="P97" s="9"/>
      <c r="Q97" s="9"/>
      <c r="R97" s="9"/>
      <c r="S97" s="9"/>
      <c r="T97" s="9"/>
      <c r="U97" s="9"/>
      <c r="V97" s="9"/>
      <c r="W97" s="9"/>
      <c r="X97" s="9"/>
      <c r="Y97" s="9"/>
      <c r="Z97" s="9"/>
    </row>
    <row r="98" spans="1:26" ht="16.5" customHeight="1">
      <c r="A98" s="9"/>
      <c r="B98" s="9"/>
      <c r="C98" s="9"/>
      <c r="D98" s="43"/>
      <c r="E98" s="10"/>
      <c r="F98" s="9"/>
      <c r="G98" s="9"/>
      <c r="H98" s="9"/>
      <c r="I98" s="9"/>
      <c r="J98" s="9"/>
      <c r="K98" s="9"/>
      <c r="L98" s="9"/>
      <c r="M98" s="9"/>
      <c r="N98" s="9"/>
      <c r="O98" s="9"/>
      <c r="P98" s="9"/>
      <c r="Q98" s="9"/>
      <c r="R98" s="9"/>
      <c r="S98" s="9"/>
      <c r="T98" s="9"/>
      <c r="U98" s="9"/>
      <c r="V98" s="9"/>
      <c r="W98" s="9"/>
      <c r="X98" s="9"/>
      <c r="Y98" s="9"/>
      <c r="Z98" s="9"/>
    </row>
    <row r="99" spans="1:26" ht="16.5" customHeight="1">
      <c r="A99" s="9"/>
      <c r="B99" s="9"/>
      <c r="C99" s="9"/>
      <c r="D99" s="43"/>
      <c r="E99" s="10"/>
      <c r="F99" s="9"/>
      <c r="G99" s="9"/>
      <c r="H99" s="9"/>
      <c r="I99" s="9"/>
      <c r="J99" s="9"/>
      <c r="K99" s="9"/>
      <c r="L99" s="9"/>
      <c r="M99" s="9"/>
      <c r="N99" s="9"/>
      <c r="O99" s="9"/>
      <c r="P99" s="9"/>
      <c r="Q99" s="9"/>
      <c r="R99" s="9"/>
      <c r="S99" s="9"/>
      <c r="T99" s="9"/>
      <c r="U99" s="9"/>
      <c r="V99" s="9"/>
      <c r="W99" s="9"/>
      <c r="X99" s="9"/>
      <c r="Y99" s="9"/>
      <c r="Z99" s="9"/>
    </row>
    <row r="100" spans="1:26" ht="16.5" customHeight="1">
      <c r="A100" s="9"/>
      <c r="B100" s="9"/>
      <c r="C100" s="9"/>
      <c r="D100" s="43"/>
      <c r="E100" s="10"/>
      <c r="F100" s="9"/>
      <c r="G100" s="9"/>
      <c r="H100" s="9"/>
      <c r="I100" s="9"/>
      <c r="J100" s="9"/>
      <c r="K100" s="9"/>
      <c r="L100" s="9"/>
      <c r="M100" s="9"/>
      <c r="N100" s="9"/>
      <c r="O100" s="9"/>
      <c r="P100" s="9"/>
      <c r="Q100" s="9"/>
      <c r="R100" s="9"/>
      <c r="S100" s="9"/>
      <c r="T100" s="9"/>
      <c r="U100" s="9"/>
      <c r="V100" s="9"/>
      <c r="W100" s="9"/>
      <c r="X100" s="9"/>
      <c r="Y100" s="9"/>
      <c r="Z100" s="9"/>
    </row>
    <row r="101" spans="1:26" ht="16.5" customHeight="1">
      <c r="A101" s="9"/>
      <c r="B101" s="9"/>
      <c r="C101" s="9"/>
      <c r="D101" s="43"/>
      <c r="E101" s="10"/>
      <c r="F101" s="9"/>
      <c r="G101" s="9"/>
      <c r="H101" s="9"/>
      <c r="I101" s="9"/>
      <c r="J101" s="9"/>
      <c r="K101" s="9"/>
      <c r="L101" s="9"/>
      <c r="M101" s="9"/>
      <c r="N101" s="9"/>
      <c r="O101" s="9"/>
      <c r="P101" s="9"/>
      <c r="Q101" s="9"/>
      <c r="R101" s="9"/>
      <c r="S101" s="9"/>
      <c r="T101" s="9"/>
      <c r="U101" s="9"/>
      <c r="V101" s="9"/>
      <c r="W101" s="9"/>
      <c r="X101" s="9"/>
      <c r="Y101" s="9"/>
      <c r="Z101" s="9"/>
    </row>
    <row r="102" spans="1:26" ht="16.5" customHeight="1">
      <c r="A102" s="9"/>
      <c r="B102" s="9"/>
      <c r="C102" s="9"/>
      <c r="D102" s="43"/>
      <c r="E102" s="10"/>
      <c r="F102" s="9"/>
      <c r="G102" s="9"/>
      <c r="H102" s="9"/>
      <c r="I102" s="9"/>
      <c r="J102" s="9"/>
      <c r="K102" s="9"/>
      <c r="L102" s="9"/>
      <c r="M102" s="9"/>
      <c r="N102" s="9"/>
      <c r="O102" s="9"/>
      <c r="P102" s="9"/>
      <c r="Q102" s="9"/>
      <c r="R102" s="9"/>
      <c r="S102" s="9"/>
      <c r="T102" s="9"/>
      <c r="U102" s="9"/>
      <c r="V102" s="9"/>
      <c r="W102" s="9"/>
      <c r="X102" s="9"/>
      <c r="Y102" s="9"/>
      <c r="Z102" s="9"/>
    </row>
    <row r="103" spans="1:26" ht="16.5" customHeight="1">
      <c r="A103" s="9"/>
      <c r="B103" s="9"/>
      <c r="C103" s="9"/>
      <c r="D103" s="43"/>
      <c r="E103" s="10"/>
      <c r="F103" s="9"/>
      <c r="G103" s="9"/>
      <c r="H103" s="9"/>
      <c r="I103" s="9"/>
      <c r="J103" s="9"/>
      <c r="K103" s="9"/>
      <c r="L103" s="9"/>
      <c r="M103" s="9"/>
      <c r="N103" s="9"/>
      <c r="O103" s="9"/>
      <c r="P103" s="9"/>
      <c r="Q103" s="9"/>
      <c r="R103" s="9"/>
      <c r="S103" s="9"/>
      <c r="T103" s="9"/>
      <c r="U103" s="9"/>
      <c r="V103" s="9"/>
      <c r="W103" s="9"/>
      <c r="X103" s="9"/>
      <c r="Y103" s="9"/>
      <c r="Z103" s="9"/>
    </row>
    <row r="104" spans="1:26" ht="16.5" customHeight="1">
      <c r="A104" s="9"/>
      <c r="B104" s="9"/>
      <c r="C104" s="9"/>
      <c r="D104" s="43"/>
      <c r="E104" s="10"/>
      <c r="F104" s="9"/>
      <c r="G104" s="9"/>
      <c r="H104" s="9"/>
      <c r="I104" s="9"/>
      <c r="J104" s="9"/>
      <c r="K104" s="9"/>
      <c r="L104" s="9"/>
      <c r="M104" s="9"/>
      <c r="N104" s="9"/>
      <c r="O104" s="9"/>
      <c r="P104" s="9"/>
      <c r="Q104" s="9"/>
      <c r="R104" s="9"/>
      <c r="S104" s="9"/>
      <c r="T104" s="9"/>
      <c r="U104" s="9"/>
      <c r="V104" s="9"/>
      <c r="W104" s="9"/>
      <c r="X104" s="9"/>
      <c r="Y104" s="9"/>
      <c r="Z104" s="9"/>
    </row>
    <row r="105" spans="1:26" ht="16.5" customHeight="1">
      <c r="A105" s="9"/>
      <c r="B105" s="9"/>
      <c r="C105" s="9"/>
      <c r="D105" s="43"/>
      <c r="E105" s="10"/>
      <c r="F105" s="9"/>
      <c r="G105" s="9"/>
      <c r="H105" s="9"/>
      <c r="I105" s="9"/>
      <c r="J105" s="9"/>
      <c r="K105" s="9"/>
      <c r="L105" s="9"/>
      <c r="M105" s="9"/>
      <c r="N105" s="9"/>
      <c r="O105" s="9"/>
      <c r="P105" s="9"/>
      <c r="Q105" s="9"/>
      <c r="R105" s="9"/>
      <c r="S105" s="9"/>
      <c r="T105" s="9"/>
      <c r="U105" s="9"/>
      <c r="V105" s="9"/>
      <c r="W105" s="9"/>
      <c r="X105" s="9"/>
      <c r="Y105" s="9"/>
      <c r="Z105" s="9"/>
    </row>
    <row r="106" spans="1:26" ht="16.5" customHeight="1">
      <c r="A106" s="9"/>
      <c r="B106" s="9"/>
      <c r="C106" s="9"/>
      <c r="D106" s="43"/>
      <c r="E106" s="10"/>
      <c r="F106" s="9"/>
      <c r="G106" s="9"/>
      <c r="H106" s="9"/>
      <c r="I106" s="9"/>
      <c r="J106" s="9"/>
      <c r="K106" s="9"/>
      <c r="L106" s="9"/>
      <c r="M106" s="9"/>
      <c r="N106" s="9"/>
      <c r="O106" s="9"/>
      <c r="P106" s="9"/>
      <c r="Q106" s="9"/>
      <c r="R106" s="9"/>
      <c r="S106" s="9"/>
      <c r="T106" s="9"/>
      <c r="U106" s="9"/>
      <c r="V106" s="9"/>
      <c r="W106" s="9"/>
      <c r="X106" s="9"/>
      <c r="Y106" s="9"/>
      <c r="Z106" s="9"/>
    </row>
    <row r="107" spans="1:26" ht="16.5" customHeight="1">
      <c r="A107" s="9"/>
      <c r="B107" s="9"/>
      <c r="C107" s="9"/>
      <c r="D107" s="43"/>
      <c r="E107" s="10"/>
      <c r="F107" s="9"/>
      <c r="G107" s="9"/>
      <c r="H107" s="9"/>
      <c r="I107" s="9"/>
      <c r="J107" s="9"/>
      <c r="K107" s="9"/>
      <c r="L107" s="9"/>
      <c r="M107" s="9"/>
      <c r="N107" s="9"/>
      <c r="O107" s="9"/>
      <c r="P107" s="9"/>
      <c r="Q107" s="9"/>
      <c r="R107" s="9"/>
      <c r="S107" s="9"/>
      <c r="T107" s="9"/>
      <c r="U107" s="9"/>
      <c r="V107" s="9"/>
      <c r="W107" s="9"/>
      <c r="X107" s="9"/>
      <c r="Y107" s="9"/>
      <c r="Z107" s="9"/>
    </row>
    <row r="108" spans="1:26" ht="16.5" customHeight="1">
      <c r="A108" s="9"/>
      <c r="B108" s="9"/>
      <c r="C108" s="9"/>
      <c r="D108" s="43"/>
      <c r="E108" s="10"/>
      <c r="F108" s="9"/>
      <c r="G108" s="9"/>
      <c r="H108" s="9"/>
      <c r="I108" s="9"/>
      <c r="J108" s="9"/>
      <c r="K108" s="9"/>
      <c r="L108" s="9"/>
      <c r="M108" s="9"/>
      <c r="N108" s="9"/>
      <c r="O108" s="9"/>
      <c r="P108" s="9"/>
      <c r="Q108" s="9"/>
      <c r="R108" s="9"/>
      <c r="S108" s="9"/>
      <c r="T108" s="9"/>
      <c r="U108" s="9"/>
      <c r="V108" s="9"/>
      <c r="W108" s="9"/>
      <c r="X108" s="9"/>
      <c r="Y108" s="9"/>
      <c r="Z108" s="9"/>
    </row>
    <row r="109" spans="1:26" ht="16.5" customHeight="1">
      <c r="A109" s="9"/>
      <c r="B109" s="9"/>
      <c r="C109" s="9"/>
      <c r="D109" s="43"/>
      <c r="E109" s="10"/>
      <c r="F109" s="9"/>
      <c r="G109" s="9"/>
      <c r="H109" s="9"/>
      <c r="I109" s="9"/>
      <c r="J109" s="9"/>
      <c r="K109" s="9"/>
      <c r="L109" s="9"/>
      <c r="M109" s="9"/>
      <c r="N109" s="9"/>
      <c r="O109" s="9"/>
      <c r="P109" s="9"/>
      <c r="Q109" s="9"/>
      <c r="R109" s="9"/>
      <c r="S109" s="9"/>
      <c r="T109" s="9"/>
      <c r="U109" s="9"/>
      <c r="V109" s="9"/>
      <c r="W109" s="9"/>
      <c r="X109" s="9"/>
      <c r="Y109" s="9"/>
      <c r="Z109" s="9"/>
    </row>
    <row r="110" spans="1:26" ht="16.5" customHeight="1">
      <c r="A110" s="9"/>
      <c r="B110" s="9"/>
      <c r="C110" s="9"/>
      <c r="D110" s="43"/>
      <c r="E110" s="10"/>
      <c r="F110" s="9"/>
      <c r="G110" s="9"/>
      <c r="H110" s="9"/>
      <c r="I110" s="9"/>
      <c r="J110" s="9"/>
      <c r="K110" s="9"/>
      <c r="L110" s="9"/>
      <c r="M110" s="9"/>
      <c r="N110" s="9"/>
      <c r="O110" s="9"/>
      <c r="P110" s="9"/>
      <c r="Q110" s="9"/>
      <c r="R110" s="9"/>
      <c r="S110" s="9"/>
      <c r="T110" s="9"/>
      <c r="U110" s="9"/>
      <c r="V110" s="9"/>
      <c r="W110" s="9"/>
      <c r="X110" s="9"/>
      <c r="Y110" s="9"/>
      <c r="Z110" s="9"/>
    </row>
    <row r="111" spans="1:26" ht="16.5" customHeight="1">
      <c r="A111" s="9"/>
      <c r="B111" s="9"/>
      <c r="C111" s="9"/>
      <c r="D111" s="43"/>
      <c r="E111" s="10"/>
      <c r="F111" s="9"/>
      <c r="G111" s="9"/>
      <c r="H111" s="9"/>
      <c r="I111" s="9"/>
      <c r="J111" s="9"/>
      <c r="K111" s="9"/>
      <c r="L111" s="9"/>
      <c r="M111" s="9"/>
      <c r="N111" s="9"/>
      <c r="O111" s="9"/>
      <c r="P111" s="9"/>
      <c r="Q111" s="9"/>
      <c r="R111" s="9"/>
      <c r="S111" s="9"/>
      <c r="T111" s="9"/>
      <c r="U111" s="9"/>
      <c r="V111" s="9"/>
      <c r="W111" s="9"/>
      <c r="X111" s="9"/>
      <c r="Y111" s="9"/>
      <c r="Z111" s="9"/>
    </row>
    <row r="112" spans="1:26" ht="16.5" customHeight="1">
      <c r="A112" s="9"/>
      <c r="B112" s="9"/>
      <c r="C112" s="9"/>
      <c r="D112" s="43"/>
      <c r="E112" s="10"/>
      <c r="F112" s="9"/>
      <c r="G112" s="9"/>
      <c r="H112" s="9"/>
      <c r="I112" s="9"/>
      <c r="J112" s="9"/>
      <c r="K112" s="9"/>
      <c r="L112" s="9"/>
      <c r="M112" s="9"/>
      <c r="N112" s="9"/>
      <c r="O112" s="9"/>
      <c r="P112" s="9"/>
      <c r="Q112" s="9"/>
      <c r="R112" s="9"/>
      <c r="S112" s="9"/>
      <c r="T112" s="9"/>
      <c r="U112" s="9"/>
      <c r="V112" s="9"/>
      <c r="W112" s="9"/>
      <c r="X112" s="9"/>
      <c r="Y112" s="9"/>
      <c r="Z112" s="9"/>
    </row>
    <row r="113" spans="1:26" ht="16.5" customHeight="1">
      <c r="A113" s="9"/>
      <c r="B113" s="9"/>
      <c r="C113" s="9"/>
      <c r="D113" s="43"/>
      <c r="E113" s="10"/>
      <c r="F113" s="9"/>
      <c r="G113" s="9"/>
      <c r="H113" s="9"/>
      <c r="I113" s="9"/>
      <c r="J113" s="9"/>
      <c r="K113" s="9"/>
      <c r="L113" s="9"/>
      <c r="M113" s="9"/>
      <c r="N113" s="9"/>
      <c r="O113" s="9"/>
      <c r="P113" s="9"/>
      <c r="Q113" s="9"/>
      <c r="R113" s="9"/>
      <c r="S113" s="9"/>
      <c r="T113" s="9"/>
      <c r="U113" s="9"/>
      <c r="V113" s="9"/>
      <c r="W113" s="9"/>
      <c r="X113" s="9"/>
      <c r="Y113" s="9"/>
      <c r="Z113" s="9"/>
    </row>
    <row r="114" spans="1:26" ht="16.5" customHeight="1">
      <c r="A114" s="9"/>
      <c r="B114" s="9"/>
      <c r="C114" s="9"/>
      <c r="D114" s="43"/>
      <c r="E114" s="10"/>
      <c r="F114" s="9"/>
      <c r="G114" s="9"/>
      <c r="H114" s="9"/>
      <c r="I114" s="9"/>
      <c r="J114" s="9"/>
      <c r="K114" s="9"/>
      <c r="L114" s="9"/>
      <c r="M114" s="9"/>
      <c r="N114" s="9"/>
      <c r="O114" s="9"/>
      <c r="P114" s="9"/>
      <c r="Q114" s="9"/>
      <c r="R114" s="9"/>
      <c r="S114" s="9"/>
      <c r="T114" s="9"/>
      <c r="U114" s="9"/>
      <c r="V114" s="9"/>
      <c r="W114" s="9"/>
      <c r="X114" s="9"/>
      <c r="Y114" s="9"/>
      <c r="Z114" s="9"/>
    </row>
    <row r="115" spans="1:26" ht="16.5" customHeight="1">
      <c r="A115" s="9"/>
      <c r="B115" s="9"/>
      <c r="C115" s="9"/>
      <c r="D115" s="43"/>
      <c r="E115" s="10"/>
      <c r="F115" s="9"/>
      <c r="G115" s="9"/>
      <c r="H115" s="9"/>
      <c r="I115" s="9"/>
      <c r="J115" s="9"/>
      <c r="K115" s="9"/>
      <c r="L115" s="9"/>
      <c r="M115" s="9"/>
      <c r="N115" s="9"/>
      <c r="O115" s="9"/>
      <c r="P115" s="9"/>
      <c r="Q115" s="9"/>
      <c r="R115" s="9"/>
      <c r="S115" s="9"/>
      <c r="T115" s="9"/>
      <c r="U115" s="9"/>
      <c r="V115" s="9"/>
      <c r="W115" s="9"/>
      <c r="X115" s="9"/>
      <c r="Y115" s="9"/>
      <c r="Z115" s="9"/>
    </row>
    <row r="116" spans="1:26" ht="16.5" customHeight="1">
      <c r="A116" s="9"/>
      <c r="B116" s="9"/>
      <c r="C116" s="9"/>
      <c r="D116" s="43"/>
      <c r="E116" s="10"/>
      <c r="F116" s="9"/>
      <c r="G116" s="9"/>
      <c r="H116" s="9"/>
      <c r="I116" s="9"/>
      <c r="J116" s="9"/>
      <c r="K116" s="9"/>
      <c r="L116" s="9"/>
      <c r="M116" s="9"/>
      <c r="N116" s="9"/>
      <c r="O116" s="9"/>
      <c r="P116" s="9"/>
      <c r="Q116" s="9"/>
      <c r="R116" s="9"/>
      <c r="S116" s="9"/>
      <c r="T116" s="9"/>
      <c r="U116" s="9"/>
      <c r="V116" s="9"/>
      <c r="W116" s="9"/>
      <c r="X116" s="9"/>
      <c r="Y116" s="9"/>
      <c r="Z116" s="9"/>
    </row>
    <row r="117" spans="1:26" ht="16.5" customHeight="1">
      <c r="A117" s="9"/>
      <c r="B117" s="9"/>
      <c r="C117" s="9"/>
      <c r="D117" s="43"/>
      <c r="E117" s="10"/>
      <c r="F117" s="9"/>
      <c r="G117" s="9"/>
      <c r="H117" s="9"/>
      <c r="I117" s="9"/>
      <c r="J117" s="9"/>
      <c r="K117" s="9"/>
      <c r="L117" s="9"/>
      <c r="M117" s="9"/>
      <c r="N117" s="9"/>
      <c r="O117" s="9"/>
      <c r="P117" s="9"/>
      <c r="Q117" s="9"/>
      <c r="R117" s="9"/>
      <c r="S117" s="9"/>
      <c r="T117" s="9"/>
      <c r="U117" s="9"/>
      <c r="V117" s="9"/>
      <c r="W117" s="9"/>
      <c r="X117" s="9"/>
      <c r="Y117" s="9"/>
      <c r="Z117" s="9"/>
    </row>
    <row r="118" spans="1:26" ht="16.5" customHeight="1">
      <c r="A118" s="9"/>
      <c r="B118" s="9"/>
      <c r="C118" s="9"/>
      <c r="D118" s="43"/>
      <c r="E118" s="10"/>
      <c r="F118" s="9"/>
      <c r="G118" s="9"/>
      <c r="H118" s="9"/>
      <c r="I118" s="9"/>
      <c r="J118" s="9"/>
      <c r="K118" s="9"/>
      <c r="L118" s="9"/>
      <c r="M118" s="9"/>
      <c r="N118" s="9"/>
      <c r="O118" s="9"/>
      <c r="P118" s="9"/>
      <c r="Q118" s="9"/>
      <c r="R118" s="9"/>
      <c r="S118" s="9"/>
      <c r="T118" s="9"/>
      <c r="U118" s="9"/>
      <c r="V118" s="9"/>
      <c r="W118" s="9"/>
      <c r="X118" s="9"/>
      <c r="Y118" s="9"/>
      <c r="Z118" s="9"/>
    </row>
    <row r="119" spans="1:26" ht="16.5" customHeight="1">
      <c r="A119" s="9"/>
      <c r="B119" s="9"/>
      <c r="C119" s="9"/>
      <c r="D119" s="43"/>
      <c r="E119" s="10"/>
      <c r="F119" s="9"/>
      <c r="G119" s="9"/>
      <c r="H119" s="9"/>
      <c r="I119" s="9"/>
      <c r="J119" s="9"/>
      <c r="K119" s="9"/>
      <c r="L119" s="9"/>
      <c r="M119" s="9"/>
      <c r="N119" s="9"/>
      <c r="O119" s="9"/>
      <c r="P119" s="9"/>
      <c r="Q119" s="9"/>
      <c r="R119" s="9"/>
      <c r="S119" s="9"/>
      <c r="T119" s="9"/>
      <c r="U119" s="9"/>
      <c r="V119" s="9"/>
      <c r="W119" s="9"/>
      <c r="X119" s="9"/>
      <c r="Y119" s="9"/>
      <c r="Z119" s="9"/>
    </row>
    <row r="120" spans="1:26" ht="16.5" customHeight="1">
      <c r="A120" s="9"/>
      <c r="B120" s="9"/>
      <c r="C120" s="9"/>
      <c r="D120" s="43"/>
      <c r="E120" s="10"/>
      <c r="F120" s="9"/>
      <c r="G120" s="9"/>
      <c r="H120" s="9"/>
      <c r="I120" s="9"/>
      <c r="J120" s="9"/>
      <c r="K120" s="9"/>
      <c r="L120" s="9"/>
      <c r="M120" s="9"/>
      <c r="N120" s="9"/>
      <c r="O120" s="9"/>
      <c r="P120" s="9"/>
      <c r="Q120" s="9"/>
      <c r="R120" s="9"/>
      <c r="S120" s="9"/>
      <c r="T120" s="9"/>
      <c r="U120" s="9"/>
      <c r="V120" s="9"/>
      <c r="W120" s="9"/>
      <c r="X120" s="9"/>
      <c r="Y120" s="9"/>
      <c r="Z120" s="9"/>
    </row>
    <row r="121" spans="1:26" ht="16.5" customHeight="1">
      <c r="A121" s="9"/>
      <c r="B121" s="9"/>
      <c r="C121" s="9"/>
      <c r="D121" s="43"/>
      <c r="E121" s="10"/>
      <c r="F121" s="9"/>
      <c r="G121" s="9"/>
      <c r="H121" s="9"/>
      <c r="I121" s="9"/>
      <c r="J121" s="9"/>
      <c r="K121" s="9"/>
      <c r="L121" s="9"/>
      <c r="M121" s="9"/>
      <c r="N121" s="9"/>
      <c r="O121" s="9"/>
      <c r="P121" s="9"/>
      <c r="Q121" s="9"/>
      <c r="R121" s="9"/>
      <c r="S121" s="9"/>
      <c r="T121" s="9"/>
      <c r="U121" s="9"/>
      <c r="V121" s="9"/>
      <c r="W121" s="9"/>
      <c r="X121" s="9"/>
      <c r="Y121" s="9"/>
      <c r="Z121" s="9"/>
    </row>
    <row r="122" spans="1:26" ht="16.5" customHeight="1">
      <c r="A122" s="9"/>
      <c r="B122" s="9"/>
      <c r="C122" s="9"/>
      <c r="D122" s="43"/>
      <c r="E122" s="10"/>
      <c r="F122" s="9"/>
      <c r="G122" s="9"/>
      <c r="H122" s="9"/>
      <c r="I122" s="9"/>
      <c r="J122" s="9"/>
      <c r="K122" s="9"/>
      <c r="L122" s="9"/>
      <c r="M122" s="9"/>
      <c r="N122" s="9"/>
      <c r="O122" s="9"/>
      <c r="P122" s="9"/>
      <c r="Q122" s="9"/>
      <c r="R122" s="9"/>
      <c r="S122" s="9"/>
      <c r="T122" s="9"/>
      <c r="U122" s="9"/>
      <c r="V122" s="9"/>
      <c r="W122" s="9"/>
      <c r="X122" s="9"/>
      <c r="Y122" s="9"/>
      <c r="Z122" s="9"/>
    </row>
    <row r="123" spans="1:26" ht="16.5" customHeight="1">
      <c r="A123" s="9"/>
      <c r="B123" s="9"/>
      <c r="C123" s="9"/>
      <c r="D123" s="43"/>
      <c r="E123" s="10"/>
      <c r="F123" s="9"/>
      <c r="G123" s="9"/>
      <c r="H123" s="9"/>
      <c r="I123" s="9"/>
      <c r="J123" s="9"/>
      <c r="K123" s="9"/>
      <c r="L123" s="9"/>
      <c r="M123" s="9"/>
      <c r="N123" s="9"/>
      <c r="O123" s="9"/>
      <c r="P123" s="9"/>
      <c r="Q123" s="9"/>
      <c r="R123" s="9"/>
      <c r="S123" s="9"/>
      <c r="T123" s="9"/>
      <c r="U123" s="9"/>
      <c r="V123" s="9"/>
      <c r="W123" s="9"/>
      <c r="X123" s="9"/>
      <c r="Y123" s="9"/>
      <c r="Z123" s="9"/>
    </row>
    <row r="124" spans="1:26" ht="16.5" customHeight="1">
      <c r="A124" s="9"/>
      <c r="B124" s="9"/>
      <c r="C124" s="9"/>
      <c r="D124" s="43"/>
      <c r="E124" s="10"/>
      <c r="F124" s="9"/>
      <c r="G124" s="9"/>
      <c r="H124" s="9"/>
      <c r="I124" s="9"/>
      <c r="J124" s="9"/>
      <c r="K124" s="9"/>
      <c r="L124" s="9"/>
      <c r="M124" s="9"/>
      <c r="N124" s="9"/>
      <c r="O124" s="9"/>
      <c r="P124" s="9"/>
      <c r="Q124" s="9"/>
      <c r="R124" s="9"/>
      <c r="S124" s="9"/>
      <c r="T124" s="9"/>
      <c r="U124" s="9"/>
      <c r="V124" s="9"/>
      <c r="W124" s="9"/>
      <c r="X124" s="9"/>
      <c r="Y124" s="9"/>
      <c r="Z124" s="9"/>
    </row>
    <row r="125" spans="1:26" ht="16.5" customHeight="1">
      <c r="A125" s="9"/>
      <c r="B125" s="9"/>
      <c r="C125" s="9"/>
      <c r="D125" s="43"/>
      <c r="E125" s="10"/>
      <c r="F125" s="9"/>
      <c r="G125" s="9"/>
      <c r="H125" s="9"/>
      <c r="I125" s="9"/>
      <c r="J125" s="9"/>
      <c r="K125" s="9"/>
      <c r="L125" s="9"/>
      <c r="M125" s="9"/>
      <c r="N125" s="9"/>
      <c r="O125" s="9"/>
      <c r="P125" s="9"/>
      <c r="Q125" s="9"/>
      <c r="R125" s="9"/>
      <c r="S125" s="9"/>
      <c r="T125" s="9"/>
      <c r="U125" s="9"/>
      <c r="V125" s="9"/>
      <c r="W125" s="9"/>
      <c r="X125" s="9"/>
      <c r="Y125" s="9"/>
      <c r="Z125" s="9"/>
    </row>
    <row r="126" spans="1:26" ht="16.5" customHeight="1">
      <c r="A126" s="9"/>
      <c r="B126" s="9"/>
      <c r="C126" s="9"/>
      <c r="D126" s="43"/>
      <c r="E126" s="10"/>
      <c r="F126" s="9"/>
      <c r="G126" s="9"/>
      <c r="H126" s="9"/>
      <c r="I126" s="9"/>
      <c r="J126" s="9"/>
      <c r="K126" s="9"/>
      <c r="L126" s="9"/>
      <c r="M126" s="9"/>
      <c r="N126" s="9"/>
      <c r="O126" s="9"/>
      <c r="P126" s="9"/>
      <c r="Q126" s="9"/>
      <c r="R126" s="9"/>
      <c r="S126" s="9"/>
      <c r="T126" s="9"/>
      <c r="U126" s="9"/>
      <c r="V126" s="9"/>
      <c r="W126" s="9"/>
      <c r="X126" s="9"/>
      <c r="Y126" s="9"/>
      <c r="Z126" s="9"/>
    </row>
    <row r="127" spans="1:26" ht="16.5" customHeight="1">
      <c r="A127" s="9"/>
      <c r="B127" s="9"/>
      <c r="C127" s="9"/>
      <c r="D127" s="43"/>
      <c r="E127" s="10"/>
      <c r="F127" s="9"/>
      <c r="G127" s="9"/>
      <c r="H127" s="9"/>
      <c r="I127" s="9"/>
      <c r="J127" s="9"/>
      <c r="K127" s="9"/>
      <c r="L127" s="9"/>
      <c r="M127" s="9"/>
      <c r="N127" s="9"/>
      <c r="O127" s="9"/>
      <c r="P127" s="9"/>
      <c r="Q127" s="9"/>
      <c r="R127" s="9"/>
      <c r="S127" s="9"/>
      <c r="T127" s="9"/>
      <c r="U127" s="9"/>
      <c r="V127" s="9"/>
      <c r="W127" s="9"/>
      <c r="X127" s="9"/>
      <c r="Y127" s="9"/>
      <c r="Z127" s="9"/>
    </row>
    <row r="128" spans="1:26" ht="16.5" customHeight="1">
      <c r="A128" s="9"/>
      <c r="B128" s="9"/>
      <c r="C128" s="9"/>
      <c r="D128" s="43"/>
      <c r="E128" s="10"/>
      <c r="F128" s="9"/>
      <c r="G128" s="9"/>
      <c r="H128" s="9"/>
      <c r="I128" s="9"/>
      <c r="J128" s="9"/>
      <c r="K128" s="9"/>
      <c r="L128" s="9"/>
      <c r="M128" s="9"/>
      <c r="N128" s="9"/>
      <c r="O128" s="9"/>
      <c r="P128" s="9"/>
      <c r="Q128" s="9"/>
      <c r="R128" s="9"/>
      <c r="S128" s="9"/>
      <c r="T128" s="9"/>
      <c r="U128" s="9"/>
      <c r="V128" s="9"/>
      <c r="W128" s="9"/>
      <c r="X128" s="9"/>
      <c r="Y128" s="9"/>
      <c r="Z128" s="9"/>
    </row>
    <row r="129" spans="1:26" ht="16.5" customHeight="1">
      <c r="A129" s="9"/>
      <c r="B129" s="9"/>
      <c r="C129" s="9"/>
      <c r="D129" s="43"/>
      <c r="E129" s="10"/>
      <c r="F129" s="9"/>
      <c r="G129" s="9"/>
      <c r="H129" s="9"/>
      <c r="I129" s="9"/>
      <c r="J129" s="9"/>
      <c r="K129" s="9"/>
      <c r="L129" s="9"/>
      <c r="M129" s="9"/>
      <c r="N129" s="9"/>
      <c r="O129" s="9"/>
      <c r="P129" s="9"/>
      <c r="Q129" s="9"/>
      <c r="R129" s="9"/>
      <c r="S129" s="9"/>
      <c r="T129" s="9"/>
      <c r="U129" s="9"/>
      <c r="V129" s="9"/>
      <c r="W129" s="9"/>
      <c r="X129" s="9"/>
      <c r="Y129" s="9"/>
      <c r="Z129" s="9"/>
    </row>
    <row r="130" spans="1:26" ht="16.5" customHeight="1">
      <c r="A130" s="9"/>
      <c r="B130" s="9"/>
      <c r="C130" s="9"/>
      <c r="D130" s="43"/>
      <c r="E130" s="10"/>
      <c r="F130" s="9"/>
      <c r="G130" s="9"/>
      <c r="H130" s="9"/>
      <c r="I130" s="9"/>
      <c r="J130" s="9"/>
      <c r="K130" s="9"/>
      <c r="L130" s="9"/>
      <c r="M130" s="9"/>
      <c r="N130" s="9"/>
      <c r="O130" s="9"/>
      <c r="P130" s="9"/>
      <c r="Q130" s="9"/>
      <c r="R130" s="9"/>
      <c r="S130" s="9"/>
      <c r="T130" s="9"/>
      <c r="U130" s="9"/>
      <c r="V130" s="9"/>
      <c r="W130" s="9"/>
      <c r="X130" s="9"/>
      <c r="Y130" s="9"/>
      <c r="Z130" s="9"/>
    </row>
    <row r="131" spans="1:26" ht="16.5" customHeight="1">
      <c r="A131" s="9"/>
      <c r="B131" s="9"/>
      <c r="C131" s="9"/>
      <c r="D131" s="43"/>
      <c r="E131" s="10"/>
      <c r="F131" s="9"/>
      <c r="G131" s="9"/>
      <c r="H131" s="9"/>
      <c r="I131" s="9"/>
      <c r="J131" s="9"/>
      <c r="K131" s="9"/>
      <c r="L131" s="9"/>
      <c r="M131" s="9"/>
      <c r="N131" s="9"/>
      <c r="O131" s="9"/>
      <c r="P131" s="9"/>
      <c r="Q131" s="9"/>
      <c r="R131" s="9"/>
      <c r="S131" s="9"/>
      <c r="T131" s="9"/>
      <c r="U131" s="9"/>
      <c r="V131" s="9"/>
      <c r="W131" s="9"/>
      <c r="X131" s="9"/>
      <c r="Y131" s="9"/>
      <c r="Z131" s="9"/>
    </row>
    <row r="132" spans="1:26" ht="16.5" customHeight="1">
      <c r="A132" s="9"/>
      <c r="B132" s="9"/>
      <c r="C132" s="9"/>
      <c r="D132" s="43"/>
      <c r="E132" s="10"/>
      <c r="F132" s="9"/>
      <c r="G132" s="9"/>
      <c r="H132" s="9"/>
      <c r="I132" s="9"/>
      <c r="J132" s="9"/>
      <c r="K132" s="9"/>
      <c r="L132" s="9"/>
      <c r="M132" s="9"/>
      <c r="N132" s="9"/>
      <c r="O132" s="9"/>
      <c r="P132" s="9"/>
      <c r="Q132" s="9"/>
      <c r="R132" s="9"/>
      <c r="S132" s="9"/>
      <c r="T132" s="9"/>
      <c r="U132" s="9"/>
      <c r="V132" s="9"/>
      <c r="W132" s="9"/>
      <c r="X132" s="9"/>
      <c r="Y132" s="9"/>
      <c r="Z132" s="9"/>
    </row>
    <row r="133" spans="1:26" ht="16.5" customHeight="1">
      <c r="A133" s="9"/>
      <c r="B133" s="9"/>
      <c r="C133" s="9"/>
      <c r="D133" s="43"/>
      <c r="E133" s="10"/>
      <c r="F133" s="9"/>
      <c r="G133" s="9"/>
      <c r="H133" s="9"/>
      <c r="I133" s="9"/>
      <c r="J133" s="9"/>
      <c r="K133" s="9"/>
      <c r="L133" s="9"/>
      <c r="M133" s="9"/>
      <c r="N133" s="9"/>
      <c r="O133" s="9"/>
      <c r="P133" s="9"/>
      <c r="Q133" s="9"/>
      <c r="R133" s="9"/>
      <c r="S133" s="9"/>
      <c r="T133" s="9"/>
      <c r="U133" s="9"/>
      <c r="V133" s="9"/>
      <c r="W133" s="9"/>
      <c r="X133" s="9"/>
      <c r="Y133" s="9"/>
      <c r="Z133" s="9"/>
    </row>
    <row r="134" spans="1:26" ht="16.5" customHeight="1">
      <c r="A134" s="9"/>
      <c r="B134" s="9"/>
      <c r="C134" s="9"/>
      <c r="D134" s="43"/>
      <c r="E134" s="10"/>
      <c r="F134" s="9"/>
      <c r="G134" s="9"/>
      <c r="H134" s="9"/>
      <c r="I134" s="9"/>
      <c r="J134" s="9"/>
      <c r="K134" s="9"/>
      <c r="L134" s="9"/>
      <c r="M134" s="9"/>
      <c r="N134" s="9"/>
      <c r="O134" s="9"/>
      <c r="P134" s="9"/>
      <c r="Q134" s="9"/>
      <c r="R134" s="9"/>
      <c r="S134" s="9"/>
      <c r="T134" s="9"/>
      <c r="U134" s="9"/>
      <c r="V134" s="9"/>
      <c r="W134" s="9"/>
      <c r="X134" s="9"/>
      <c r="Y134" s="9"/>
      <c r="Z134" s="9"/>
    </row>
    <row r="135" spans="1:26" ht="16.5" customHeight="1">
      <c r="A135" s="9"/>
      <c r="B135" s="9"/>
      <c r="C135" s="9"/>
      <c r="D135" s="43"/>
      <c r="E135" s="10"/>
      <c r="F135" s="9"/>
      <c r="G135" s="9"/>
      <c r="H135" s="9"/>
      <c r="I135" s="9"/>
      <c r="J135" s="9"/>
      <c r="K135" s="9"/>
      <c r="L135" s="9"/>
      <c r="M135" s="9"/>
      <c r="N135" s="9"/>
      <c r="O135" s="9"/>
      <c r="P135" s="9"/>
      <c r="Q135" s="9"/>
      <c r="R135" s="9"/>
      <c r="S135" s="9"/>
      <c r="T135" s="9"/>
      <c r="U135" s="9"/>
      <c r="V135" s="9"/>
      <c r="W135" s="9"/>
      <c r="X135" s="9"/>
      <c r="Y135" s="9"/>
      <c r="Z135" s="9"/>
    </row>
    <row r="136" spans="1:26" ht="16.5" customHeight="1">
      <c r="A136" s="9"/>
      <c r="B136" s="9"/>
      <c r="C136" s="9"/>
      <c r="D136" s="43"/>
      <c r="E136" s="10"/>
      <c r="F136" s="9"/>
      <c r="G136" s="9"/>
      <c r="H136" s="9"/>
      <c r="I136" s="9"/>
      <c r="J136" s="9"/>
      <c r="K136" s="9"/>
      <c r="L136" s="9"/>
      <c r="M136" s="9"/>
      <c r="N136" s="9"/>
      <c r="O136" s="9"/>
      <c r="P136" s="9"/>
      <c r="Q136" s="9"/>
      <c r="R136" s="9"/>
      <c r="S136" s="9"/>
      <c r="T136" s="9"/>
      <c r="U136" s="9"/>
      <c r="V136" s="9"/>
      <c r="W136" s="9"/>
      <c r="X136" s="9"/>
      <c r="Y136" s="9"/>
      <c r="Z136" s="9"/>
    </row>
    <row r="137" spans="1:26" ht="16.5" customHeight="1">
      <c r="A137" s="9"/>
      <c r="B137" s="9"/>
      <c r="C137" s="9"/>
      <c r="D137" s="43"/>
      <c r="E137" s="10"/>
      <c r="F137" s="9"/>
      <c r="G137" s="9"/>
      <c r="H137" s="9"/>
      <c r="I137" s="9"/>
      <c r="J137" s="9"/>
      <c r="K137" s="9"/>
      <c r="L137" s="9"/>
      <c r="M137" s="9"/>
      <c r="N137" s="9"/>
      <c r="O137" s="9"/>
      <c r="P137" s="9"/>
      <c r="Q137" s="9"/>
      <c r="R137" s="9"/>
      <c r="S137" s="9"/>
      <c r="T137" s="9"/>
      <c r="U137" s="9"/>
      <c r="V137" s="9"/>
      <c r="W137" s="9"/>
      <c r="X137" s="9"/>
      <c r="Y137" s="9"/>
      <c r="Z137" s="9"/>
    </row>
    <row r="138" spans="1:26" ht="16.5" customHeight="1">
      <c r="A138" s="9"/>
      <c r="B138" s="9"/>
      <c r="C138" s="9"/>
      <c r="D138" s="43"/>
      <c r="E138" s="10"/>
      <c r="F138" s="9"/>
      <c r="G138" s="9"/>
      <c r="H138" s="9"/>
      <c r="I138" s="9"/>
      <c r="J138" s="9"/>
      <c r="K138" s="9"/>
      <c r="L138" s="9"/>
      <c r="M138" s="9"/>
      <c r="N138" s="9"/>
      <c r="O138" s="9"/>
      <c r="P138" s="9"/>
      <c r="Q138" s="9"/>
      <c r="R138" s="9"/>
      <c r="S138" s="9"/>
      <c r="T138" s="9"/>
      <c r="U138" s="9"/>
      <c r="V138" s="9"/>
      <c r="W138" s="9"/>
      <c r="X138" s="9"/>
      <c r="Y138" s="9"/>
      <c r="Z138" s="9"/>
    </row>
    <row r="139" spans="1:26" ht="16.5" customHeight="1">
      <c r="A139" s="9"/>
      <c r="B139" s="9"/>
      <c r="C139" s="9"/>
      <c r="D139" s="43"/>
      <c r="E139" s="10"/>
      <c r="F139" s="9"/>
      <c r="G139" s="9"/>
      <c r="H139" s="9"/>
      <c r="I139" s="9"/>
      <c r="J139" s="9"/>
      <c r="K139" s="9"/>
      <c r="L139" s="9"/>
      <c r="M139" s="9"/>
      <c r="N139" s="9"/>
      <c r="O139" s="9"/>
      <c r="P139" s="9"/>
      <c r="Q139" s="9"/>
      <c r="R139" s="9"/>
      <c r="S139" s="9"/>
      <c r="T139" s="9"/>
      <c r="U139" s="9"/>
      <c r="V139" s="9"/>
      <c r="W139" s="9"/>
      <c r="X139" s="9"/>
      <c r="Y139" s="9"/>
      <c r="Z139" s="9"/>
    </row>
    <row r="140" spans="1:26" ht="16.5" customHeight="1">
      <c r="A140" s="9"/>
      <c r="B140" s="9"/>
      <c r="C140" s="9"/>
      <c r="D140" s="43"/>
      <c r="E140" s="10"/>
      <c r="F140" s="9"/>
      <c r="G140" s="9"/>
      <c r="H140" s="9"/>
      <c r="I140" s="9"/>
      <c r="J140" s="9"/>
      <c r="K140" s="9"/>
      <c r="L140" s="9"/>
      <c r="M140" s="9"/>
      <c r="N140" s="9"/>
      <c r="O140" s="9"/>
      <c r="P140" s="9"/>
      <c r="Q140" s="9"/>
      <c r="R140" s="9"/>
      <c r="S140" s="9"/>
      <c r="T140" s="9"/>
      <c r="U140" s="9"/>
      <c r="V140" s="9"/>
      <c r="W140" s="9"/>
      <c r="X140" s="9"/>
      <c r="Y140" s="9"/>
      <c r="Z140" s="9"/>
    </row>
    <row r="141" spans="1:26" ht="16.5" customHeight="1">
      <c r="A141" s="9"/>
      <c r="B141" s="9"/>
      <c r="C141" s="9"/>
      <c r="D141" s="43"/>
      <c r="E141" s="10"/>
      <c r="F141" s="9"/>
      <c r="G141" s="9"/>
      <c r="H141" s="9"/>
      <c r="I141" s="9"/>
      <c r="J141" s="9"/>
      <c r="K141" s="9"/>
      <c r="L141" s="9"/>
      <c r="M141" s="9"/>
      <c r="N141" s="9"/>
      <c r="O141" s="9"/>
      <c r="P141" s="9"/>
      <c r="Q141" s="9"/>
      <c r="R141" s="9"/>
      <c r="S141" s="9"/>
      <c r="T141" s="9"/>
      <c r="U141" s="9"/>
      <c r="V141" s="9"/>
      <c r="W141" s="9"/>
      <c r="X141" s="9"/>
      <c r="Y141" s="9"/>
      <c r="Z141" s="9"/>
    </row>
    <row r="142" spans="1:26" ht="16.5" customHeight="1">
      <c r="A142" s="9"/>
      <c r="B142" s="9"/>
      <c r="C142" s="9"/>
      <c r="D142" s="43"/>
      <c r="E142" s="10"/>
      <c r="F142" s="9"/>
      <c r="G142" s="9"/>
      <c r="H142" s="9"/>
      <c r="I142" s="9"/>
      <c r="J142" s="9"/>
      <c r="K142" s="9"/>
      <c r="L142" s="9"/>
      <c r="M142" s="9"/>
      <c r="N142" s="9"/>
      <c r="O142" s="9"/>
      <c r="P142" s="9"/>
      <c r="Q142" s="9"/>
      <c r="R142" s="9"/>
      <c r="S142" s="9"/>
      <c r="T142" s="9"/>
      <c r="U142" s="9"/>
      <c r="V142" s="9"/>
      <c r="W142" s="9"/>
      <c r="X142" s="9"/>
      <c r="Y142" s="9"/>
      <c r="Z142" s="9"/>
    </row>
    <row r="143" spans="1:26" ht="16.5" customHeight="1">
      <c r="A143" s="9"/>
      <c r="B143" s="9"/>
      <c r="C143" s="9"/>
      <c r="D143" s="43"/>
      <c r="E143" s="10"/>
      <c r="F143" s="9"/>
      <c r="G143" s="9"/>
      <c r="H143" s="9"/>
      <c r="I143" s="9"/>
      <c r="J143" s="9"/>
      <c r="K143" s="9"/>
      <c r="L143" s="9"/>
      <c r="M143" s="9"/>
      <c r="N143" s="9"/>
      <c r="O143" s="9"/>
      <c r="P143" s="9"/>
      <c r="Q143" s="9"/>
      <c r="R143" s="9"/>
      <c r="S143" s="9"/>
      <c r="T143" s="9"/>
      <c r="U143" s="9"/>
      <c r="V143" s="9"/>
      <c r="W143" s="9"/>
      <c r="X143" s="9"/>
      <c r="Y143" s="9"/>
      <c r="Z143" s="9"/>
    </row>
    <row r="144" spans="1:26" ht="16.5" customHeight="1">
      <c r="A144" s="9"/>
      <c r="B144" s="9"/>
      <c r="C144" s="9"/>
      <c r="D144" s="43"/>
      <c r="E144" s="10"/>
      <c r="F144" s="9"/>
      <c r="G144" s="9"/>
      <c r="H144" s="9"/>
      <c r="I144" s="9"/>
      <c r="J144" s="9"/>
      <c r="K144" s="9"/>
      <c r="L144" s="9"/>
      <c r="M144" s="9"/>
      <c r="N144" s="9"/>
      <c r="O144" s="9"/>
      <c r="P144" s="9"/>
      <c r="Q144" s="9"/>
      <c r="R144" s="9"/>
      <c r="S144" s="9"/>
      <c r="T144" s="9"/>
      <c r="U144" s="9"/>
      <c r="V144" s="9"/>
      <c r="W144" s="9"/>
      <c r="X144" s="9"/>
      <c r="Y144" s="9"/>
      <c r="Z144" s="9"/>
    </row>
    <row r="145" spans="1:26" ht="16.5" customHeight="1">
      <c r="A145" s="9"/>
      <c r="B145" s="9"/>
      <c r="C145" s="9"/>
      <c r="D145" s="43"/>
      <c r="E145" s="10"/>
      <c r="F145" s="9"/>
      <c r="G145" s="9"/>
      <c r="H145" s="9"/>
      <c r="I145" s="9"/>
      <c r="J145" s="9"/>
      <c r="K145" s="9"/>
      <c r="L145" s="9"/>
      <c r="M145" s="9"/>
      <c r="N145" s="9"/>
      <c r="O145" s="9"/>
      <c r="P145" s="9"/>
      <c r="Q145" s="9"/>
      <c r="R145" s="9"/>
      <c r="S145" s="9"/>
      <c r="T145" s="9"/>
      <c r="U145" s="9"/>
      <c r="V145" s="9"/>
      <c r="W145" s="9"/>
      <c r="X145" s="9"/>
      <c r="Y145" s="9"/>
      <c r="Z145" s="9"/>
    </row>
    <row r="146" spans="1:26" ht="16.5" customHeight="1">
      <c r="A146" s="9"/>
      <c r="B146" s="9"/>
      <c r="C146" s="9"/>
      <c r="D146" s="43"/>
      <c r="E146" s="10"/>
      <c r="F146" s="9"/>
      <c r="G146" s="9"/>
      <c r="H146" s="9"/>
      <c r="I146" s="9"/>
      <c r="J146" s="9"/>
      <c r="K146" s="9"/>
      <c r="L146" s="9"/>
      <c r="M146" s="9"/>
      <c r="N146" s="9"/>
      <c r="O146" s="9"/>
      <c r="P146" s="9"/>
      <c r="Q146" s="9"/>
      <c r="R146" s="9"/>
      <c r="S146" s="9"/>
      <c r="T146" s="9"/>
      <c r="U146" s="9"/>
      <c r="V146" s="9"/>
      <c r="W146" s="9"/>
      <c r="X146" s="9"/>
      <c r="Y146" s="9"/>
      <c r="Z146" s="9"/>
    </row>
    <row r="147" spans="1:26" ht="16.5" customHeight="1">
      <c r="A147" s="9"/>
      <c r="B147" s="9"/>
      <c r="C147" s="9"/>
      <c r="D147" s="43"/>
      <c r="E147" s="10"/>
      <c r="F147" s="9"/>
      <c r="G147" s="9"/>
      <c r="H147" s="9"/>
      <c r="I147" s="9"/>
      <c r="J147" s="9"/>
      <c r="K147" s="9"/>
      <c r="L147" s="9"/>
      <c r="M147" s="9"/>
      <c r="N147" s="9"/>
      <c r="O147" s="9"/>
      <c r="P147" s="9"/>
      <c r="Q147" s="9"/>
      <c r="R147" s="9"/>
      <c r="S147" s="9"/>
      <c r="T147" s="9"/>
      <c r="U147" s="9"/>
      <c r="V147" s="9"/>
      <c r="W147" s="9"/>
      <c r="X147" s="9"/>
      <c r="Y147" s="9"/>
      <c r="Z147" s="9"/>
    </row>
    <row r="148" spans="1:26" ht="16.5" customHeight="1">
      <c r="A148" s="9"/>
      <c r="B148" s="9"/>
      <c r="C148" s="9"/>
      <c r="D148" s="43"/>
      <c r="E148" s="10"/>
      <c r="F148" s="9"/>
      <c r="G148" s="9"/>
      <c r="H148" s="9"/>
      <c r="I148" s="9"/>
      <c r="J148" s="9"/>
      <c r="K148" s="9"/>
      <c r="L148" s="9"/>
      <c r="M148" s="9"/>
      <c r="N148" s="9"/>
      <c r="O148" s="9"/>
      <c r="P148" s="9"/>
      <c r="Q148" s="9"/>
      <c r="R148" s="9"/>
      <c r="S148" s="9"/>
      <c r="T148" s="9"/>
      <c r="U148" s="9"/>
      <c r="V148" s="9"/>
      <c r="W148" s="9"/>
      <c r="X148" s="9"/>
      <c r="Y148" s="9"/>
      <c r="Z148" s="9"/>
    </row>
    <row r="149" spans="1:26" ht="16.5" customHeight="1">
      <c r="A149" s="9"/>
      <c r="B149" s="9"/>
      <c r="C149" s="9"/>
      <c r="D149" s="43"/>
      <c r="E149" s="10"/>
      <c r="F149" s="9"/>
      <c r="G149" s="9"/>
      <c r="H149" s="9"/>
      <c r="I149" s="9"/>
      <c r="J149" s="9"/>
      <c r="K149" s="9"/>
      <c r="L149" s="9"/>
      <c r="M149" s="9"/>
      <c r="N149" s="9"/>
      <c r="O149" s="9"/>
      <c r="P149" s="9"/>
      <c r="Q149" s="9"/>
      <c r="R149" s="9"/>
      <c r="S149" s="9"/>
      <c r="T149" s="9"/>
      <c r="U149" s="9"/>
      <c r="V149" s="9"/>
      <c r="W149" s="9"/>
      <c r="X149" s="9"/>
      <c r="Y149" s="9"/>
      <c r="Z149" s="9"/>
    </row>
    <row r="150" spans="1:26" ht="16.5" customHeight="1">
      <c r="A150" s="9"/>
      <c r="B150" s="9"/>
      <c r="C150" s="9"/>
      <c r="D150" s="43"/>
      <c r="E150" s="10"/>
      <c r="F150" s="9"/>
      <c r="G150" s="9"/>
      <c r="H150" s="9"/>
      <c r="I150" s="9"/>
      <c r="J150" s="9"/>
      <c r="K150" s="9"/>
      <c r="L150" s="9"/>
      <c r="M150" s="9"/>
      <c r="N150" s="9"/>
      <c r="O150" s="9"/>
      <c r="P150" s="9"/>
      <c r="Q150" s="9"/>
      <c r="R150" s="9"/>
      <c r="S150" s="9"/>
      <c r="T150" s="9"/>
      <c r="U150" s="9"/>
      <c r="V150" s="9"/>
      <c r="W150" s="9"/>
      <c r="X150" s="9"/>
      <c r="Y150" s="9"/>
      <c r="Z150" s="9"/>
    </row>
    <row r="151" spans="1:26" ht="16.5" customHeight="1">
      <c r="A151" s="9"/>
      <c r="B151" s="9"/>
      <c r="C151" s="9"/>
      <c r="D151" s="43"/>
      <c r="E151" s="10"/>
      <c r="F151" s="9"/>
      <c r="G151" s="9"/>
      <c r="H151" s="9"/>
      <c r="I151" s="9"/>
      <c r="J151" s="9"/>
      <c r="K151" s="9"/>
      <c r="L151" s="9"/>
      <c r="M151" s="9"/>
      <c r="N151" s="9"/>
      <c r="O151" s="9"/>
      <c r="P151" s="9"/>
      <c r="Q151" s="9"/>
      <c r="R151" s="9"/>
      <c r="S151" s="9"/>
      <c r="T151" s="9"/>
      <c r="U151" s="9"/>
      <c r="V151" s="9"/>
      <c r="W151" s="9"/>
      <c r="X151" s="9"/>
      <c r="Y151" s="9"/>
      <c r="Z151" s="9"/>
    </row>
    <row r="152" spans="1:26" ht="16.5" customHeight="1">
      <c r="A152" s="9"/>
      <c r="B152" s="9"/>
      <c r="C152" s="9"/>
      <c r="D152" s="43"/>
      <c r="E152" s="10"/>
      <c r="F152" s="9"/>
      <c r="G152" s="9"/>
      <c r="H152" s="9"/>
      <c r="I152" s="9"/>
      <c r="J152" s="9"/>
      <c r="K152" s="9"/>
      <c r="L152" s="9"/>
      <c r="M152" s="9"/>
      <c r="N152" s="9"/>
      <c r="O152" s="9"/>
      <c r="P152" s="9"/>
      <c r="Q152" s="9"/>
      <c r="R152" s="9"/>
      <c r="S152" s="9"/>
      <c r="T152" s="9"/>
      <c r="U152" s="9"/>
      <c r="V152" s="9"/>
      <c r="W152" s="9"/>
      <c r="X152" s="9"/>
      <c r="Y152" s="9"/>
      <c r="Z152" s="9"/>
    </row>
    <row r="153" spans="1:26" ht="16.5" customHeight="1">
      <c r="A153" s="9"/>
      <c r="B153" s="9"/>
      <c r="C153" s="9"/>
      <c r="D153" s="43"/>
      <c r="E153" s="10"/>
      <c r="F153" s="9"/>
      <c r="G153" s="9"/>
      <c r="H153" s="9"/>
      <c r="I153" s="9"/>
      <c r="J153" s="9"/>
      <c r="K153" s="9"/>
      <c r="L153" s="9"/>
      <c r="M153" s="9"/>
      <c r="N153" s="9"/>
      <c r="O153" s="9"/>
      <c r="P153" s="9"/>
      <c r="Q153" s="9"/>
      <c r="R153" s="9"/>
      <c r="S153" s="9"/>
      <c r="T153" s="9"/>
      <c r="U153" s="9"/>
      <c r="V153" s="9"/>
      <c r="W153" s="9"/>
      <c r="X153" s="9"/>
      <c r="Y153" s="9"/>
      <c r="Z153" s="9"/>
    </row>
    <row r="154" spans="1:26" ht="16.5" customHeight="1">
      <c r="A154" s="9"/>
      <c r="B154" s="9"/>
      <c r="C154" s="9"/>
      <c r="D154" s="43"/>
      <c r="E154" s="10"/>
      <c r="F154" s="9"/>
      <c r="G154" s="9"/>
      <c r="H154" s="9"/>
      <c r="I154" s="9"/>
      <c r="J154" s="9"/>
      <c r="K154" s="9"/>
      <c r="L154" s="9"/>
      <c r="M154" s="9"/>
      <c r="N154" s="9"/>
      <c r="O154" s="9"/>
      <c r="P154" s="9"/>
      <c r="Q154" s="9"/>
      <c r="R154" s="9"/>
      <c r="S154" s="9"/>
      <c r="T154" s="9"/>
      <c r="U154" s="9"/>
      <c r="V154" s="9"/>
      <c r="W154" s="9"/>
      <c r="X154" s="9"/>
      <c r="Y154" s="9"/>
      <c r="Z154" s="9"/>
    </row>
    <row r="155" spans="1:26" ht="16.5" customHeight="1">
      <c r="A155" s="9"/>
      <c r="B155" s="9"/>
      <c r="C155" s="9"/>
      <c r="D155" s="43"/>
      <c r="E155" s="10"/>
      <c r="F155" s="9"/>
      <c r="G155" s="9"/>
      <c r="H155" s="9"/>
      <c r="I155" s="9"/>
      <c r="J155" s="9"/>
      <c r="K155" s="9"/>
      <c r="L155" s="9"/>
      <c r="M155" s="9"/>
      <c r="N155" s="9"/>
      <c r="O155" s="9"/>
      <c r="P155" s="9"/>
      <c r="Q155" s="9"/>
      <c r="R155" s="9"/>
      <c r="S155" s="9"/>
      <c r="T155" s="9"/>
      <c r="U155" s="9"/>
      <c r="V155" s="9"/>
      <c r="W155" s="9"/>
      <c r="X155" s="9"/>
      <c r="Y155" s="9"/>
      <c r="Z155" s="9"/>
    </row>
    <row r="156" spans="1:26" ht="16.5" customHeight="1">
      <c r="A156" s="9"/>
      <c r="B156" s="9"/>
      <c r="C156" s="9"/>
      <c r="D156" s="43"/>
      <c r="E156" s="10"/>
      <c r="F156" s="9"/>
      <c r="G156" s="9"/>
      <c r="H156" s="9"/>
      <c r="I156" s="9"/>
      <c r="J156" s="9"/>
      <c r="K156" s="9"/>
      <c r="L156" s="9"/>
      <c r="M156" s="9"/>
      <c r="N156" s="9"/>
      <c r="O156" s="9"/>
      <c r="P156" s="9"/>
      <c r="Q156" s="9"/>
      <c r="R156" s="9"/>
      <c r="S156" s="9"/>
      <c r="T156" s="9"/>
      <c r="U156" s="9"/>
      <c r="V156" s="9"/>
      <c r="W156" s="9"/>
      <c r="X156" s="9"/>
      <c r="Y156" s="9"/>
      <c r="Z156" s="9"/>
    </row>
    <row r="157" spans="1:26" ht="16.5" customHeight="1">
      <c r="A157" s="9"/>
      <c r="B157" s="9"/>
      <c r="C157" s="9"/>
      <c r="D157" s="43"/>
      <c r="E157" s="10"/>
      <c r="F157" s="9"/>
      <c r="G157" s="9"/>
      <c r="H157" s="9"/>
      <c r="I157" s="9"/>
      <c r="J157" s="9"/>
      <c r="K157" s="9"/>
      <c r="L157" s="9"/>
      <c r="M157" s="9"/>
      <c r="N157" s="9"/>
      <c r="O157" s="9"/>
      <c r="P157" s="9"/>
      <c r="Q157" s="9"/>
      <c r="R157" s="9"/>
      <c r="S157" s="9"/>
      <c r="T157" s="9"/>
      <c r="U157" s="9"/>
      <c r="V157" s="9"/>
      <c r="W157" s="9"/>
      <c r="X157" s="9"/>
      <c r="Y157" s="9"/>
      <c r="Z157" s="9"/>
    </row>
    <row r="158" spans="1:26" ht="16.5" customHeight="1">
      <c r="A158" s="9"/>
      <c r="B158" s="9"/>
      <c r="C158" s="9"/>
      <c r="D158" s="43"/>
      <c r="E158" s="10"/>
      <c r="F158" s="9"/>
      <c r="G158" s="9"/>
      <c r="H158" s="9"/>
      <c r="I158" s="9"/>
      <c r="J158" s="9"/>
      <c r="K158" s="9"/>
      <c r="L158" s="9"/>
      <c r="M158" s="9"/>
      <c r="N158" s="9"/>
      <c r="O158" s="9"/>
      <c r="P158" s="9"/>
      <c r="Q158" s="9"/>
      <c r="R158" s="9"/>
      <c r="S158" s="9"/>
      <c r="T158" s="9"/>
      <c r="U158" s="9"/>
      <c r="V158" s="9"/>
      <c r="W158" s="9"/>
      <c r="X158" s="9"/>
      <c r="Y158" s="9"/>
      <c r="Z158" s="9"/>
    </row>
    <row r="159" spans="1:26" ht="16.5" customHeight="1">
      <c r="A159" s="9"/>
      <c r="B159" s="9"/>
      <c r="C159" s="9"/>
      <c r="D159" s="43"/>
      <c r="E159" s="10"/>
      <c r="F159" s="9"/>
      <c r="G159" s="9"/>
      <c r="H159" s="9"/>
      <c r="I159" s="9"/>
      <c r="J159" s="9"/>
      <c r="K159" s="9"/>
      <c r="L159" s="9"/>
      <c r="M159" s="9"/>
      <c r="N159" s="9"/>
      <c r="O159" s="9"/>
      <c r="P159" s="9"/>
      <c r="Q159" s="9"/>
      <c r="R159" s="9"/>
      <c r="S159" s="9"/>
      <c r="T159" s="9"/>
      <c r="U159" s="9"/>
      <c r="V159" s="9"/>
      <c r="W159" s="9"/>
      <c r="X159" s="9"/>
      <c r="Y159" s="9"/>
      <c r="Z159" s="9"/>
    </row>
    <row r="160" spans="1:26" ht="16.5" customHeight="1">
      <c r="A160" s="9"/>
      <c r="B160" s="9"/>
      <c r="C160" s="9"/>
      <c r="D160" s="43"/>
      <c r="E160" s="10"/>
      <c r="F160" s="9"/>
      <c r="G160" s="9"/>
      <c r="H160" s="9"/>
      <c r="I160" s="9"/>
      <c r="J160" s="9"/>
      <c r="K160" s="9"/>
      <c r="L160" s="9"/>
      <c r="M160" s="9"/>
      <c r="N160" s="9"/>
      <c r="O160" s="9"/>
      <c r="P160" s="9"/>
      <c r="Q160" s="9"/>
      <c r="R160" s="9"/>
      <c r="S160" s="9"/>
      <c r="T160" s="9"/>
      <c r="U160" s="9"/>
      <c r="V160" s="9"/>
      <c r="W160" s="9"/>
      <c r="X160" s="9"/>
      <c r="Y160" s="9"/>
      <c r="Z160" s="9"/>
    </row>
    <row r="161" spans="1:26" ht="16.5" customHeight="1">
      <c r="A161" s="9"/>
      <c r="B161" s="9"/>
      <c r="C161" s="9"/>
      <c r="D161" s="43"/>
      <c r="E161" s="10"/>
      <c r="F161" s="9"/>
      <c r="G161" s="9"/>
      <c r="H161" s="9"/>
      <c r="I161" s="9"/>
      <c r="J161" s="9"/>
      <c r="K161" s="9"/>
      <c r="L161" s="9"/>
      <c r="M161" s="9"/>
      <c r="N161" s="9"/>
      <c r="O161" s="9"/>
      <c r="P161" s="9"/>
      <c r="Q161" s="9"/>
      <c r="R161" s="9"/>
      <c r="S161" s="9"/>
      <c r="T161" s="9"/>
      <c r="U161" s="9"/>
      <c r="V161" s="9"/>
      <c r="W161" s="9"/>
      <c r="X161" s="9"/>
      <c r="Y161" s="9"/>
      <c r="Z161" s="9"/>
    </row>
    <row r="162" spans="1:26" ht="16.5" customHeight="1">
      <c r="A162" s="9"/>
      <c r="B162" s="9"/>
      <c r="C162" s="9"/>
      <c r="D162" s="43"/>
      <c r="E162" s="10"/>
      <c r="F162" s="9"/>
      <c r="G162" s="9"/>
      <c r="H162" s="9"/>
      <c r="I162" s="9"/>
      <c r="J162" s="9"/>
      <c r="K162" s="9"/>
      <c r="L162" s="9"/>
      <c r="M162" s="9"/>
      <c r="N162" s="9"/>
      <c r="O162" s="9"/>
      <c r="P162" s="9"/>
      <c r="Q162" s="9"/>
      <c r="R162" s="9"/>
      <c r="S162" s="9"/>
      <c r="T162" s="9"/>
      <c r="U162" s="9"/>
      <c r="V162" s="9"/>
      <c r="W162" s="9"/>
      <c r="X162" s="9"/>
      <c r="Y162" s="9"/>
      <c r="Z162" s="9"/>
    </row>
    <row r="163" spans="1:26" ht="16.5" customHeight="1">
      <c r="A163" s="9"/>
      <c r="B163" s="9"/>
      <c r="C163" s="9"/>
      <c r="D163" s="43"/>
      <c r="E163" s="10"/>
      <c r="F163" s="9"/>
      <c r="G163" s="9"/>
      <c r="H163" s="9"/>
      <c r="I163" s="9"/>
      <c r="J163" s="9"/>
      <c r="K163" s="9"/>
      <c r="L163" s="9"/>
      <c r="M163" s="9"/>
      <c r="N163" s="9"/>
      <c r="O163" s="9"/>
      <c r="P163" s="9"/>
      <c r="Q163" s="9"/>
      <c r="R163" s="9"/>
      <c r="S163" s="9"/>
      <c r="T163" s="9"/>
      <c r="U163" s="9"/>
      <c r="V163" s="9"/>
      <c r="W163" s="9"/>
      <c r="X163" s="9"/>
      <c r="Y163" s="9"/>
      <c r="Z163" s="9"/>
    </row>
    <row r="164" spans="1:26" ht="16.5" customHeight="1">
      <c r="A164" s="9"/>
      <c r="B164" s="9"/>
      <c r="C164" s="9"/>
      <c r="D164" s="43"/>
      <c r="E164" s="10"/>
      <c r="F164" s="9"/>
      <c r="G164" s="9"/>
      <c r="H164" s="9"/>
      <c r="I164" s="9"/>
      <c r="J164" s="9"/>
      <c r="K164" s="9"/>
      <c r="L164" s="9"/>
      <c r="M164" s="9"/>
      <c r="N164" s="9"/>
      <c r="O164" s="9"/>
      <c r="P164" s="9"/>
      <c r="Q164" s="9"/>
      <c r="R164" s="9"/>
      <c r="S164" s="9"/>
      <c r="T164" s="9"/>
      <c r="U164" s="9"/>
      <c r="V164" s="9"/>
      <c r="W164" s="9"/>
      <c r="X164" s="9"/>
      <c r="Y164" s="9"/>
      <c r="Z164" s="9"/>
    </row>
    <row r="165" spans="1:26" ht="16.5" customHeight="1">
      <c r="A165" s="9"/>
      <c r="B165" s="9"/>
      <c r="C165" s="9"/>
      <c r="D165" s="43"/>
      <c r="E165" s="10"/>
      <c r="F165" s="9"/>
      <c r="G165" s="9"/>
      <c r="H165" s="9"/>
      <c r="I165" s="9"/>
      <c r="J165" s="9"/>
      <c r="K165" s="9"/>
      <c r="L165" s="9"/>
      <c r="M165" s="9"/>
      <c r="N165" s="9"/>
      <c r="O165" s="9"/>
      <c r="P165" s="9"/>
      <c r="Q165" s="9"/>
      <c r="R165" s="9"/>
      <c r="S165" s="9"/>
      <c r="T165" s="9"/>
      <c r="U165" s="9"/>
      <c r="V165" s="9"/>
      <c r="W165" s="9"/>
      <c r="X165" s="9"/>
      <c r="Y165" s="9"/>
      <c r="Z165" s="9"/>
    </row>
    <row r="166" spans="1:26" ht="16.5" customHeight="1">
      <c r="A166" s="9"/>
      <c r="B166" s="9"/>
      <c r="C166" s="9"/>
      <c r="D166" s="43"/>
      <c r="E166" s="10"/>
      <c r="F166" s="9"/>
      <c r="G166" s="9"/>
      <c r="H166" s="9"/>
      <c r="I166" s="9"/>
      <c r="J166" s="9"/>
      <c r="K166" s="9"/>
      <c r="L166" s="9"/>
      <c r="M166" s="9"/>
      <c r="N166" s="9"/>
      <c r="O166" s="9"/>
      <c r="P166" s="9"/>
      <c r="Q166" s="9"/>
      <c r="R166" s="9"/>
      <c r="S166" s="9"/>
      <c r="T166" s="9"/>
      <c r="U166" s="9"/>
      <c r="V166" s="9"/>
      <c r="W166" s="9"/>
      <c r="X166" s="9"/>
      <c r="Y166" s="9"/>
      <c r="Z166" s="9"/>
    </row>
    <row r="167" spans="1:26" ht="16.5" customHeight="1">
      <c r="A167" s="9"/>
      <c r="B167" s="9"/>
      <c r="C167" s="9"/>
      <c r="D167" s="43"/>
      <c r="E167" s="10"/>
      <c r="F167" s="9"/>
      <c r="G167" s="9"/>
      <c r="H167" s="9"/>
      <c r="I167" s="9"/>
      <c r="J167" s="9"/>
      <c r="K167" s="9"/>
      <c r="L167" s="9"/>
      <c r="M167" s="9"/>
      <c r="N167" s="9"/>
      <c r="O167" s="9"/>
      <c r="P167" s="9"/>
      <c r="Q167" s="9"/>
      <c r="R167" s="9"/>
      <c r="S167" s="9"/>
      <c r="T167" s="9"/>
      <c r="U167" s="9"/>
      <c r="V167" s="9"/>
      <c r="W167" s="9"/>
      <c r="X167" s="9"/>
      <c r="Y167" s="9"/>
      <c r="Z167" s="9"/>
    </row>
    <row r="168" spans="1:26" ht="16.5" customHeight="1">
      <c r="A168" s="9"/>
      <c r="B168" s="9"/>
      <c r="C168" s="9"/>
      <c r="D168" s="43"/>
      <c r="E168" s="10"/>
      <c r="F168" s="9"/>
      <c r="G168" s="9"/>
      <c r="H168" s="9"/>
      <c r="I168" s="9"/>
      <c r="J168" s="9"/>
      <c r="K168" s="9"/>
      <c r="L168" s="9"/>
      <c r="M168" s="9"/>
      <c r="N168" s="9"/>
      <c r="O168" s="9"/>
      <c r="P168" s="9"/>
      <c r="Q168" s="9"/>
      <c r="R168" s="9"/>
      <c r="S168" s="9"/>
      <c r="T168" s="9"/>
      <c r="U168" s="9"/>
      <c r="V168" s="9"/>
      <c r="W168" s="9"/>
      <c r="X168" s="9"/>
      <c r="Y168" s="9"/>
      <c r="Z168" s="9"/>
    </row>
    <row r="169" spans="1:26" ht="16.5" customHeight="1">
      <c r="A169" s="9"/>
      <c r="B169" s="9"/>
      <c r="C169" s="9"/>
      <c r="D169" s="43"/>
      <c r="E169" s="10"/>
      <c r="F169" s="9"/>
      <c r="G169" s="9"/>
      <c r="H169" s="9"/>
      <c r="I169" s="9"/>
      <c r="J169" s="9"/>
      <c r="K169" s="9"/>
      <c r="L169" s="9"/>
      <c r="M169" s="9"/>
      <c r="N169" s="9"/>
      <c r="O169" s="9"/>
      <c r="P169" s="9"/>
      <c r="Q169" s="9"/>
      <c r="R169" s="9"/>
      <c r="S169" s="9"/>
      <c r="T169" s="9"/>
      <c r="U169" s="9"/>
      <c r="V169" s="9"/>
      <c r="W169" s="9"/>
      <c r="X169" s="9"/>
      <c r="Y169" s="9"/>
      <c r="Z169" s="9"/>
    </row>
    <row r="170" spans="1:26" ht="16.5" customHeight="1">
      <c r="A170" s="9"/>
      <c r="B170" s="9"/>
      <c r="C170" s="9"/>
      <c r="D170" s="43"/>
      <c r="E170" s="10"/>
      <c r="F170" s="9"/>
      <c r="G170" s="9"/>
      <c r="H170" s="9"/>
      <c r="I170" s="9"/>
      <c r="J170" s="9"/>
      <c r="K170" s="9"/>
      <c r="L170" s="9"/>
      <c r="M170" s="9"/>
      <c r="N170" s="9"/>
      <c r="O170" s="9"/>
      <c r="P170" s="9"/>
      <c r="Q170" s="9"/>
      <c r="R170" s="9"/>
      <c r="S170" s="9"/>
      <c r="T170" s="9"/>
      <c r="U170" s="9"/>
      <c r="V170" s="9"/>
      <c r="W170" s="9"/>
      <c r="X170" s="9"/>
      <c r="Y170" s="9"/>
      <c r="Z170" s="9"/>
    </row>
    <row r="171" spans="1:26" ht="16.5" customHeight="1">
      <c r="A171" s="9"/>
      <c r="B171" s="9"/>
      <c r="C171" s="9"/>
      <c r="D171" s="43"/>
      <c r="E171" s="10"/>
      <c r="F171" s="9"/>
      <c r="G171" s="9"/>
      <c r="H171" s="9"/>
      <c r="I171" s="9"/>
      <c r="J171" s="9"/>
      <c r="K171" s="9"/>
      <c r="L171" s="9"/>
      <c r="M171" s="9"/>
      <c r="N171" s="9"/>
      <c r="O171" s="9"/>
      <c r="P171" s="9"/>
      <c r="Q171" s="9"/>
      <c r="R171" s="9"/>
      <c r="S171" s="9"/>
      <c r="T171" s="9"/>
      <c r="U171" s="9"/>
      <c r="V171" s="9"/>
      <c r="W171" s="9"/>
      <c r="X171" s="9"/>
      <c r="Y171" s="9"/>
      <c r="Z171" s="9"/>
    </row>
    <row r="172" spans="1:26" ht="16.5" customHeight="1">
      <c r="A172" s="9"/>
      <c r="B172" s="9"/>
      <c r="C172" s="9"/>
      <c r="D172" s="43"/>
      <c r="E172" s="10"/>
      <c r="F172" s="9"/>
      <c r="G172" s="9"/>
      <c r="H172" s="9"/>
      <c r="I172" s="9"/>
      <c r="J172" s="9"/>
      <c r="K172" s="9"/>
      <c r="L172" s="9"/>
      <c r="M172" s="9"/>
      <c r="N172" s="9"/>
      <c r="O172" s="9"/>
      <c r="P172" s="9"/>
      <c r="Q172" s="9"/>
      <c r="R172" s="9"/>
      <c r="S172" s="9"/>
      <c r="T172" s="9"/>
      <c r="U172" s="9"/>
      <c r="V172" s="9"/>
      <c r="W172" s="9"/>
      <c r="X172" s="9"/>
      <c r="Y172" s="9"/>
      <c r="Z172" s="9"/>
    </row>
    <row r="173" spans="1:26" ht="16.5" customHeight="1">
      <c r="A173" s="9"/>
      <c r="B173" s="9"/>
      <c r="C173" s="9"/>
      <c r="D173" s="43"/>
      <c r="E173" s="10"/>
      <c r="F173" s="9"/>
      <c r="G173" s="9"/>
      <c r="H173" s="9"/>
      <c r="I173" s="9"/>
      <c r="J173" s="9"/>
      <c r="K173" s="9"/>
      <c r="L173" s="9"/>
      <c r="M173" s="9"/>
      <c r="N173" s="9"/>
      <c r="O173" s="9"/>
      <c r="P173" s="9"/>
      <c r="Q173" s="9"/>
      <c r="R173" s="9"/>
      <c r="S173" s="9"/>
      <c r="T173" s="9"/>
      <c r="U173" s="9"/>
      <c r="V173" s="9"/>
      <c r="W173" s="9"/>
      <c r="X173" s="9"/>
      <c r="Y173" s="9"/>
      <c r="Z173" s="9"/>
    </row>
    <row r="174" spans="1:26" ht="16.5" customHeight="1">
      <c r="A174" s="9"/>
      <c r="B174" s="9"/>
      <c r="C174" s="9"/>
      <c r="D174" s="43"/>
      <c r="E174" s="10"/>
      <c r="F174" s="9"/>
      <c r="G174" s="9"/>
      <c r="H174" s="9"/>
      <c r="I174" s="9"/>
      <c r="J174" s="9"/>
      <c r="K174" s="9"/>
      <c r="L174" s="9"/>
      <c r="M174" s="9"/>
      <c r="N174" s="9"/>
      <c r="O174" s="9"/>
      <c r="P174" s="9"/>
      <c r="Q174" s="9"/>
      <c r="R174" s="9"/>
      <c r="S174" s="9"/>
      <c r="T174" s="9"/>
      <c r="U174" s="9"/>
      <c r="V174" s="9"/>
      <c r="W174" s="9"/>
      <c r="X174" s="9"/>
      <c r="Y174" s="9"/>
      <c r="Z174" s="9"/>
    </row>
    <row r="175" spans="1:26" ht="16.5" customHeight="1">
      <c r="A175" s="9"/>
      <c r="B175" s="9"/>
      <c r="C175" s="9"/>
      <c r="D175" s="43"/>
      <c r="E175" s="10"/>
      <c r="F175" s="9"/>
      <c r="G175" s="9"/>
      <c r="H175" s="9"/>
      <c r="I175" s="9"/>
      <c r="J175" s="9"/>
      <c r="K175" s="9"/>
      <c r="L175" s="9"/>
      <c r="M175" s="9"/>
      <c r="N175" s="9"/>
      <c r="O175" s="9"/>
      <c r="P175" s="9"/>
      <c r="Q175" s="9"/>
      <c r="R175" s="9"/>
      <c r="S175" s="9"/>
      <c r="T175" s="9"/>
      <c r="U175" s="9"/>
      <c r="V175" s="9"/>
      <c r="W175" s="9"/>
      <c r="X175" s="9"/>
      <c r="Y175" s="9"/>
      <c r="Z175" s="9"/>
    </row>
    <row r="176" spans="1:26" ht="16.5" customHeight="1">
      <c r="A176" s="9"/>
      <c r="B176" s="9"/>
      <c r="C176" s="9"/>
      <c r="D176" s="43"/>
      <c r="E176" s="10"/>
      <c r="F176" s="9"/>
      <c r="G176" s="9"/>
      <c r="H176" s="9"/>
      <c r="I176" s="9"/>
      <c r="J176" s="9"/>
      <c r="K176" s="9"/>
      <c r="L176" s="9"/>
      <c r="M176" s="9"/>
      <c r="N176" s="9"/>
      <c r="O176" s="9"/>
      <c r="P176" s="9"/>
      <c r="Q176" s="9"/>
      <c r="R176" s="9"/>
      <c r="S176" s="9"/>
      <c r="T176" s="9"/>
      <c r="U176" s="9"/>
      <c r="V176" s="9"/>
      <c r="W176" s="9"/>
      <c r="X176" s="9"/>
      <c r="Y176" s="9"/>
      <c r="Z176" s="9"/>
    </row>
    <row r="177" spans="1:26" ht="16.5" customHeight="1">
      <c r="A177" s="9"/>
      <c r="B177" s="9"/>
      <c r="C177" s="9"/>
      <c r="D177" s="43"/>
      <c r="E177" s="10"/>
      <c r="F177" s="9"/>
      <c r="G177" s="9"/>
      <c r="H177" s="9"/>
      <c r="I177" s="9"/>
      <c r="J177" s="9"/>
      <c r="K177" s="9"/>
      <c r="L177" s="9"/>
      <c r="M177" s="9"/>
      <c r="N177" s="9"/>
      <c r="O177" s="9"/>
      <c r="P177" s="9"/>
      <c r="Q177" s="9"/>
      <c r="R177" s="9"/>
      <c r="S177" s="9"/>
      <c r="T177" s="9"/>
      <c r="U177" s="9"/>
      <c r="V177" s="9"/>
      <c r="W177" s="9"/>
      <c r="X177" s="9"/>
      <c r="Y177" s="9"/>
      <c r="Z177" s="9"/>
    </row>
    <row r="178" spans="1:26" ht="16.5" customHeight="1">
      <c r="A178" s="9"/>
      <c r="B178" s="9"/>
      <c r="C178" s="9"/>
      <c r="D178" s="43"/>
      <c r="E178" s="10"/>
      <c r="F178" s="9"/>
      <c r="G178" s="9"/>
      <c r="H178" s="9"/>
      <c r="I178" s="9"/>
      <c r="J178" s="9"/>
      <c r="K178" s="9"/>
      <c r="L178" s="9"/>
      <c r="M178" s="9"/>
      <c r="N178" s="9"/>
      <c r="O178" s="9"/>
      <c r="P178" s="9"/>
      <c r="Q178" s="9"/>
      <c r="R178" s="9"/>
      <c r="S178" s="9"/>
      <c r="T178" s="9"/>
      <c r="U178" s="9"/>
      <c r="V178" s="9"/>
      <c r="W178" s="9"/>
      <c r="X178" s="9"/>
      <c r="Y178" s="9"/>
      <c r="Z178" s="9"/>
    </row>
    <row r="179" spans="1:26" ht="16.5" customHeight="1">
      <c r="A179" s="9"/>
      <c r="B179" s="9"/>
      <c r="C179" s="9"/>
      <c r="D179" s="43"/>
      <c r="E179" s="10"/>
      <c r="F179" s="9"/>
      <c r="G179" s="9"/>
      <c r="H179" s="9"/>
      <c r="I179" s="9"/>
      <c r="J179" s="9"/>
      <c r="K179" s="9"/>
      <c r="L179" s="9"/>
      <c r="M179" s="9"/>
      <c r="N179" s="9"/>
      <c r="O179" s="9"/>
      <c r="P179" s="9"/>
      <c r="Q179" s="9"/>
      <c r="R179" s="9"/>
      <c r="S179" s="9"/>
      <c r="T179" s="9"/>
      <c r="U179" s="9"/>
      <c r="V179" s="9"/>
      <c r="W179" s="9"/>
      <c r="X179" s="9"/>
      <c r="Y179" s="9"/>
      <c r="Z179" s="9"/>
    </row>
    <row r="180" spans="1:26" ht="16.5" customHeight="1">
      <c r="A180" s="9"/>
      <c r="B180" s="9"/>
      <c r="C180" s="9"/>
      <c r="D180" s="43"/>
      <c r="E180" s="10"/>
      <c r="F180" s="9"/>
      <c r="G180" s="9"/>
      <c r="H180" s="9"/>
      <c r="I180" s="9"/>
      <c r="J180" s="9"/>
      <c r="K180" s="9"/>
      <c r="L180" s="9"/>
      <c r="M180" s="9"/>
      <c r="N180" s="9"/>
      <c r="O180" s="9"/>
      <c r="P180" s="9"/>
      <c r="Q180" s="9"/>
      <c r="R180" s="9"/>
      <c r="S180" s="9"/>
      <c r="T180" s="9"/>
      <c r="U180" s="9"/>
      <c r="V180" s="9"/>
      <c r="W180" s="9"/>
      <c r="X180" s="9"/>
      <c r="Y180" s="9"/>
      <c r="Z180" s="9"/>
    </row>
    <row r="181" spans="1:26" ht="16.5" customHeight="1">
      <c r="A181" s="9"/>
      <c r="B181" s="9"/>
      <c r="C181" s="9"/>
      <c r="D181" s="43"/>
      <c r="E181" s="10"/>
      <c r="F181" s="9"/>
      <c r="G181" s="9"/>
      <c r="H181" s="9"/>
      <c r="I181" s="9"/>
      <c r="J181" s="9"/>
      <c r="K181" s="9"/>
      <c r="L181" s="9"/>
      <c r="M181" s="9"/>
      <c r="N181" s="9"/>
      <c r="O181" s="9"/>
      <c r="P181" s="9"/>
      <c r="Q181" s="9"/>
      <c r="R181" s="9"/>
      <c r="S181" s="9"/>
      <c r="T181" s="9"/>
      <c r="U181" s="9"/>
      <c r="V181" s="9"/>
      <c r="W181" s="9"/>
      <c r="X181" s="9"/>
      <c r="Y181" s="9"/>
      <c r="Z181" s="9"/>
    </row>
    <row r="182" spans="1:26" ht="16.5" customHeight="1">
      <c r="A182" s="9"/>
      <c r="B182" s="9"/>
      <c r="C182" s="9"/>
      <c r="D182" s="43"/>
      <c r="E182" s="10"/>
      <c r="F182" s="9"/>
      <c r="G182" s="9"/>
      <c r="H182" s="9"/>
      <c r="I182" s="9"/>
      <c r="J182" s="9"/>
      <c r="K182" s="9"/>
      <c r="L182" s="9"/>
      <c r="M182" s="9"/>
      <c r="N182" s="9"/>
      <c r="O182" s="9"/>
      <c r="P182" s="9"/>
      <c r="Q182" s="9"/>
      <c r="R182" s="9"/>
      <c r="S182" s="9"/>
      <c r="T182" s="9"/>
      <c r="U182" s="9"/>
      <c r="V182" s="9"/>
      <c r="W182" s="9"/>
      <c r="X182" s="9"/>
      <c r="Y182" s="9"/>
      <c r="Z182" s="9"/>
    </row>
    <row r="183" spans="1:26" ht="16.5" customHeight="1">
      <c r="A183" s="9"/>
      <c r="B183" s="9"/>
      <c r="C183" s="9"/>
      <c r="D183" s="43"/>
      <c r="E183" s="10"/>
      <c r="F183" s="9"/>
      <c r="G183" s="9"/>
      <c r="H183" s="9"/>
      <c r="I183" s="9"/>
      <c r="J183" s="9"/>
      <c r="K183" s="9"/>
      <c r="L183" s="9"/>
      <c r="M183" s="9"/>
      <c r="N183" s="9"/>
      <c r="O183" s="9"/>
      <c r="P183" s="9"/>
      <c r="Q183" s="9"/>
      <c r="R183" s="9"/>
      <c r="S183" s="9"/>
      <c r="T183" s="9"/>
      <c r="U183" s="9"/>
      <c r="V183" s="9"/>
      <c r="W183" s="9"/>
      <c r="X183" s="9"/>
      <c r="Y183" s="9"/>
      <c r="Z183" s="9"/>
    </row>
    <row r="184" spans="1:26" ht="16.5" customHeight="1">
      <c r="A184" s="9"/>
      <c r="B184" s="9"/>
      <c r="C184" s="9"/>
      <c r="D184" s="43"/>
      <c r="E184" s="10"/>
      <c r="F184" s="9"/>
      <c r="G184" s="9"/>
      <c r="H184" s="9"/>
      <c r="I184" s="9"/>
      <c r="J184" s="9"/>
      <c r="K184" s="9"/>
      <c r="L184" s="9"/>
      <c r="M184" s="9"/>
      <c r="N184" s="9"/>
      <c r="O184" s="9"/>
      <c r="P184" s="9"/>
      <c r="Q184" s="9"/>
      <c r="R184" s="9"/>
      <c r="S184" s="9"/>
      <c r="T184" s="9"/>
      <c r="U184" s="9"/>
      <c r="V184" s="9"/>
      <c r="W184" s="9"/>
      <c r="X184" s="9"/>
      <c r="Y184" s="9"/>
      <c r="Z184" s="9"/>
    </row>
    <row r="185" spans="1:26" ht="16.5" customHeight="1">
      <c r="A185" s="9"/>
      <c r="B185" s="9"/>
      <c r="C185" s="9"/>
      <c r="D185" s="43"/>
      <c r="E185" s="10"/>
      <c r="F185" s="9"/>
      <c r="G185" s="9"/>
      <c r="H185" s="9"/>
      <c r="I185" s="9"/>
      <c r="J185" s="9"/>
      <c r="K185" s="9"/>
      <c r="L185" s="9"/>
      <c r="M185" s="9"/>
      <c r="N185" s="9"/>
      <c r="O185" s="9"/>
      <c r="P185" s="9"/>
      <c r="Q185" s="9"/>
      <c r="R185" s="9"/>
      <c r="S185" s="9"/>
      <c r="T185" s="9"/>
      <c r="U185" s="9"/>
      <c r="V185" s="9"/>
      <c r="W185" s="9"/>
      <c r="X185" s="9"/>
      <c r="Y185" s="9"/>
      <c r="Z185" s="9"/>
    </row>
    <row r="186" spans="1:26" ht="16.5" customHeight="1">
      <c r="A186" s="9"/>
      <c r="B186" s="9"/>
      <c r="C186" s="9"/>
      <c r="D186" s="43"/>
      <c r="E186" s="10"/>
      <c r="F186" s="9"/>
      <c r="G186" s="9"/>
      <c r="H186" s="9"/>
      <c r="I186" s="9"/>
      <c r="J186" s="9"/>
      <c r="K186" s="9"/>
      <c r="L186" s="9"/>
      <c r="M186" s="9"/>
      <c r="N186" s="9"/>
      <c r="O186" s="9"/>
      <c r="P186" s="9"/>
      <c r="Q186" s="9"/>
      <c r="R186" s="9"/>
      <c r="S186" s="9"/>
      <c r="T186" s="9"/>
      <c r="U186" s="9"/>
      <c r="V186" s="9"/>
      <c r="W186" s="9"/>
      <c r="X186" s="9"/>
      <c r="Y186" s="9"/>
      <c r="Z186" s="9"/>
    </row>
    <row r="187" spans="1:26" ht="16.5" customHeight="1">
      <c r="A187" s="9"/>
      <c r="B187" s="9"/>
      <c r="C187" s="9"/>
      <c r="D187" s="43"/>
      <c r="E187" s="10"/>
      <c r="F187" s="9"/>
      <c r="G187" s="9"/>
      <c r="H187" s="9"/>
      <c r="I187" s="9"/>
      <c r="J187" s="9"/>
      <c r="K187" s="9"/>
      <c r="L187" s="9"/>
      <c r="M187" s="9"/>
      <c r="N187" s="9"/>
      <c r="O187" s="9"/>
      <c r="P187" s="9"/>
      <c r="Q187" s="9"/>
      <c r="R187" s="9"/>
      <c r="S187" s="9"/>
      <c r="T187" s="9"/>
      <c r="U187" s="9"/>
      <c r="V187" s="9"/>
      <c r="W187" s="9"/>
      <c r="X187" s="9"/>
      <c r="Y187" s="9"/>
      <c r="Z187" s="9"/>
    </row>
    <row r="188" spans="1:26" ht="16.5" customHeight="1">
      <c r="A188" s="9"/>
      <c r="B188" s="9"/>
      <c r="C188" s="9"/>
      <c r="D188" s="43"/>
      <c r="E188" s="10"/>
      <c r="F188" s="9"/>
      <c r="G188" s="9"/>
      <c r="H188" s="9"/>
      <c r="I188" s="9"/>
      <c r="J188" s="9"/>
      <c r="K188" s="9"/>
      <c r="L188" s="9"/>
      <c r="M188" s="9"/>
      <c r="N188" s="9"/>
      <c r="O188" s="9"/>
      <c r="P188" s="9"/>
      <c r="Q188" s="9"/>
      <c r="R188" s="9"/>
      <c r="S188" s="9"/>
      <c r="T188" s="9"/>
      <c r="U188" s="9"/>
      <c r="V188" s="9"/>
      <c r="W188" s="9"/>
      <c r="X188" s="9"/>
      <c r="Y188" s="9"/>
      <c r="Z188" s="9"/>
    </row>
    <row r="189" spans="1:26" ht="16.5" customHeight="1">
      <c r="A189" s="9"/>
      <c r="B189" s="9"/>
      <c r="C189" s="9"/>
      <c r="D189" s="43"/>
      <c r="E189" s="10"/>
      <c r="F189" s="9"/>
      <c r="G189" s="9"/>
      <c r="H189" s="9"/>
      <c r="I189" s="9"/>
      <c r="J189" s="9"/>
      <c r="K189" s="9"/>
      <c r="L189" s="9"/>
      <c r="M189" s="9"/>
      <c r="N189" s="9"/>
      <c r="O189" s="9"/>
      <c r="P189" s="9"/>
      <c r="Q189" s="9"/>
      <c r="R189" s="9"/>
      <c r="S189" s="9"/>
      <c r="T189" s="9"/>
      <c r="U189" s="9"/>
      <c r="V189" s="9"/>
      <c r="W189" s="9"/>
      <c r="X189" s="9"/>
      <c r="Y189" s="9"/>
      <c r="Z189" s="9"/>
    </row>
    <row r="190" spans="1:26" ht="16.5" customHeight="1">
      <c r="A190" s="9"/>
      <c r="B190" s="9"/>
      <c r="C190" s="9"/>
      <c r="D190" s="43"/>
      <c r="E190" s="10"/>
      <c r="F190" s="9"/>
      <c r="G190" s="9"/>
      <c r="H190" s="9"/>
      <c r="I190" s="9"/>
      <c r="J190" s="9"/>
      <c r="K190" s="9"/>
      <c r="L190" s="9"/>
      <c r="M190" s="9"/>
      <c r="N190" s="9"/>
      <c r="O190" s="9"/>
      <c r="P190" s="9"/>
      <c r="Q190" s="9"/>
      <c r="R190" s="9"/>
      <c r="S190" s="9"/>
      <c r="T190" s="9"/>
      <c r="U190" s="9"/>
      <c r="V190" s="9"/>
      <c r="W190" s="9"/>
      <c r="X190" s="9"/>
      <c r="Y190" s="9"/>
      <c r="Z190" s="9"/>
    </row>
    <row r="191" spans="1:26" ht="16.5" customHeight="1">
      <c r="A191" s="9"/>
      <c r="B191" s="9"/>
      <c r="C191" s="9"/>
      <c r="D191" s="43"/>
      <c r="E191" s="10"/>
      <c r="F191" s="9"/>
      <c r="G191" s="9"/>
      <c r="H191" s="9"/>
      <c r="I191" s="9"/>
      <c r="J191" s="9"/>
      <c r="K191" s="9"/>
      <c r="L191" s="9"/>
      <c r="M191" s="9"/>
      <c r="N191" s="9"/>
      <c r="O191" s="9"/>
      <c r="P191" s="9"/>
      <c r="Q191" s="9"/>
      <c r="R191" s="9"/>
      <c r="S191" s="9"/>
      <c r="T191" s="9"/>
      <c r="U191" s="9"/>
      <c r="V191" s="9"/>
      <c r="W191" s="9"/>
      <c r="X191" s="9"/>
      <c r="Y191" s="9"/>
      <c r="Z191" s="9"/>
    </row>
    <row r="192" spans="1:26" ht="16.5" customHeight="1">
      <c r="A192" s="9"/>
      <c r="B192" s="9"/>
      <c r="C192" s="9"/>
      <c r="D192" s="43"/>
      <c r="E192" s="10"/>
      <c r="F192" s="9"/>
      <c r="G192" s="9"/>
      <c r="H192" s="9"/>
      <c r="I192" s="9"/>
      <c r="J192" s="9"/>
      <c r="K192" s="9"/>
      <c r="L192" s="9"/>
      <c r="M192" s="9"/>
      <c r="N192" s="9"/>
      <c r="O192" s="9"/>
      <c r="P192" s="9"/>
      <c r="Q192" s="9"/>
      <c r="R192" s="9"/>
      <c r="S192" s="9"/>
      <c r="T192" s="9"/>
      <c r="U192" s="9"/>
      <c r="V192" s="9"/>
      <c r="W192" s="9"/>
      <c r="X192" s="9"/>
      <c r="Y192" s="9"/>
      <c r="Z192" s="9"/>
    </row>
    <row r="193" spans="1:26" ht="16.5" customHeight="1">
      <c r="A193" s="9"/>
      <c r="B193" s="9"/>
      <c r="C193" s="9"/>
      <c r="D193" s="43"/>
      <c r="E193" s="10"/>
      <c r="F193" s="9"/>
      <c r="G193" s="9"/>
      <c r="H193" s="9"/>
      <c r="I193" s="9"/>
      <c r="J193" s="9"/>
      <c r="K193" s="9"/>
      <c r="L193" s="9"/>
      <c r="M193" s="9"/>
      <c r="N193" s="9"/>
      <c r="O193" s="9"/>
      <c r="P193" s="9"/>
      <c r="Q193" s="9"/>
      <c r="R193" s="9"/>
      <c r="S193" s="9"/>
      <c r="T193" s="9"/>
      <c r="U193" s="9"/>
      <c r="V193" s="9"/>
      <c r="W193" s="9"/>
      <c r="X193" s="9"/>
      <c r="Y193" s="9"/>
      <c r="Z193" s="9"/>
    </row>
    <row r="194" spans="1:26" ht="16.5" customHeight="1">
      <c r="A194" s="9"/>
      <c r="B194" s="9"/>
      <c r="C194" s="9"/>
      <c r="D194" s="43"/>
      <c r="E194" s="10"/>
      <c r="F194" s="9"/>
      <c r="G194" s="9"/>
      <c r="H194" s="9"/>
      <c r="I194" s="9"/>
      <c r="J194" s="9"/>
      <c r="K194" s="9"/>
      <c r="L194" s="9"/>
      <c r="M194" s="9"/>
      <c r="N194" s="9"/>
      <c r="O194" s="9"/>
      <c r="P194" s="9"/>
      <c r="Q194" s="9"/>
      <c r="R194" s="9"/>
      <c r="S194" s="9"/>
      <c r="T194" s="9"/>
      <c r="U194" s="9"/>
      <c r="V194" s="9"/>
      <c r="W194" s="9"/>
      <c r="X194" s="9"/>
      <c r="Y194" s="9"/>
      <c r="Z194" s="9"/>
    </row>
    <row r="195" spans="1:26" ht="16.5" customHeight="1">
      <c r="A195" s="9"/>
      <c r="B195" s="9"/>
      <c r="C195" s="9"/>
      <c r="D195" s="43"/>
      <c r="E195" s="10"/>
      <c r="F195" s="9"/>
      <c r="G195" s="9"/>
      <c r="H195" s="9"/>
      <c r="I195" s="9"/>
      <c r="J195" s="9"/>
      <c r="K195" s="9"/>
      <c r="L195" s="9"/>
      <c r="M195" s="9"/>
      <c r="N195" s="9"/>
      <c r="O195" s="9"/>
      <c r="P195" s="9"/>
      <c r="Q195" s="9"/>
      <c r="R195" s="9"/>
      <c r="S195" s="9"/>
      <c r="T195" s="9"/>
      <c r="U195" s="9"/>
      <c r="V195" s="9"/>
      <c r="W195" s="9"/>
      <c r="X195" s="9"/>
      <c r="Y195" s="9"/>
      <c r="Z195" s="9"/>
    </row>
    <row r="196" spans="1:26" ht="16.5" customHeight="1">
      <c r="A196" s="9"/>
      <c r="B196" s="9"/>
      <c r="C196" s="9"/>
      <c r="D196" s="43"/>
      <c r="E196" s="10"/>
      <c r="F196" s="9"/>
      <c r="G196" s="9"/>
      <c r="H196" s="9"/>
      <c r="I196" s="9"/>
      <c r="J196" s="9"/>
      <c r="K196" s="9"/>
      <c r="L196" s="9"/>
      <c r="M196" s="9"/>
      <c r="N196" s="9"/>
      <c r="O196" s="9"/>
      <c r="P196" s="9"/>
      <c r="Q196" s="9"/>
      <c r="R196" s="9"/>
      <c r="S196" s="9"/>
      <c r="T196" s="9"/>
      <c r="U196" s="9"/>
      <c r="V196" s="9"/>
      <c r="W196" s="9"/>
      <c r="X196" s="9"/>
      <c r="Y196" s="9"/>
      <c r="Z196" s="9"/>
    </row>
    <row r="197" spans="1:26" ht="16.5" customHeight="1">
      <c r="A197" s="9"/>
      <c r="B197" s="9"/>
      <c r="C197" s="9"/>
      <c r="D197" s="43"/>
      <c r="E197" s="10"/>
      <c r="F197" s="9"/>
      <c r="G197" s="9"/>
      <c r="H197" s="9"/>
      <c r="I197" s="9"/>
      <c r="J197" s="9"/>
      <c r="K197" s="9"/>
      <c r="L197" s="9"/>
      <c r="M197" s="9"/>
      <c r="N197" s="9"/>
      <c r="O197" s="9"/>
      <c r="P197" s="9"/>
      <c r="Q197" s="9"/>
      <c r="R197" s="9"/>
      <c r="S197" s="9"/>
      <c r="T197" s="9"/>
      <c r="U197" s="9"/>
      <c r="V197" s="9"/>
      <c r="W197" s="9"/>
      <c r="X197" s="9"/>
      <c r="Y197" s="9"/>
      <c r="Z197" s="9"/>
    </row>
    <row r="198" spans="1:26" ht="16.5" customHeight="1">
      <c r="A198" s="9"/>
      <c r="B198" s="9"/>
      <c r="C198" s="9"/>
      <c r="D198" s="43"/>
      <c r="E198" s="10"/>
      <c r="F198" s="9"/>
      <c r="G198" s="9"/>
      <c r="H198" s="9"/>
      <c r="I198" s="9"/>
      <c r="J198" s="9"/>
      <c r="K198" s="9"/>
      <c r="L198" s="9"/>
      <c r="M198" s="9"/>
      <c r="N198" s="9"/>
      <c r="O198" s="9"/>
      <c r="P198" s="9"/>
      <c r="Q198" s="9"/>
      <c r="R198" s="9"/>
      <c r="S198" s="9"/>
      <c r="T198" s="9"/>
      <c r="U198" s="9"/>
      <c r="V198" s="9"/>
      <c r="W198" s="9"/>
      <c r="X198" s="9"/>
      <c r="Y198" s="9"/>
      <c r="Z198" s="9"/>
    </row>
    <row r="199" spans="1:26" ht="16.5" customHeight="1">
      <c r="A199" s="9"/>
      <c r="B199" s="9"/>
      <c r="C199" s="9"/>
      <c r="D199" s="43"/>
      <c r="E199" s="10"/>
      <c r="F199" s="9"/>
      <c r="G199" s="9"/>
      <c r="H199" s="9"/>
      <c r="I199" s="9"/>
      <c r="J199" s="9"/>
      <c r="K199" s="9"/>
      <c r="L199" s="9"/>
      <c r="M199" s="9"/>
      <c r="N199" s="9"/>
      <c r="O199" s="9"/>
      <c r="P199" s="9"/>
      <c r="Q199" s="9"/>
      <c r="R199" s="9"/>
      <c r="S199" s="9"/>
      <c r="T199" s="9"/>
      <c r="U199" s="9"/>
      <c r="V199" s="9"/>
      <c r="W199" s="9"/>
      <c r="X199" s="9"/>
      <c r="Y199" s="9"/>
      <c r="Z199" s="9"/>
    </row>
    <row r="200" spans="1:26" ht="16.5" customHeight="1">
      <c r="A200" s="9"/>
      <c r="B200" s="9"/>
      <c r="C200" s="9"/>
      <c r="D200" s="43"/>
      <c r="E200" s="10"/>
      <c r="F200" s="9"/>
      <c r="G200" s="9"/>
      <c r="H200" s="9"/>
      <c r="I200" s="9"/>
      <c r="J200" s="9"/>
      <c r="K200" s="9"/>
      <c r="L200" s="9"/>
      <c r="M200" s="9"/>
      <c r="N200" s="9"/>
      <c r="O200" s="9"/>
      <c r="P200" s="9"/>
      <c r="Q200" s="9"/>
      <c r="R200" s="9"/>
      <c r="S200" s="9"/>
      <c r="T200" s="9"/>
      <c r="U200" s="9"/>
      <c r="V200" s="9"/>
      <c r="W200" s="9"/>
      <c r="X200" s="9"/>
      <c r="Y200" s="9"/>
      <c r="Z200" s="9"/>
    </row>
    <row r="201" spans="1:26" ht="16.5" customHeight="1">
      <c r="A201" s="9"/>
      <c r="B201" s="9"/>
      <c r="C201" s="9"/>
      <c r="D201" s="43"/>
      <c r="E201" s="10"/>
      <c r="F201" s="9"/>
      <c r="G201" s="9"/>
      <c r="H201" s="9"/>
      <c r="I201" s="9"/>
      <c r="J201" s="9"/>
      <c r="K201" s="9"/>
      <c r="L201" s="9"/>
      <c r="M201" s="9"/>
      <c r="N201" s="9"/>
      <c r="O201" s="9"/>
      <c r="P201" s="9"/>
      <c r="Q201" s="9"/>
      <c r="R201" s="9"/>
      <c r="S201" s="9"/>
      <c r="T201" s="9"/>
      <c r="U201" s="9"/>
      <c r="V201" s="9"/>
      <c r="W201" s="9"/>
      <c r="X201" s="9"/>
      <c r="Y201" s="9"/>
      <c r="Z201" s="9"/>
    </row>
    <row r="202" spans="1:26" ht="16.5" customHeight="1">
      <c r="A202" s="9"/>
      <c r="B202" s="9"/>
      <c r="C202" s="9"/>
      <c r="D202" s="43"/>
      <c r="E202" s="10"/>
      <c r="F202" s="9"/>
      <c r="G202" s="9"/>
      <c r="H202" s="9"/>
      <c r="I202" s="9"/>
      <c r="J202" s="9"/>
      <c r="K202" s="9"/>
      <c r="L202" s="9"/>
      <c r="M202" s="9"/>
      <c r="N202" s="9"/>
      <c r="O202" s="9"/>
      <c r="P202" s="9"/>
      <c r="Q202" s="9"/>
      <c r="R202" s="9"/>
      <c r="S202" s="9"/>
      <c r="T202" s="9"/>
      <c r="U202" s="9"/>
      <c r="V202" s="9"/>
      <c r="W202" s="9"/>
      <c r="X202" s="9"/>
      <c r="Y202" s="9"/>
      <c r="Z202" s="9"/>
    </row>
    <row r="203" spans="1:26" ht="16.5" customHeight="1">
      <c r="A203" s="9"/>
      <c r="B203" s="9"/>
      <c r="C203" s="9"/>
      <c r="D203" s="43"/>
      <c r="E203" s="10"/>
      <c r="F203" s="9"/>
      <c r="G203" s="9"/>
      <c r="H203" s="9"/>
      <c r="I203" s="9"/>
      <c r="J203" s="9"/>
      <c r="K203" s="9"/>
      <c r="L203" s="9"/>
      <c r="M203" s="9"/>
      <c r="N203" s="9"/>
      <c r="O203" s="9"/>
      <c r="P203" s="9"/>
      <c r="Q203" s="9"/>
      <c r="R203" s="9"/>
      <c r="S203" s="9"/>
      <c r="T203" s="9"/>
      <c r="U203" s="9"/>
      <c r="V203" s="9"/>
      <c r="W203" s="9"/>
      <c r="X203" s="9"/>
      <c r="Y203" s="9"/>
      <c r="Z203" s="9"/>
    </row>
    <row r="204" spans="1:26" ht="16.5" customHeight="1">
      <c r="A204" s="9"/>
      <c r="B204" s="9"/>
      <c r="C204" s="9"/>
      <c r="D204" s="43"/>
      <c r="E204" s="10"/>
      <c r="F204" s="9"/>
      <c r="G204" s="9"/>
      <c r="H204" s="9"/>
      <c r="I204" s="9"/>
      <c r="J204" s="9"/>
      <c r="K204" s="9"/>
      <c r="L204" s="9"/>
      <c r="M204" s="9"/>
      <c r="N204" s="9"/>
      <c r="O204" s="9"/>
      <c r="P204" s="9"/>
      <c r="Q204" s="9"/>
      <c r="R204" s="9"/>
      <c r="S204" s="9"/>
      <c r="T204" s="9"/>
      <c r="U204" s="9"/>
      <c r="V204" s="9"/>
      <c r="W204" s="9"/>
      <c r="X204" s="9"/>
      <c r="Y204" s="9"/>
      <c r="Z204" s="9"/>
    </row>
    <row r="205" spans="1:26" ht="16.5" customHeight="1">
      <c r="A205" s="9"/>
      <c r="B205" s="9"/>
      <c r="C205" s="9"/>
      <c r="D205" s="43"/>
      <c r="E205" s="10"/>
      <c r="F205" s="9"/>
      <c r="G205" s="9"/>
      <c r="H205" s="9"/>
      <c r="I205" s="9"/>
      <c r="J205" s="9"/>
      <c r="K205" s="9"/>
      <c r="L205" s="9"/>
      <c r="M205" s="9"/>
      <c r="N205" s="9"/>
      <c r="O205" s="9"/>
      <c r="P205" s="9"/>
      <c r="Q205" s="9"/>
      <c r="R205" s="9"/>
      <c r="S205" s="9"/>
      <c r="T205" s="9"/>
      <c r="U205" s="9"/>
      <c r="V205" s="9"/>
      <c r="W205" s="9"/>
      <c r="X205" s="9"/>
      <c r="Y205" s="9"/>
      <c r="Z205" s="9"/>
    </row>
    <row r="206" spans="1:26" ht="16.5" customHeight="1">
      <c r="A206" s="9"/>
      <c r="B206" s="9"/>
      <c r="C206" s="9"/>
      <c r="D206" s="43"/>
      <c r="E206" s="10"/>
      <c r="F206" s="9"/>
      <c r="G206" s="9"/>
      <c r="H206" s="9"/>
      <c r="I206" s="9"/>
      <c r="J206" s="9"/>
      <c r="K206" s="9"/>
      <c r="L206" s="9"/>
      <c r="M206" s="9"/>
      <c r="N206" s="9"/>
      <c r="O206" s="9"/>
      <c r="P206" s="9"/>
      <c r="Q206" s="9"/>
      <c r="R206" s="9"/>
      <c r="S206" s="9"/>
      <c r="T206" s="9"/>
      <c r="U206" s="9"/>
      <c r="V206" s="9"/>
      <c r="W206" s="9"/>
      <c r="X206" s="9"/>
      <c r="Y206" s="9"/>
      <c r="Z206" s="9"/>
    </row>
    <row r="207" spans="1:26" ht="16.5" customHeight="1">
      <c r="A207" s="9"/>
      <c r="B207" s="9"/>
      <c r="C207" s="9"/>
      <c r="D207" s="43"/>
      <c r="E207" s="10"/>
      <c r="F207" s="9"/>
      <c r="G207" s="9"/>
      <c r="H207" s="9"/>
      <c r="I207" s="9"/>
      <c r="J207" s="9"/>
      <c r="K207" s="9"/>
      <c r="L207" s="9"/>
      <c r="M207" s="9"/>
      <c r="N207" s="9"/>
      <c r="O207" s="9"/>
      <c r="P207" s="9"/>
      <c r="Q207" s="9"/>
      <c r="R207" s="9"/>
      <c r="S207" s="9"/>
      <c r="T207" s="9"/>
      <c r="U207" s="9"/>
      <c r="V207" s="9"/>
      <c r="W207" s="9"/>
      <c r="X207" s="9"/>
      <c r="Y207" s="9"/>
      <c r="Z207" s="9"/>
    </row>
    <row r="208" spans="1:26" ht="16.5" customHeight="1">
      <c r="A208" s="9"/>
      <c r="B208" s="9"/>
      <c r="C208" s="9"/>
      <c r="D208" s="43"/>
      <c r="E208" s="10"/>
      <c r="F208" s="9"/>
      <c r="G208" s="9"/>
      <c r="H208" s="9"/>
      <c r="I208" s="9"/>
      <c r="J208" s="9"/>
      <c r="K208" s="9"/>
      <c r="L208" s="9"/>
      <c r="M208" s="9"/>
      <c r="N208" s="9"/>
      <c r="O208" s="9"/>
      <c r="P208" s="9"/>
      <c r="Q208" s="9"/>
      <c r="R208" s="9"/>
      <c r="S208" s="9"/>
      <c r="T208" s="9"/>
      <c r="U208" s="9"/>
      <c r="V208" s="9"/>
      <c r="W208" s="9"/>
      <c r="X208" s="9"/>
      <c r="Y208" s="9"/>
      <c r="Z208" s="9"/>
    </row>
    <row r="209" spans="1:26" ht="16.5" customHeight="1">
      <c r="A209" s="9"/>
      <c r="B209" s="9"/>
      <c r="C209" s="9"/>
      <c r="D209" s="43"/>
      <c r="E209" s="10"/>
      <c r="F209" s="9"/>
      <c r="G209" s="9"/>
      <c r="H209" s="9"/>
      <c r="I209" s="9"/>
      <c r="J209" s="9"/>
      <c r="K209" s="9"/>
      <c r="L209" s="9"/>
      <c r="M209" s="9"/>
      <c r="N209" s="9"/>
      <c r="O209" s="9"/>
      <c r="P209" s="9"/>
      <c r="Q209" s="9"/>
      <c r="R209" s="9"/>
      <c r="S209" s="9"/>
      <c r="T209" s="9"/>
      <c r="U209" s="9"/>
      <c r="V209" s="9"/>
      <c r="W209" s="9"/>
      <c r="X209" s="9"/>
      <c r="Y209" s="9"/>
      <c r="Z209" s="9"/>
    </row>
    <row r="210" spans="1:26" ht="16.5" customHeight="1">
      <c r="A210" s="9"/>
      <c r="B210" s="9"/>
      <c r="C210" s="9"/>
      <c r="D210" s="43"/>
      <c r="E210" s="10"/>
      <c r="F210" s="9"/>
      <c r="G210" s="9"/>
      <c r="H210" s="9"/>
      <c r="I210" s="9"/>
      <c r="J210" s="9"/>
      <c r="K210" s="9"/>
      <c r="L210" s="9"/>
      <c r="M210" s="9"/>
      <c r="N210" s="9"/>
      <c r="O210" s="9"/>
      <c r="P210" s="9"/>
      <c r="Q210" s="9"/>
      <c r="R210" s="9"/>
      <c r="S210" s="9"/>
      <c r="T210" s="9"/>
      <c r="U210" s="9"/>
      <c r="V210" s="9"/>
      <c r="W210" s="9"/>
      <c r="X210" s="9"/>
      <c r="Y210" s="9"/>
      <c r="Z210" s="9"/>
    </row>
    <row r="211" spans="1:26" ht="16.5" customHeight="1">
      <c r="A211" s="9"/>
      <c r="B211" s="9"/>
      <c r="C211" s="9"/>
      <c r="D211" s="43"/>
      <c r="E211" s="10"/>
      <c r="F211" s="9"/>
      <c r="G211" s="9"/>
      <c r="H211" s="9"/>
      <c r="I211" s="9"/>
      <c r="J211" s="9"/>
      <c r="K211" s="9"/>
      <c r="L211" s="9"/>
      <c r="M211" s="9"/>
      <c r="N211" s="9"/>
      <c r="O211" s="9"/>
      <c r="P211" s="9"/>
      <c r="Q211" s="9"/>
      <c r="R211" s="9"/>
      <c r="S211" s="9"/>
      <c r="T211" s="9"/>
      <c r="U211" s="9"/>
      <c r="V211" s="9"/>
      <c r="W211" s="9"/>
      <c r="X211" s="9"/>
      <c r="Y211" s="9"/>
      <c r="Z211" s="9"/>
    </row>
    <row r="212" spans="1:26" ht="16.5" customHeight="1">
      <c r="A212" s="9"/>
      <c r="B212" s="9"/>
      <c r="C212" s="9"/>
      <c r="D212" s="43"/>
      <c r="E212" s="10"/>
      <c r="F212" s="9"/>
      <c r="G212" s="9"/>
      <c r="H212" s="9"/>
      <c r="I212" s="9"/>
      <c r="J212" s="9"/>
      <c r="K212" s="9"/>
      <c r="L212" s="9"/>
      <c r="M212" s="9"/>
      <c r="N212" s="9"/>
      <c r="O212" s="9"/>
      <c r="P212" s="9"/>
      <c r="Q212" s="9"/>
      <c r="R212" s="9"/>
      <c r="S212" s="9"/>
      <c r="T212" s="9"/>
      <c r="U212" s="9"/>
      <c r="V212" s="9"/>
      <c r="W212" s="9"/>
      <c r="X212" s="9"/>
      <c r="Y212" s="9"/>
      <c r="Z212" s="9"/>
    </row>
    <row r="213" spans="1:26" ht="16.5" customHeight="1">
      <c r="A213" s="9"/>
      <c r="B213" s="9"/>
      <c r="C213" s="9"/>
      <c r="D213" s="43"/>
      <c r="E213" s="10"/>
      <c r="F213" s="9"/>
      <c r="G213" s="9"/>
      <c r="H213" s="9"/>
      <c r="I213" s="9"/>
      <c r="J213" s="9"/>
      <c r="K213" s="9"/>
      <c r="L213" s="9"/>
      <c r="M213" s="9"/>
      <c r="N213" s="9"/>
      <c r="O213" s="9"/>
      <c r="P213" s="9"/>
      <c r="Q213" s="9"/>
      <c r="R213" s="9"/>
      <c r="S213" s="9"/>
      <c r="T213" s="9"/>
      <c r="U213" s="9"/>
      <c r="V213" s="9"/>
      <c r="W213" s="9"/>
      <c r="X213" s="9"/>
      <c r="Y213" s="9"/>
      <c r="Z213" s="9"/>
    </row>
    <row r="214" spans="1:26" ht="16.5" customHeight="1">
      <c r="A214" s="9"/>
      <c r="B214" s="9"/>
      <c r="C214" s="9"/>
      <c r="D214" s="43"/>
      <c r="E214" s="10"/>
      <c r="F214" s="9"/>
      <c r="G214" s="9"/>
      <c r="H214" s="9"/>
      <c r="I214" s="9"/>
      <c r="J214" s="9"/>
      <c r="K214" s="9"/>
      <c r="L214" s="9"/>
      <c r="M214" s="9"/>
      <c r="N214" s="9"/>
      <c r="O214" s="9"/>
      <c r="P214" s="9"/>
      <c r="Q214" s="9"/>
      <c r="R214" s="9"/>
      <c r="S214" s="9"/>
      <c r="T214" s="9"/>
      <c r="U214" s="9"/>
      <c r="V214" s="9"/>
      <c r="W214" s="9"/>
      <c r="X214" s="9"/>
      <c r="Y214" s="9"/>
      <c r="Z214" s="9"/>
    </row>
    <row r="215" spans="1:26" ht="16.5" customHeight="1">
      <c r="A215" s="9"/>
      <c r="B215" s="9"/>
      <c r="C215" s="9"/>
      <c r="D215" s="43"/>
      <c r="E215" s="10"/>
      <c r="F215" s="9"/>
      <c r="G215" s="9"/>
      <c r="H215" s="9"/>
      <c r="I215" s="9"/>
      <c r="J215" s="9"/>
      <c r="K215" s="9"/>
      <c r="L215" s="9"/>
      <c r="M215" s="9"/>
      <c r="N215" s="9"/>
      <c r="O215" s="9"/>
      <c r="P215" s="9"/>
      <c r="Q215" s="9"/>
      <c r="R215" s="9"/>
      <c r="S215" s="9"/>
      <c r="T215" s="9"/>
      <c r="U215" s="9"/>
      <c r="V215" s="9"/>
      <c r="W215" s="9"/>
      <c r="X215" s="9"/>
      <c r="Y215" s="9"/>
      <c r="Z215" s="9"/>
    </row>
    <row r="216" spans="1:26" ht="16.5" customHeight="1">
      <c r="A216" s="9"/>
      <c r="B216" s="9"/>
      <c r="C216" s="9"/>
      <c r="D216" s="43"/>
      <c r="E216" s="10"/>
      <c r="F216" s="9"/>
      <c r="G216" s="9"/>
      <c r="H216" s="9"/>
      <c r="I216" s="9"/>
      <c r="J216" s="9"/>
      <c r="K216" s="9"/>
      <c r="L216" s="9"/>
      <c r="M216" s="9"/>
      <c r="N216" s="9"/>
      <c r="O216" s="9"/>
      <c r="P216" s="9"/>
      <c r="Q216" s="9"/>
      <c r="R216" s="9"/>
      <c r="S216" s="9"/>
      <c r="T216" s="9"/>
      <c r="U216" s="9"/>
      <c r="V216" s="9"/>
      <c r="W216" s="9"/>
      <c r="X216" s="9"/>
      <c r="Y216" s="9"/>
      <c r="Z216" s="9"/>
    </row>
    <row r="217" spans="1:26" ht="16.5" customHeight="1">
      <c r="A217" s="9"/>
      <c r="B217" s="9"/>
      <c r="C217" s="9"/>
      <c r="D217" s="43"/>
      <c r="E217" s="10"/>
      <c r="F217" s="9"/>
      <c r="G217" s="9"/>
      <c r="H217" s="9"/>
      <c r="I217" s="9"/>
      <c r="J217" s="9"/>
      <c r="K217" s="9"/>
      <c r="L217" s="9"/>
      <c r="M217" s="9"/>
      <c r="N217" s="9"/>
      <c r="O217" s="9"/>
      <c r="P217" s="9"/>
      <c r="Q217" s="9"/>
      <c r="R217" s="9"/>
      <c r="S217" s="9"/>
      <c r="T217" s="9"/>
      <c r="U217" s="9"/>
      <c r="V217" s="9"/>
      <c r="W217" s="9"/>
      <c r="X217" s="9"/>
      <c r="Y217" s="9"/>
      <c r="Z217" s="9"/>
    </row>
    <row r="218" spans="1:26" ht="16.5" customHeight="1">
      <c r="A218" s="9"/>
      <c r="B218" s="9"/>
      <c r="C218" s="9"/>
      <c r="D218" s="43"/>
      <c r="E218" s="10"/>
      <c r="F218" s="9"/>
      <c r="G218" s="9"/>
      <c r="H218" s="9"/>
      <c r="I218" s="9"/>
      <c r="J218" s="9"/>
      <c r="K218" s="9"/>
      <c r="L218" s="9"/>
      <c r="M218" s="9"/>
      <c r="N218" s="9"/>
      <c r="O218" s="9"/>
      <c r="P218" s="9"/>
      <c r="Q218" s="9"/>
      <c r="R218" s="9"/>
      <c r="S218" s="9"/>
      <c r="T218" s="9"/>
      <c r="U218" s="9"/>
      <c r="V218" s="9"/>
      <c r="W218" s="9"/>
      <c r="X218" s="9"/>
      <c r="Y218" s="9"/>
      <c r="Z218" s="9"/>
    </row>
    <row r="219" spans="1:26" ht="16.5" customHeight="1">
      <c r="A219" s="9"/>
      <c r="B219" s="9"/>
      <c r="C219" s="9"/>
      <c r="D219" s="43"/>
      <c r="E219" s="10"/>
      <c r="F219" s="9"/>
      <c r="G219" s="9"/>
      <c r="H219" s="9"/>
      <c r="I219" s="9"/>
      <c r="J219" s="9"/>
      <c r="K219" s="9"/>
      <c r="L219" s="9"/>
      <c r="M219" s="9"/>
      <c r="N219" s="9"/>
      <c r="O219" s="9"/>
      <c r="P219" s="9"/>
      <c r="Q219" s="9"/>
      <c r="R219" s="9"/>
      <c r="S219" s="9"/>
      <c r="T219" s="9"/>
      <c r="U219" s="9"/>
      <c r="V219" s="9"/>
      <c r="W219" s="9"/>
      <c r="X219" s="9"/>
      <c r="Y219" s="9"/>
      <c r="Z219" s="9"/>
    </row>
    <row r="220" spans="1:26" ht="16.5" customHeight="1">
      <c r="A220" s="9"/>
      <c r="B220" s="9"/>
      <c r="C220" s="9"/>
      <c r="D220" s="43"/>
      <c r="E220" s="10"/>
      <c r="F220" s="9"/>
      <c r="G220" s="9"/>
      <c r="H220" s="9"/>
      <c r="I220" s="9"/>
      <c r="J220" s="9"/>
      <c r="K220" s="9"/>
      <c r="L220" s="9"/>
      <c r="M220" s="9"/>
      <c r="N220" s="9"/>
      <c r="O220" s="9"/>
      <c r="P220" s="9"/>
      <c r="Q220" s="9"/>
      <c r="R220" s="9"/>
      <c r="S220" s="9"/>
      <c r="T220" s="9"/>
      <c r="U220" s="9"/>
      <c r="V220" s="9"/>
      <c r="W220" s="9"/>
      <c r="X220" s="9"/>
      <c r="Y220" s="9"/>
      <c r="Z220" s="9"/>
    </row>
    <row r="221" spans="1:26" ht="16.5" customHeight="1">
      <c r="A221" s="9"/>
      <c r="B221" s="9"/>
      <c r="C221" s="9"/>
      <c r="D221" s="43"/>
      <c r="E221" s="10"/>
      <c r="F221" s="9"/>
      <c r="G221" s="9"/>
      <c r="H221" s="9"/>
      <c r="I221" s="9"/>
      <c r="J221" s="9"/>
      <c r="K221" s="9"/>
      <c r="L221" s="9"/>
      <c r="M221" s="9"/>
      <c r="N221" s="9"/>
      <c r="O221" s="9"/>
      <c r="P221" s="9"/>
      <c r="Q221" s="9"/>
      <c r="R221" s="9"/>
      <c r="S221" s="9"/>
      <c r="T221" s="9"/>
      <c r="U221" s="9"/>
      <c r="V221" s="9"/>
      <c r="W221" s="9"/>
      <c r="X221" s="9"/>
      <c r="Y221" s="9"/>
      <c r="Z221" s="9"/>
    </row>
    <row r="222" spans="1:26" ht="16.5" customHeight="1">
      <c r="A222" s="9"/>
      <c r="B222" s="9"/>
      <c r="C222" s="9"/>
      <c r="D222" s="43"/>
      <c r="E222" s="10"/>
      <c r="F222" s="9"/>
      <c r="G222" s="9"/>
      <c r="H222" s="9"/>
      <c r="I222" s="9"/>
      <c r="J222" s="9"/>
      <c r="K222" s="9"/>
      <c r="L222" s="9"/>
      <c r="M222" s="9"/>
      <c r="N222" s="9"/>
      <c r="O222" s="9"/>
      <c r="P222" s="9"/>
      <c r="Q222" s="9"/>
      <c r="R222" s="9"/>
      <c r="S222" s="9"/>
      <c r="T222" s="9"/>
      <c r="U222" s="9"/>
      <c r="V222" s="9"/>
      <c r="W222" s="9"/>
      <c r="X222" s="9"/>
      <c r="Y222" s="9"/>
      <c r="Z222" s="9"/>
    </row>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D2"/>
    <mergeCell ref="A15:E1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17" sqref="B17"/>
    </sheetView>
  </sheetViews>
  <sheetFormatPr defaultColWidth="10.109375" defaultRowHeight="15" customHeight="1"/>
  <cols>
    <col min="1" max="1" width="5.33203125" customWidth="1"/>
    <col min="2" max="2" width="46.44140625" customWidth="1"/>
    <col min="3" max="3" width="27.21875" customWidth="1"/>
    <col min="4" max="4" width="23.21875" customWidth="1"/>
    <col min="5" max="5" width="24.6640625" customWidth="1"/>
    <col min="6" max="6" width="18.33203125" customWidth="1"/>
    <col min="7" max="7" width="8.109375" customWidth="1"/>
    <col min="8" max="26" width="2.44140625" customWidth="1"/>
  </cols>
  <sheetData>
    <row r="1" spans="1:26" ht="15.75" customHeight="1">
      <c r="A1" s="2"/>
      <c r="B1" s="2"/>
      <c r="C1" s="2"/>
      <c r="D1" s="2"/>
      <c r="E1" s="2"/>
      <c r="F1" s="45"/>
      <c r="G1" s="1"/>
      <c r="H1" s="1"/>
      <c r="I1" s="1"/>
      <c r="J1" s="1"/>
      <c r="K1" s="1"/>
      <c r="L1" s="1"/>
      <c r="M1" s="1"/>
      <c r="N1" s="1"/>
      <c r="O1" s="1"/>
      <c r="P1" s="1"/>
      <c r="Q1" s="1"/>
      <c r="R1" s="1"/>
      <c r="S1" s="1"/>
      <c r="T1" s="1"/>
      <c r="U1" s="1"/>
      <c r="V1" s="1"/>
      <c r="W1" s="1"/>
      <c r="X1" s="1"/>
      <c r="Y1" s="1"/>
      <c r="Z1" s="1"/>
    </row>
    <row r="2" spans="1:26" ht="15.75" customHeight="1">
      <c r="A2" s="346" t="s">
        <v>55</v>
      </c>
      <c r="B2" s="380"/>
      <c r="C2" s="380"/>
      <c r="D2" s="380"/>
      <c r="E2" s="380"/>
      <c r="F2" s="380"/>
      <c r="G2" s="380"/>
      <c r="H2" s="1"/>
      <c r="I2" s="1"/>
      <c r="J2" s="1"/>
      <c r="K2" s="1"/>
      <c r="L2" s="1"/>
      <c r="M2" s="1"/>
      <c r="N2" s="1"/>
      <c r="O2" s="1"/>
      <c r="P2" s="1"/>
      <c r="Q2" s="1"/>
      <c r="R2" s="1"/>
      <c r="S2" s="1"/>
      <c r="T2" s="1"/>
      <c r="U2" s="1"/>
      <c r="V2" s="1"/>
      <c r="W2" s="1"/>
      <c r="X2" s="1"/>
      <c r="Y2" s="1"/>
      <c r="Z2" s="1"/>
    </row>
    <row r="3" spans="1:26" ht="15.75" customHeight="1">
      <c r="A3" s="46"/>
      <c r="B3" s="46"/>
      <c r="C3" s="46"/>
      <c r="D3" s="46"/>
      <c r="E3" s="46"/>
      <c r="F3" s="46"/>
      <c r="G3" s="46"/>
      <c r="H3" s="1"/>
      <c r="I3" s="1"/>
      <c r="J3" s="1"/>
      <c r="K3" s="1"/>
      <c r="L3" s="1"/>
      <c r="M3" s="1"/>
      <c r="N3" s="1"/>
      <c r="O3" s="1"/>
      <c r="P3" s="1"/>
      <c r="Q3" s="1"/>
      <c r="R3" s="1"/>
      <c r="S3" s="1"/>
      <c r="T3" s="1"/>
      <c r="U3" s="1"/>
      <c r="V3" s="1"/>
      <c r="W3" s="1"/>
      <c r="X3" s="1"/>
      <c r="Y3" s="1"/>
      <c r="Z3" s="1"/>
    </row>
    <row r="4" spans="1:26" ht="15.75" customHeight="1">
      <c r="A4" s="47" t="s">
        <v>1</v>
      </c>
      <c r="B4" s="47" t="s">
        <v>56</v>
      </c>
      <c r="C4" s="47" t="s">
        <v>57</v>
      </c>
      <c r="D4" s="47" t="s">
        <v>58</v>
      </c>
      <c r="E4" s="47" t="s">
        <v>59</v>
      </c>
      <c r="F4" s="47" t="s">
        <v>60</v>
      </c>
      <c r="G4" s="48" t="s">
        <v>5</v>
      </c>
      <c r="H4" s="1"/>
      <c r="I4" s="1"/>
      <c r="J4" s="1"/>
      <c r="K4" s="1"/>
      <c r="L4" s="1"/>
      <c r="M4" s="1"/>
      <c r="N4" s="1"/>
      <c r="O4" s="1"/>
      <c r="P4" s="1"/>
      <c r="Q4" s="1"/>
      <c r="R4" s="1"/>
      <c r="S4" s="1"/>
      <c r="T4" s="1"/>
      <c r="U4" s="1"/>
      <c r="V4" s="1"/>
      <c r="W4" s="1"/>
      <c r="X4" s="1"/>
      <c r="Y4" s="1"/>
      <c r="Z4" s="1"/>
    </row>
    <row r="5" spans="1:26" ht="15.75" customHeight="1">
      <c r="A5" s="49">
        <v>1</v>
      </c>
      <c r="B5" s="50" t="s">
        <v>61</v>
      </c>
      <c r="C5" s="50" t="s">
        <v>62</v>
      </c>
      <c r="D5" s="49">
        <f t="shared" ref="D5:D6" si="0">COUNTIF(C15:C23,B5)</f>
        <v>2</v>
      </c>
      <c r="E5" s="49">
        <v>1</v>
      </c>
      <c r="F5" s="49">
        <f t="shared" ref="F5:F7" si="1">E5*D5</f>
        <v>2</v>
      </c>
      <c r="G5" s="6"/>
      <c r="H5" s="1"/>
      <c r="I5" s="1"/>
      <c r="J5" s="1"/>
      <c r="K5" s="1"/>
      <c r="L5" s="1"/>
      <c r="M5" s="1"/>
      <c r="N5" s="1"/>
      <c r="O5" s="1"/>
      <c r="P5" s="1"/>
      <c r="Q5" s="1"/>
      <c r="R5" s="1"/>
      <c r="S5" s="1"/>
      <c r="T5" s="1"/>
      <c r="U5" s="1"/>
      <c r="V5" s="1"/>
      <c r="W5" s="1"/>
      <c r="X5" s="1"/>
      <c r="Y5" s="1"/>
      <c r="Z5" s="1"/>
    </row>
    <row r="6" spans="1:26" ht="15.75" customHeight="1">
      <c r="A6" s="49">
        <v>2</v>
      </c>
      <c r="B6" s="50" t="s">
        <v>63</v>
      </c>
      <c r="C6" s="50" t="s">
        <v>64</v>
      </c>
      <c r="D6" s="49">
        <f t="shared" si="0"/>
        <v>0</v>
      </c>
      <c r="E6" s="49">
        <v>2</v>
      </c>
      <c r="F6" s="49">
        <f t="shared" si="1"/>
        <v>0</v>
      </c>
      <c r="G6" s="6"/>
      <c r="H6" s="1"/>
      <c r="I6" s="1"/>
      <c r="J6" s="1"/>
      <c r="K6" s="1"/>
      <c r="L6" s="1"/>
      <c r="M6" s="1"/>
      <c r="N6" s="1"/>
      <c r="O6" s="1"/>
      <c r="P6" s="1"/>
      <c r="Q6" s="1"/>
      <c r="R6" s="1"/>
      <c r="S6" s="1"/>
      <c r="T6" s="1"/>
      <c r="U6" s="1"/>
      <c r="V6" s="1"/>
      <c r="W6" s="1"/>
      <c r="X6" s="1"/>
      <c r="Y6" s="1"/>
      <c r="Z6" s="1"/>
    </row>
    <row r="7" spans="1:26" ht="15.75" customHeight="1">
      <c r="A7" s="49">
        <v>3</v>
      </c>
      <c r="B7" s="50" t="s">
        <v>65</v>
      </c>
      <c r="C7" s="50" t="s">
        <v>66</v>
      </c>
      <c r="D7" s="49">
        <f>COUNTIF(C15:C25,B7)</f>
        <v>5</v>
      </c>
      <c r="E7" s="49">
        <v>3</v>
      </c>
      <c r="F7" s="49">
        <f t="shared" si="1"/>
        <v>15</v>
      </c>
      <c r="G7" s="6"/>
      <c r="H7" s="1"/>
      <c r="I7" s="1"/>
      <c r="J7" s="1"/>
      <c r="K7" s="1"/>
      <c r="L7" s="1"/>
      <c r="M7" s="1"/>
      <c r="N7" s="1"/>
      <c r="O7" s="1"/>
      <c r="P7" s="1"/>
      <c r="Q7" s="1"/>
      <c r="R7" s="1"/>
      <c r="S7" s="1"/>
      <c r="T7" s="1"/>
      <c r="U7" s="1"/>
      <c r="V7" s="1"/>
      <c r="W7" s="1"/>
      <c r="X7" s="1"/>
      <c r="Y7" s="1"/>
      <c r="Z7" s="1"/>
    </row>
    <row r="8" spans="1:26" ht="15.75" customHeight="1">
      <c r="A8" s="49">
        <v>4</v>
      </c>
      <c r="B8" s="51" t="s">
        <v>67</v>
      </c>
      <c r="C8" s="52" t="s">
        <v>9</v>
      </c>
      <c r="D8" s="49"/>
      <c r="E8" s="49"/>
      <c r="F8" s="49">
        <f>SUM(F5:F7)</f>
        <v>17</v>
      </c>
      <c r="G8" s="6"/>
      <c r="H8" s="1"/>
      <c r="I8" s="1"/>
      <c r="J8" s="1"/>
      <c r="K8" s="1"/>
      <c r="L8" s="1"/>
      <c r="M8" s="1"/>
      <c r="N8" s="1"/>
      <c r="O8" s="1"/>
      <c r="P8" s="1"/>
      <c r="Q8" s="1"/>
      <c r="R8" s="1"/>
      <c r="S8" s="1"/>
      <c r="T8" s="1"/>
      <c r="U8" s="1"/>
      <c r="V8" s="1"/>
      <c r="W8" s="1"/>
      <c r="X8" s="1"/>
      <c r="Y8" s="1"/>
      <c r="Z8" s="1"/>
    </row>
    <row r="9" spans="1:26" ht="15.75" customHeight="1">
      <c r="A9" s="347" t="s">
        <v>68</v>
      </c>
      <c r="B9" s="380"/>
      <c r="C9" s="380"/>
      <c r="D9" s="380"/>
      <c r="E9" s="380"/>
      <c r="F9" s="380"/>
      <c r="G9" s="380"/>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343" t="s">
        <v>69</v>
      </c>
      <c r="B12" s="380"/>
      <c r="C12" s="380"/>
      <c r="D12" s="380"/>
      <c r="E12" s="1"/>
      <c r="F12" s="1"/>
      <c r="G12" s="1"/>
      <c r="H12" s="1"/>
      <c r="I12" s="1"/>
      <c r="J12" s="1"/>
      <c r="K12" s="1"/>
      <c r="L12" s="1"/>
      <c r="M12" s="1"/>
      <c r="N12" s="1"/>
      <c r="O12" s="1"/>
      <c r="P12" s="1"/>
      <c r="Q12" s="1"/>
      <c r="R12" s="1"/>
      <c r="S12" s="1"/>
      <c r="T12" s="1"/>
      <c r="U12" s="1"/>
      <c r="V12" s="1"/>
      <c r="W12" s="1"/>
      <c r="X12" s="1"/>
      <c r="Y12" s="1"/>
      <c r="Z12" s="1"/>
    </row>
    <row r="13" spans="1:26" ht="15.75" customHeight="1">
      <c r="A13" s="8"/>
      <c r="B13" s="8"/>
      <c r="C13" s="8"/>
      <c r="D13" s="8"/>
      <c r="E13" s="1"/>
      <c r="F13" s="1"/>
      <c r="G13" s="1"/>
      <c r="H13" s="1"/>
      <c r="I13" s="1"/>
      <c r="J13" s="1"/>
      <c r="K13" s="1"/>
      <c r="L13" s="1"/>
      <c r="M13" s="1"/>
      <c r="N13" s="1"/>
      <c r="O13" s="1"/>
      <c r="P13" s="1"/>
      <c r="Q13" s="1"/>
      <c r="R13" s="1"/>
      <c r="S13" s="1"/>
      <c r="T13" s="1"/>
      <c r="U13" s="1"/>
      <c r="V13" s="1"/>
      <c r="W13" s="1"/>
      <c r="X13" s="1"/>
      <c r="Y13" s="1"/>
      <c r="Z13" s="1"/>
    </row>
    <row r="14" spans="1:26" ht="15.75" customHeight="1">
      <c r="A14" s="296" t="s">
        <v>1</v>
      </c>
      <c r="B14" s="296" t="s">
        <v>70</v>
      </c>
      <c r="C14" s="296" t="s">
        <v>71</v>
      </c>
      <c r="D14" s="296" t="s">
        <v>57</v>
      </c>
      <c r="E14" s="296"/>
      <c r="F14" s="1"/>
      <c r="G14" s="1"/>
      <c r="H14" s="1"/>
      <c r="I14" s="1"/>
      <c r="J14" s="1"/>
      <c r="K14" s="1"/>
      <c r="L14" s="1"/>
      <c r="M14" s="1"/>
      <c r="N14" s="1"/>
      <c r="O14" s="1"/>
      <c r="P14" s="1"/>
      <c r="Q14" s="1"/>
      <c r="R14" s="1"/>
      <c r="S14" s="1"/>
      <c r="T14" s="1"/>
      <c r="U14" s="1"/>
      <c r="V14" s="1"/>
      <c r="W14" s="1"/>
      <c r="X14" s="1"/>
      <c r="Y14" s="1"/>
      <c r="Z14" s="1"/>
    </row>
    <row r="15" spans="1:26" ht="67.900000000000006">
      <c r="A15" s="54">
        <v>1</v>
      </c>
      <c r="B15" s="54" t="s">
        <v>72</v>
      </c>
      <c r="C15" s="54" t="s">
        <v>65</v>
      </c>
      <c r="D15" s="55" t="s">
        <v>73</v>
      </c>
      <c r="E15" s="55"/>
      <c r="F15" s="1"/>
      <c r="G15" s="1"/>
      <c r="H15" s="1"/>
      <c r="I15" s="1"/>
      <c r="J15" s="1"/>
      <c r="K15" s="1"/>
      <c r="L15" s="1"/>
      <c r="M15" s="1"/>
      <c r="N15" s="1"/>
      <c r="O15" s="1"/>
      <c r="P15" s="1"/>
      <c r="Q15" s="1"/>
      <c r="R15" s="1"/>
      <c r="S15" s="1"/>
      <c r="T15" s="1"/>
      <c r="U15" s="1"/>
      <c r="V15" s="1"/>
      <c r="W15" s="1"/>
      <c r="X15" s="1"/>
      <c r="Y15" s="1"/>
      <c r="Z15" s="1"/>
    </row>
    <row r="16" spans="1:26" ht="84.6">
      <c r="A16" s="54">
        <v>2</v>
      </c>
      <c r="B16" s="10" t="s">
        <v>74</v>
      </c>
      <c r="C16" s="54" t="s">
        <v>65</v>
      </c>
      <c r="D16" s="55" t="s">
        <v>75</v>
      </c>
      <c r="E16" s="55"/>
      <c r="F16" s="1"/>
      <c r="G16" s="1"/>
      <c r="H16" s="1"/>
      <c r="I16" s="1"/>
      <c r="J16" s="1"/>
      <c r="K16" s="1"/>
      <c r="L16" s="1"/>
      <c r="M16" s="1"/>
      <c r="N16" s="1"/>
      <c r="O16" s="1"/>
      <c r="P16" s="1"/>
      <c r="Q16" s="1"/>
      <c r="R16" s="1"/>
      <c r="S16" s="1"/>
      <c r="T16" s="1"/>
      <c r="U16" s="1"/>
      <c r="V16" s="1"/>
      <c r="W16" s="1"/>
      <c r="X16" s="1"/>
      <c r="Y16" s="1"/>
      <c r="Z16" s="1"/>
    </row>
    <row r="17" spans="1:26" ht="101.45">
      <c r="A17" s="54">
        <v>3</v>
      </c>
      <c r="B17" s="10" t="s">
        <v>76</v>
      </c>
      <c r="C17" s="54" t="s">
        <v>61</v>
      </c>
      <c r="D17" s="55" t="s">
        <v>77</v>
      </c>
      <c r="E17" s="55"/>
      <c r="F17" s="1"/>
      <c r="G17" s="1"/>
      <c r="H17" s="1"/>
      <c r="I17" s="1"/>
      <c r="J17" s="1"/>
      <c r="K17" s="1"/>
      <c r="L17" s="1"/>
      <c r="M17" s="1"/>
      <c r="N17" s="1"/>
      <c r="O17" s="1"/>
      <c r="P17" s="1"/>
      <c r="Q17" s="1"/>
      <c r="R17" s="1"/>
      <c r="S17" s="1"/>
      <c r="T17" s="1"/>
      <c r="U17" s="1"/>
      <c r="V17" s="1"/>
      <c r="W17" s="1"/>
      <c r="X17" s="1"/>
      <c r="Y17" s="1"/>
      <c r="Z17" s="1"/>
    </row>
    <row r="18" spans="1:26" ht="101.45">
      <c r="A18" s="54">
        <v>4</v>
      </c>
      <c r="B18" s="10" t="s">
        <v>78</v>
      </c>
      <c r="C18" s="54" t="s">
        <v>61</v>
      </c>
      <c r="D18" s="55" t="s">
        <v>79</v>
      </c>
      <c r="E18" s="55"/>
      <c r="F18" s="1"/>
      <c r="G18" s="1"/>
      <c r="H18" s="1"/>
      <c r="I18" s="1"/>
      <c r="J18" s="1"/>
      <c r="K18" s="1"/>
      <c r="L18" s="1"/>
      <c r="M18" s="1"/>
      <c r="N18" s="1"/>
      <c r="O18" s="1"/>
      <c r="P18" s="1"/>
      <c r="Q18" s="1"/>
      <c r="R18" s="1"/>
      <c r="S18" s="1"/>
      <c r="T18" s="1"/>
      <c r="U18" s="1"/>
      <c r="V18" s="1"/>
      <c r="W18" s="1"/>
      <c r="X18" s="1"/>
      <c r="Y18" s="1"/>
      <c r="Z18" s="1"/>
    </row>
    <row r="19" spans="1:26" ht="15.75" customHeight="1">
      <c r="A19" s="54">
        <v>5</v>
      </c>
      <c r="B19" s="10" t="s">
        <v>80</v>
      </c>
      <c r="C19" s="54" t="s">
        <v>65</v>
      </c>
      <c r="D19" s="55" t="s">
        <v>81</v>
      </c>
      <c r="E19" s="55"/>
      <c r="F19" s="1"/>
      <c r="G19" s="1"/>
      <c r="H19" s="1"/>
      <c r="I19" s="1"/>
      <c r="J19" s="1"/>
      <c r="K19" s="1"/>
      <c r="L19" s="1"/>
      <c r="M19" s="1"/>
      <c r="N19" s="1"/>
      <c r="O19" s="1"/>
      <c r="P19" s="1"/>
      <c r="Q19" s="1"/>
      <c r="R19" s="1"/>
      <c r="S19" s="1"/>
      <c r="T19" s="1"/>
      <c r="U19" s="1"/>
      <c r="V19" s="1"/>
      <c r="W19" s="1"/>
      <c r="X19" s="1"/>
      <c r="Y19" s="1"/>
      <c r="Z19" s="1"/>
    </row>
    <row r="20" spans="1:26" ht="15.75" customHeight="1">
      <c r="A20" s="54">
        <v>6</v>
      </c>
      <c r="B20" s="10" t="s">
        <v>82</v>
      </c>
      <c r="C20" s="54" t="s">
        <v>65</v>
      </c>
      <c r="D20" s="55" t="s">
        <v>83</v>
      </c>
      <c r="E20" s="55"/>
      <c r="F20" s="1"/>
      <c r="G20" s="1"/>
      <c r="H20" s="1"/>
      <c r="I20" s="1"/>
      <c r="J20" s="1"/>
      <c r="K20" s="1"/>
      <c r="L20" s="1"/>
      <c r="M20" s="1"/>
      <c r="N20" s="1"/>
      <c r="O20" s="1"/>
      <c r="P20" s="1"/>
      <c r="Q20" s="1"/>
      <c r="R20" s="1"/>
      <c r="S20" s="1"/>
      <c r="T20" s="1"/>
      <c r="U20" s="1"/>
      <c r="V20" s="1"/>
      <c r="W20" s="1"/>
      <c r="X20" s="1"/>
      <c r="Y20" s="1"/>
      <c r="Z20" s="1"/>
    </row>
    <row r="21" spans="1:26" ht="15.75" customHeight="1">
      <c r="A21" s="54">
        <v>7</v>
      </c>
      <c r="B21" s="10" t="s">
        <v>84</v>
      </c>
      <c r="C21" s="54" t="s">
        <v>65</v>
      </c>
      <c r="D21" s="55" t="s">
        <v>85</v>
      </c>
      <c r="E21" s="55"/>
      <c r="F21" s="1"/>
      <c r="G21" s="1"/>
      <c r="H21" s="1"/>
      <c r="I21" s="1"/>
      <c r="J21" s="1"/>
      <c r="K21" s="1"/>
      <c r="L21" s="1"/>
      <c r="M21" s="1"/>
      <c r="N21" s="1"/>
      <c r="O21" s="1"/>
      <c r="P21" s="1"/>
      <c r="Q21" s="1"/>
      <c r="R21" s="1"/>
      <c r="S21" s="1"/>
      <c r="T21" s="1"/>
      <c r="U21" s="1"/>
      <c r="V21" s="1"/>
      <c r="W21" s="1"/>
      <c r="X21" s="1"/>
      <c r="Y21" s="1"/>
      <c r="Z21" s="1"/>
    </row>
    <row r="22" spans="1:26" ht="15.75" customHeight="1">
      <c r="A22" s="49"/>
      <c r="B22" s="56"/>
      <c r="C22" s="50"/>
      <c r="D22" s="49"/>
      <c r="E22" s="50"/>
      <c r="F22" s="1"/>
      <c r="G22" s="1"/>
      <c r="H22" s="1"/>
      <c r="I22" s="1"/>
      <c r="J22" s="1"/>
      <c r="K22" s="1"/>
      <c r="L22" s="1"/>
      <c r="M22" s="1"/>
      <c r="N22" s="1"/>
      <c r="O22" s="1"/>
      <c r="P22" s="1"/>
      <c r="Q22" s="1"/>
      <c r="R22" s="1"/>
      <c r="S22" s="1"/>
      <c r="T22" s="1"/>
      <c r="U22" s="1"/>
      <c r="V22" s="1"/>
      <c r="W22" s="1"/>
      <c r="X22" s="1"/>
      <c r="Y22" s="1"/>
      <c r="Z22" s="1"/>
    </row>
    <row r="23" spans="1:26" ht="15" customHeight="1">
      <c r="A23" s="49"/>
      <c r="B23" s="56"/>
      <c r="C23" s="50"/>
      <c r="D23" s="49"/>
      <c r="E23" s="50"/>
      <c r="F23" s="1"/>
      <c r="G23" s="1"/>
      <c r="H23" s="1"/>
      <c r="I23" s="1"/>
      <c r="J23" s="1"/>
      <c r="K23" s="1"/>
      <c r="L23" s="1"/>
      <c r="M23" s="1"/>
      <c r="N23" s="1"/>
      <c r="O23" s="1"/>
      <c r="P23" s="1"/>
      <c r="Q23" s="1"/>
      <c r="R23" s="1"/>
      <c r="S23" s="1"/>
      <c r="T23" s="1"/>
      <c r="U23" s="1"/>
      <c r="V23" s="1"/>
      <c r="W23" s="1"/>
      <c r="X23" s="1"/>
      <c r="Y23" s="1"/>
      <c r="Z23" s="1"/>
    </row>
    <row r="24" spans="1:26" ht="15.75" customHeight="1">
      <c r="A24" s="1"/>
      <c r="B24" s="1" t="s">
        <v>5</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t="s">
        <v>86</v>
      </c>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1"/>
      <c r="B26" s="57" t="s">
        <v>87</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t="s">
        <v>88</v>
      </c>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G2"/>
    <mergeCell ref="A9:G9"/>
    <mergeCell ref="A12:D1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0.109375" defaultRowHeight="15" customHeight="1"/>
  <cols>
    <col min="1" max="1" width="5.77734375" customWidth="1"/>
    <col min="2" max="2" width="18.21875" customWidth="1"/>
    <col min="3" max="3" width="12" customWidth="1"/>
    <col min="4" max="4" width="11" customWidth="1"/>
    <col min="5" max="5" width="19.6640625" customWidth="1"/>
    <col min="6" max="6" width="13" customWidth="1"/>
    <col min="7" max="7" width="29.77734375" customWidth="1"/>
    <col min="8" max="26" width="6.109375" customWidth="1"/>
  </cols>
  <sheetData>
    <row r="1" spans="1:26" ht="19.5" customHeight="1">
      <c r="A1" s="348"/>
      <c r="B1" s="380"/>
      <c r="C1" s="380"/>
      <c r="D1" s="380"/>
      <c r="E1" s="380"/>
      <c r="F1" s="380"/>
      <c r="G1" s="380"/>
      <c r="H1" s="1"/>
      <c r="I1" s="1"/>
      <c r="J1" s="1"/>
      <c r="K1" s="1"/>
      <c r="L1" s="1"/>
      <c r="M1" s="1"/>
      <c r="N1" s="1"/>
      <c r="O1" s="1"/>
      <c r="P1" s="1"/>
      <c r="Q1" s="1"/>
      <c r="R1" s="1"/>
      <c r="S1" s="1"/>
      <c r="T1" s="1"/>
      <c r="U1" s="1"/>
      <c r="V1" s="1"/>
      <c r="W1" s="1"/>
      <c r="X1" s="1"/>
      <c r="Y1" s="1"/>
      <c r="Z1" s="1"/>
    </row>
    <row r="2" spans="1:26" ht="19.5" customHeight="1">
      <c r="A2" s="349" t="s">
        <v>89</v>
      </c>
      <c r="B2" s="380"/>
      <c r="C2" s="380"/>
      <c r="D2" s="380"/>
      <c r="E2" s="380"/>
      <c r="F2" s="380"/>
      <c r="G2" s="380"/>
      <c r="H2" s="1"/>
      <c r="I2" s="1"/>
      <c r="J2" s="1"/>
      <c r="K2" s="1"/>
      <c r="L2" s="1"/>
      <c r="M2" s="1"/>
      <c r="N2" s="1"/>
      <c r="O2" s="1"/>
      <c r="P2" s="1"/>
      <c r="Q2" s="1"/>
      <c r="R2" s="1"/>
      <c r="S2" s="1"/>
      <c r="T2" s="1"/>
      <c r="U2" s="1"/>
      <c r="V2" s="1"/>
      <c r="W2" s="1"/>
      <c r="X2" s="1"/>
      <c r="Y2" s="1"/>
      <c r="Z2" s="1"/>
    </row>
    <row r="3" spans="1:26" ht="29.25" customHeight="1">
      <c r="A3" s="58" t="s">
        <v>6</v>
      </c>
      <c r="B3" s="59"/>
      <c r="C3" s="59"/>
      <c r="D3" s="59"/>
      <c r="E3" s="59"/>
      <c r="F3" s="59"/>
      <c r="G3" s="59"/>
      <c r="H3" s="1"/>
      <c r="I3" s="1"/>
      <c r="J3" s="1"/>
      <c r="K3" s="1"/>
      <c r="L3" s="1"/>
      <c r="M3" s="1"/>
      <c r="N3" s="1"/>
      <c r="O3" s="1"/>
      <c r="P3" s="1"/>
      <c r="Q3" s="1"/>
      <c r="R3" s="1"/>
      <c r="S3" s="1"/>
      <c r="T3" s="1"/>
      <c r="U3" s="1"/>
      <c r="V3" s="1"/>
      <c r="W3" s="1"/>
      <c r="X3" s="1"/>
      <c r="Y3" s="1"/>
      <c r="Z3" s="1"/>
    </row>
    <row r="4" spans="1:26" ht="18" customHeight="1">
      <c r="A4" s="48" t="s">
        <v>1</v>
      </c>
      <c r="B4" s="47" t="s">
        <v>90</v>
      </c>
      <c r="C4" s="47" t="s">
        <v>91</v>
      </c>
      <c r="D4" s="47" t="s">
        <v>92</v>
      </c>
      <c r="E4" s="47" t="s">
        <v>93</v>
      </c>
      <c r="F4" s="47" t="s">
        <v>94</v>
      </c>
      <c r="G4" s="47" t="s">
        <v>57</v>
      </c>
      <c r="H4" s="60"/>
      <c r="I4" s="60"/>
      <c r="J4" s="60"/>
      <c r="K4" s="60"/>
      <c r="L4" s="60"/>
      <c r="M4" s="60"/>
      <c r="N4" s="60"/>
      <c r="O4" s="60"/>
      <c r="P4" s="60"/>
      <c r="Q4" s="60"/>
      <c r="R4" s="60"/>
      <c r="S4" s="60"/>
      <c r="T4" s="60"/>
      <c r="U4" s="60"/>
      <c r="V4" s="60"/>
      <c r="W4" s="60"/>
      <c r="X4" s="60"/>
      <c r="Y4" s="60"/>
      <c r="Z4" s="60"/>
    </row>
    <row r="5" spans="1:26" ht="19.5" customHeight="1">
      <c r="A5" s="61">
        <v>1</v>
      </c>
      <c r="B5" s="52" t="s">
        <v>95</v>
      </c>
      <c r="C5" s="62"/>
      <c r="D5" s="62"/>
      <c r="E5" s="52"/>
      <c r="F5" s="52"/>
      <c r="G5" s="63" t="s">
        <v>96</v>
      </c>
      <c r="H5" s="1"/>
      <c r="I5" s="1"/>
      <c r="J5" s="1"/>
      <c r="K5" s="1"/>
      <c r="L5" s="1"/>
      <c r="M5" s="1"/>
      <c r="N5" s="1"/>
      <c r="O5" s="1"/>
      <c r="P5" s="1"/>
      <c r="Q5" s="1"/>
      <c r="R5" s="1"/>
      <c r="S5" s="1"/>
      <c r="T5" s="1"/>
      <c r="U5" s="1"/>
      <c r="V5" s="1"/>
      <c r="W5" s="1"/>
      <c r="X5" s="1"/>
      <c r="Y5" s="1"/>
      <c r="Z5" s="1"/>
    </row>
    <row r="6" spans="1:26" ht="19.5" customHeight="1">
      <c r="A6" s="64"/>
      <c r="B6" s="65" t="s">
        <v>97</v>
      </c>
      <c r="C6" s="66">
        <f t="shared" ref="C6:C8" si="0">VLOOKUP(B6,$E$22:$F$24,2,0)</f>
        <v>5</v>
      </c>
      <c r="D6" s="66">
        <v>1</v>
      </c>
      <c r="E6" s="49">
        <f>UseCase!L1</f>
        <v>163</v>
      </c>
      <c r="F6" s="49">
        <f>E6*5*1</f>
        <v>815</v>
      </c>
      <c r="G6" s="67" t="s">
        <v>98</v>
      </c>
      <c r="H6" s="1"/>
      <c r="I6" s="1"/>
      <c r="J6" s="1"/>
      <c r="K6" s="1"/>
      <c r="L6" s="1"/>
      <c r="M6" s="1"/>
      <c r="N6" s="1"/>
      <c r="O6" s="1"/>
      <c r="P6" s="1"/>
      <c r="Q6" s="1"/>
      <c r="R6" s="1"/>
      <c r="S6" s="1"/>
      <c r="T6" s="1"/>
      <c r="U6" s="1"/>
      <c r="V6" s="1"/>
      <c r="W6" s="1"/>
      <c r="X6" s="1"/>
      <c r="Y6" s="1"/>
      <c r="Z6" s="1"/>
    </row>
    <row r="7" spans="1:26" ht="19.5" customHeight="1">
      <c r="A7" s="64"/>
      <c r="B7" s="65" t="s">
        <v>99</v>
      </c>
      <c r="C7" s="66">
        <f t="shared" si="0"/>
        <v>10</v>
      </c>
      <c r="D7" s="66">
        <v>1</v>
      </c>
      <c r="E7" s="49">
        <f>UseCase!L2</f>
        <v>53</v>
      </c>
      <c r="F7" s="49">
        <f>E7*10*1</f>
        <v>530</v>
      </c>
      <c r="G7" s="67" t="s">
        <v>100</v>
      </c>
      <c r="H7" s="1"/>
      <c r="I7" s="1"/>
      <c r="J7" s="1"/>
      <c r="K7" s="1"/>
      <c r="L7" s="1"/>
      <c r="M7" s="1"/>
      <c r="N7" s="1"/>
      <c r="O7" s="1"/>
      <c r="P7" s="1"/>
      <c r="Q7" s="1"/>
      <c r="R7" s="1"/>
      <c r="S7" s="1"/>
      <c r="T7" s="1"/>
      <c r="U7" s="1"/>
      <c r="V7" s="1"/>
      <c r="W7" s="1"/>
      <c r="X7" s="1"/>
      <c r="Y7" s="1"/>
      <c r="Z7" s="1"/>
    </row>
    <row r="8" spans="1:26" ht="19.5" customHeight="1">
      <c r="A8" s="64"/>
      <c r="B8" s="65" t="s">
        <v>101</v>
      </c>
      <c r="C8" s="66">
        <f t="shared" si="0"/>
        <v>15</v>
      </c>
      <c r="D8" s="66">
        <v>1</v>
      </c>
      <c r="E8" s="49">
        <f>UseCase!L3</f>
        <v>25</v>
      </c>
      <c r="F8" s="49">
        <f>E8*15*1</f>
        <v>375</v>
      </c>
      <c r="G8" s="67" t="s">
        <v>102</v>
      </c>
      <c r="H8" s="1"/>
      <c r="I8" s="1"/>
      <c r="J8" s="1"/>
      <c r="K8" s="1"/>
      <c r="L8" s="1"/>
      <c r="M8" s="1"/>
      <c r="N8" s="1"/>
      <c r="O8" s="1"/>
      <c r="P8" s="1"/>
      <c r="Q8" s="1"/>
      <c r="R8" s="1"/>
      <c r="S8" s="1"/>
      <c r="T8" s="1"/>
      <c r="U8" s="1"/>
      <c r="V8" s="1"/>
      <c r="W8" s="1"/>
      <c r="X8" s="1"/>
      <c r="Y8" s="1"/>
      <c r="Z8" s="1"/>
    </row>
    <row r="9" spans="1:26" ht="19.5" customHeight="1">
      <c r="A9" s="61">
        <v>2</v>
      </c>
      <c r="B9" s="52" t="s">
        <v>103</v>
      </c>
      <c r="C9" s="62"/>
      <c r="D9" s="62"/>
      <c r="E9" s="49"/>
      <c r="F9" s="49">
        <f>SUM(F10:F12)</f>
        <v>0</v>
      </c>
      <c r="G9" s="63" t="s">
        <v>104</v>
      </c>
      <c r="H9" s="1"/>
      <c r="I9" s="1"/>
      <c r="J9" s="1"/>
      <c r="K9" s="1"/>
      <c r="L9" s="1"/>
      <c r="M9" s="1"/>
      <c r="N9" s="1"/>
      <c r="O9" s="1"/>
      <c r="P9" s="1"/>
      <c r="Q9" s="1"/>
      <c r="R9" s="1"/>
      <c r="S9" s="1"/>
      <c r="T9" s="1"/>
      <c r="U9" s="1"/>
      <c r="V9" s="1"/>
      <c r="W9" s="1"/>
      <c r="X9" s="1"/>
      <c r="Y9" s="1"/>
      <c r="Z9" s="1"/>
    </row>
    <row r="10" spans="1:26" ht="19.5" customHeight="1">
      <c r="A10" s="61"/>
      <c r="B10" s="65" t="s">
        <v>97</v>
      </c>
      <c r="C10" s="66">
        <f t="shared" ref="C10:C12" si="1">VLOOKUP(B10,$E$22:$F$24,2,0)</f>
        <v>5</v>
      </c>
      <c r="D10" s="66">
        <v>1.2</v>
      </c>
      <c r="E10" s="49"/>
      <c r="F10" s="49">
        <f>E10*5*1.2</f>
        <v>0</v>
      </c>
      <c r="G10" s="67" t="s">
        <v>98</v>
      </c>
      <c r="H10" s="1"/>
      <c r="I10" s="1"/>
      <c r="J10" s="1"/>
      <c r="K10" s="1"/>
      <c r="L10" s="1"/>
      <c r="M10" s="1"/>
      <c r="N10" s="1"/>
      <c r="O10" s="1"/>
      <c r="P10" s="1"/>
      <c r="Q10" s="1"/>
      <c r="R10" s="1"/>
      <c r="S10" s="1"/>
      <c r="T10" s="1"/>
      <c r="U10" s="1"/>
      <c r="V10" s="1"/>
      <c r="W10" s="1"/>
      <c r="X10" s="1"/>
      <c r="Y10" s="1"/>
      <c r="Z10" s="1"/>
    </row>
    <row r="11" spans="1:26" ht="19.5" customHeight="1">
      <c r="A11" s="61"/>
      <c r="B11" s="65" t="s">
        <v>99</v>
      </c>
      <c r="C11" s="66">
        <f t="shared" si="1"/>
        <v>10</v>
      </c>
      <c r="D11" s="66">
        <v>1.2</v>
      </c>
      <c r="E11" s="49"/>
      <c r="F11" s="49">
        <f>E11*10*1.2</f>
        <v>0</v>
      </c>
      <c r="G11" s="67" t="s">
        <v>100</v>
      </c>
      <c r="H11" s="1"/>
      <c r="I11" s="1"/>
      <c r="J11" s="1"/>
      <c r="K11" s="1"/>
      <c r="L11" s="1"/>
      <c r="M11" s="1"/>
      <c r="N11" s="1"/>
      <c r="O11" s="1"/>
      <c r="P11" s="1"/>
      <c r="Q11" s="1"/>
      <c r="R11" s="1"/>
      <c r="S11" s="1"/>
      <c r="T11" s="1"/>
      <c r="U11" s="1"/>
      <c r="V11" s="1"/>
      <c r="W11" s="1"/>
      <c r="X11" s="1"/>
      <c r="Y11" s="1"/>
      <c r="Z11" s="1"/>
    </row>
    <row r="12" spans="1:26" ht="19.5" customHeight="1">
      <c r="A12" s="61"/>
      <c r="B12" s="65" t="s">
        <v>101</v>
      </c>
      <c r="C12" s="66">
        <f t="shared" si="1"/>
        <v>15</v>
      </c>
      <c r="D12" s="66">
        <v>1.2</v>
      </c>
      <c r="E12" s="49"/>
      <c r="F12" s="49">
        <f>E12*15*1.2</f>
        <v>0</v>
      </c>
      <c r="G12" s="67" t="s">
        <v>102</v>
      </c>
      <c r="H12" s="1"/>
      <c r="I12" s="1"/>
      <c r="J12" s="1"/>
      <c r="K12" s="1"/>
      <c r="L12" s="1"/>
      <c r="M12" s="1"/>
      <c r="N12" s="1"/>
      <c r="O12" s="1"/>
      <c r="P12" s="1"/>
      <c r="Q12" s="1"/>
      <c r="R12" s="1"/>
      <c r="S12" s="1"/>
      <c r="T12" s="1"/>
      <c r="U12" s="1"/>
      <c r="V12" s="1"/>
      <c r="W12" s="1"/>
      <c r="X12" s="1"/>
      <c r="Y12" s="1"/>
      <c r="Z12" s="1"/>
    </row>
    <row r="13" spans="1:26" ht="51" customHeight="1">
      <c r="A13" s="61">
        <v>3</v>
      </c>
      <c r="B13" s="52" t="s">
        <v>105</v>
      </c>
      <c r="C13" s="62"/>
      <c r="D13" s="62"/>
      <c r="E13" s="49"/>
      <c r="F13" s="49">
        <f>SUM(F14:F16)</f>
        <v>0</v>
      </c>
      <c r="G13" s="63" t="s">
        <v>106</v>
      </c>
      <c r="H13" s="1"/>
      <c r="I13" s="1"/>
      <c r="J13" s="1"/>
      <c r="K13" s="1"/>
      <c r="L13" s="1"/>
      <c r="M13" s="1"/>
      <c r="N13" s="1"/>
      <c r="O13" s="1"/>
      <c r="P13" s="1"/>
      <c r="Q13" s="1"/>
      <c r="R13" s="1"/>
      <c r="S13" s="1"/>
      <c r="T13" s="1"/>
      <c r="U13" s="1"/>
      <c r="V13" s="1"/>
      <c r="W13" s="1"/>
      <c r="X13" s="1"/>
      <c r="Y13" s="1"/>
      <c r="Z13" s="1"/>
    </row>
    <row r="14" spans="1:26" ht="19.5" customHeight="1">
      <c r="A14" s="61"/>
      <c r="B14" s="65" t="s">
        <v>97</v>
      </c>
      <c r="C14" s="66">
        <f t="shared" ref="C14:C16" si="2">VLOOKUP(B14,$E$22:$F$24,2,0)</f>
        <v>5</v>
      </c>
      <c r="D14" s="66">
        <v>1.5</v>
      </c>
      <c r="E14" s="49"/>
      <c r="F14" s="49">
        <f>E14*5*1.5</f>
        <v>0</v>
      </c>
      <c r="G14" s="67" t="s">
        <v>98</v>
      </c>
      <c r="H14" s="1"/>
      <c r="I14" s="1"/>
      <c r="J14" s="1"/>
      <c r="K14" s="1"/>
      <c r="L14" s="1"/>
      <c r="M14" s="1"/>
      <c r="N14" s="1"/>
      <c r="O14" s="1"/>
      <c r="P14" s="1"/>
      <c r="Q14" s="1"/>
      <c r="R14" s="1"/>
      <c r="S14" s="1"/>
      <c r="T14" s="1"/>
      <c r="U14" s="1"/>
      <c r="V14" s="1"/>
      <c r="W14" s="1"/>
      <c r="X14" s="1"/>
      <c r="Y14" s="1"/>
      <c r="Z14" s="1"/>
    </row>
    <row r="15" spans="1:26" ht="19.5" customHeight="1">
      <c r="A15" s="61"/>
      <c r="B15" s="65" t="s">
        <v>99</v>
      </c>
      <c r="C15" s="66">
        <f t="shared" si="2"/>
        <v>10</v>
      </c>
      <c r="D15" s="66">
        <v>1.5</v>
      </c>
      <c r="E15" s="49"/>
      <c r="F15" s="49">
        <f>E15*10*1.5</f>
        <v>0</v>
      </c>
      <c r="G15" s="67" t="s">
        <v>100</v>
      </c>
      <c r="H15" s="1"/>
      <c r="I15" s="1"/>
      <c r="J15" s="1"/>
      <c r="K15" s="1"/>
      <c r="L15" s="1"/>
      <c r="M15" s="1"/>
      <c r="N15" s="1"/>
      <c r="O15" s="1"/>
      <c r="P15" s="1"/>
      <c r="Q15" s="1"/>
      <c r="R15" s="1"/>
      <c r="S15" s="1"/>
      <c r="T15" s="1"/>
      <c r="U15" s="1"/>
      <c r="V15" s="1"/>
      <c r="W15" s="1"/>
      <c r="X15" s="1"/>
      <c r="Y15" s="1"/>
      <c r="Z15" s="1"/>
    </row>
    <row r="16" spans="1:26" ht="19.5" customHeight="1">
      <c r="A16" s="61"/>
      <c r="B16" s="65" t="s">
        <v>101</v>
      </c>
      <c r="C16" s="66">
        <f t="shared" si="2"/>
        <v>15</v>
      </c>
      <c r="D16" s="66">
        <v>1.5</v>
      </c>
      <c r="E16" s="49"/>
      <c r="F16" s="49">
        <f>E16*15*1.5</f>
        <v>0</v>
      </c>
      <c r="G16" s="67" t="s">
        <v>102</v>
      </c>
      <c r="H16" s="1"/>
      <c r="I16" s="1"/>
      <c r="J16" s="1"/>
      <c r="K16" s="1"/>
      <c r="L16" s="1"/>
      <c r="M16" s="1"/>
      <c r="N16" s="1"/>
      <c r="O16" s="1"/>
      <c r="P16" s="1"/>
      <c r="Q16" s="1"/>
      <c r="R16" s="1"/>
      <c r="S16" s="1"/>
      <c r="T16" s="1"/>
      <c r="U16" s="1"/>
      <c r="V16" s="1"/>
      <c r="W16" s="1"/>
      <c r="X16" s="1"/>
      <c r="Y16" s="1"/>
      <c r="Z16" s="1"/>
    </row>
    <row r="17" spans="1:26" ht="19.5" customHeight="1">
      <c r="A17" s="64"/>
      <c r="B17" s="52" t="s">
        <v>107</v>
      </c>
      <c r="C17" s="62"/>
      <c r="D17" s="62"/>
      <c r="E17" s="52">
        <f t="shared" ref="E17:F17" si="3">SUM(E6:E16)</f>
        <v>241</v>
      </c>
      <c r="F17" s="52">
        <f t="shared" si="3"/>
        <v>1720</v>
      </c>
      <c r="G17" s="68"/>
      <c r="H17" s="1"/>
      <c r="I17" s="1"/>
      <c r="J17" s="1"/>
      <c r="K17" s="1"/>
      <c r="L17" s="1"/>
      <c r="M17" s="1"/>
      <c r="N17" s="1"/>
      <c r="O17" s="1"/>
      <c r="P17" s="1"/>
      <c r="Q17" s="1"/>
      <c r="R17" s="1"/>
      <c r="S17" s="1"/>
      <c r="T17" s="1"/>
      <c r="U17" s="1"/>
      <c r="V17" s="1"/>
      <c r="W17" s="1"/>
      <c r="X17" s="1"/>
      <c r="Y17" s="1"/>
      <c r="Z17" s="1"/>
    </row>
    <row r="18" spans="1:26" ht="36.75" customHeight="1">
      <c r="A18" s="60"/>
      <c r="B18" s="69"/>
      <c r="C18" s="70"/>
      <c r="D18" s="70"/>
      <c r="E18" s="69"/>
      <c r="F18" s="69"/>
      <c r="G18" s="71"/>
      <c r="H18" s="1"/>
      <c r="I18" s="1"/>
      <c r="J18" s="1"/>
      <c r="K18" s="1"/>
      <c r="L18" s="1"/>
      <c r="M18" s="1"/>
      <c r="N18" s="1"/>
      <c r="O18" s="1"/>
      <c r="P18" s="1"/>
      <c r="Q18" s="1"/>
      <c r="R18" s="1"/>
      <c r="S18" s="1"/>
      <c r="T18" s="1"/>
      <c r="U18" s="1"/>
      <c r="V18" s="1"/>
      <c r="W18" s="1"/>
      <c r="X18" s="1"/>
      <c r="Y18" s="1"/>
      <c r="Z18" s="1"/>
    </row>
    <row r="19" spans="1:26" ht="19.5" customHeight="1">
      <c r="A19" s="60"/>
      <c r="B19" s="69"/>
      <c r="C19" s="70"/>
      <c r="D19" s="70"/>
      <c r="E19" s="69"/>
      <c r="F19" s="69"/>
      <c r="G19" s="71"/>
      <c r="H19" s="1"/>
      <c r="I19" s="1"/>
      <c r="J19" s="1"/>
      <c r="K19" s="1"/>
      <c r="L19" s="1"/>
      <c r="M19" s="1"/>
      <c r="N19" s="1"/>
      <c r="O19" s="1"/>
      <c r="P19" s="1"/>
      <c r="Q19" s="1"/>
      <c r="R19" s="1"/>
      <c r="S19" s="1"/>
      <c r="T19" s="1"/>
      <c r="U19" s="1"/>
      <c r="V19" s="1"/>
      <c r="W19" s="1"/>
      <c r="X19" s="1"/>
      <c r="Y19" s="1"/>
      <c r="Z19" s="1"/>
    </row>
    <row r="20" spans="1:26" ht="19.5" customHeight="1">
      <c r="A20" s="72"/>
      <c r="B20" s="2" t="s">
        <v>108</v>
      </c>
      <c r="C20" s="2"/>
      <c r="D20" s="2"/>
      <c r="E20" s="1"/>
      <c r="F20" s="1"/>
      <c r="G20" s="1"/>
      <c r="H20" s="1"/>
      <c r="I20" s="1"/>
      <c r="J20" s="1"/>
      <c r="K20" s="1"/>
      <c r="L20" s="1"/>
      <c r="M20" s="1"/>
      <c r="N20" s="1"/>
      <c r="O20" s="1"/>
      <c r="P20" s="1"/>
      <c r="Q20" s="1"/>
      <c r="R20" s="1"/>
      <c r="S20" s="1"/>
      <c r="T20" s="1"/>
      <c r="U20" s="1"/>
      <c r="V20" s="1"/>
      <c r="W20" s="1"/>
      <c r="X20" s="1"/>
      <c r="Y20" s="1"/>
      <c r="Z20" s="1"/>
    </row>
    <row r="21" spans="1:26" ht="19.5" customHeight="1">
      <c r="A21" s="72"/>
      <c r="B21" s="5" t="s">
        <v>109</v>
      </c>
      <c r="C21" s="2"/>
      <c r="D21" s="2"/>
      <c r="E21" s="350" t="s">
        <v>110</v>
      </c>
      <c r="F21" s="382"/>
      <c r="G21" s="1"/>
      <c r="H21" s="1"/>
      <c r="I21" s="1"/>
      <c r="J21" s="1"/>
      <c r="K21" s="1"/>
      <c r="L21" s="1"/>
      <c r="M21" s="1"/>
      <c r="N21" s="1"/>
      <c r="O21" s="1"/>
      <c r="P21" s="1"/>
      <c r="Q21" s="1"/>
      <c r="R21" s="1"/>
      <c r="S21" s="1"/>
      <c r="T21" s="1"/>
      <c r="U21" s="1"/>
      <c r="V21" s="1"/>
      <c r="W21" s="1"/>
      <c r="X21" s="1"/>
      <c r="Y21" s="1"/>
      <c r="Z21" s="1"/>
    </row>
    <row r="22" spans="1:26" ht="19.5" customHeight="1">
      <c r="A22" s="72"/>
      <c r="B22" s="3" t="s">
        <v>111</v>
      </c>
      <c r="C22" s="1"/>
      <c r="D22" s="1"/>
      <c r="E22" s="73" t="s">
        <v>97</v>
      </c>
      <c r="F22" s="66">
        <v>5</v>
      </c>
      <c r="G22" s="1"/>
      <c r="H22" s="1"/>
      <c r="I22" s="1"/>
      <c r="J22" s="1"/>
      <c r="K22" s="1"/>
      <c r="L22" s="1"/>
      <c r="M22" s="1"/>
      <c r="N22" s="1"/>
      <c r="O22" s="1"/>
      <c r="P22" s="1"/>
      <c r="Q22" s="1"/>
      <c r="R22" s="1"/>
      <c r="S22" s="1"/>
      <c r="T22" s="1"/>
      <c r="U22" s="1"/>
      <c r="V22" s="1"/>
      <c r="W22" s="1"/>
      <c r="X22" s="1"/>
      <c r="Y22" s="1"/>
      <c r="Z22" s="1"/>
    </row>
    <row r="23" spans="1:26" ht="26.25" customHeight="1">
      <c r="A23" s="72"/>
      <c r="B23" s="3" t="s">
        <v>112</v>
      </c>
      <c r="C23" s="1"/>
      <c r="D23" s="1"/>
      <c r="E23" s="50" t="s">
        <v>99</v>
      </c>
      <c r="F23" s="66">
        <v>10</v>
      </c>
      <c r="G23" s="1"/>
      <c r="H23" s="1"/>
      <c r="I23" s="1"/>
      <c r="J23" s="1"/>
      <c r="K23" s="1"/>
      <c r="L23" s="1"/>
      <c r="M23" s="1"/>
      <c r="N23" s="1"/>
      <c r="O23" s="1"/>
      <c r="P23" s="1"/>
      <c r="Q23" s="1"/>
      <c r="R23" s="1"/>
      <c r="S23" s="1"/>
      <c r="T23" s="1"/>
      <c r="U23" s="1"/>
      <c r="V23" s="1"/>
      <c r="W23" s="1"/>
      <c r="X23" s="1"/>
      <c r="Y23" s="1"/>
      <c r="Z23" s="1"/>
    </row>
    <row r="24" spans="1:26" ht="19.5" customHeight="1">
      <c r="A24" s="72"/>
      <c r="B24" s="3" t="s">
        <v>113</v>
      </c>
      <c r="C24" s="1"/>
      <c r="D24" s="1"/>
      <c r="E24" s="73" t="s">
        <v>101</v>
      </c>
      <c r="F24" s="66">
        <v>15</v>
      </c>
      <c r="G24" s="1"/>
      <c r="H24" s="1"/>
      <c r="I24" s="1"/>
      <c r="J24" s="1"/>
      <c r="K24" s="1"/>
      <c r="L24" s="1"/>
      <c r="M24" s="1"/>
      <c r="N24" s="1"/>
      <c r="O24" s="1"/>
      <c r="P24" s="1"/>
      <c r="Q24" s="1"/>
      <c r="R24" s="1"/>
      <c r="S24" s="1"/>
      <c r="T24" s="1"/>
      <c r="U24" s="1"/>
      <c r="V24" s="1"/>
      <c r="W24" s="1"/>
      <c r="X24" s="1"/>
      <c r="Y24" s="1"/>
      <c r="Z24" s="1"/>
    </row>
    <row r="25" spans="1:26" ht="19.5" customHeight="1">
      <c r="A25" s="72"/>
      <c r="B25" s="351" t="s">
        <v>114</v>
      </c>
      <c r="C25" s="380"/>
      <c r="D25" s="380"/>
      <c r="E25" s="380"/>
      <c r="F25" s="380"/>
      <c r="G25" s="380"/>
      <c r="H25" s="1"/>
      <c r="I25" s="1"/>
      <c r="J25" s="1"/>
      <c r="K25" s="1"/>
      <c r="L25" s="1"/>
      <c r="M25" s="1"/>
      <c r="N25" s="1"/>
      <c r="O25" s="1"/>
      <c r="P25" s="1"/>
      <c r="Q25" s="1"/>
      <c r="R25" s="1"/>
      <c r="S25" s="1"/>
      <c r="T25" s="1"/>
      <c r="U25" s="1"/>
      <c r="V25" s="1"/>
      <c r="W25" s="1"/>
      <c r="X25" s="1"/>
      <c r="Y25" s="1"/>
      <c r="Z25" s="1"/>
    </row>
    <row r="26" spans="1:26" ht="19.5" customHeight="1">
      <c r="A26" s="72"/>
      <c r="B26" s="1"/>
      <c r="C26" s="1"/>
      <c r="D26" s="1"/>
      <c r="E26" s="1"/>
      <c r="F26" s="1"/>
      <c r="G26" s="1"/>
      <c r="H26" s="1"/>
      <c r="I26" s="1"/>
      <c r="J26" s="1"/>
      <c r="K26" s="1"/>
      <c r="L26" s="1"/>
      <c r="M26" s="1"/>
      <c r="N26" s="1"/>
      <c r="O26" s="1"/>
      <c r="P26" s="1"/>
      <c r="Q26" s="1"/>
      <c r="R26" s="1"/>
      <c r="S26" s="1"/>
      <c r="T26" s="1"/>
      <c r="U26" s="1"/>
      <c r="V26" s="1"/>
      <c r="W26" s="1"/>
      <c r="X26" s="1"/>
      <c r="Y26" s="1"/>
      <c r="Z26" s="1"/>
    </row>
    <row r="27" spans="1:26" ht="19.5" customHeight="1">
      <c r="A27" s="72"/>
      <c r="B27" s="1"/>
      <c r="C27" s="1"/>
      <c r="D27" s="1"/>
      <c r="E27" s="1"/>
      <c r="F27" s="1"/>
      <c r="G27" s="1"/>
      <c r="H27" s="1"/>
      <c r="I27" s="1"/>
      <c r="J27" s="1"/>
      <c r="K27" s="1"/>
      <c r="L27" s="1"/>
      <c r="M27" s="1"/>
      <c r="N27" s="1"/>
      <c r="O27" s="1"/>
      <c r="P27" s="1"/>
      <c r="Q27" s="1"/>
      <c r="R27" s="1"/>
      <c r="S27" s="1"/>
      <c r="T27" s="1"/>
      <c r="U27" s="1"/>
      <c r="V27" s="1"/>
      <c r="W27" s="1"/>
      <c r="X27" s="1"/>
      <c r="Y27" s="1"/>
      <c r="Z27" s="1"/>
    </row>
    <row r="28" spans="1:26" ht="19.5" customHeight="1">
      <c r="A28" s="72"/>
      <c r="B28" s="1"/>
      <c r="C28" s="1"/>
      <c r="D28" s="1"/>
      <c r="E28" s="1"/>
      <c r="F28" s="1"/>
      <c r="G28" s="1"/>
      <c r="H28" s="1"/>
      <c r="I28" s="1"/>
      <c r="J28" s="1"/>
      <c r="K28" s="1"/>
      <c r="L28" s="1"/>
      <c r="M28" s="1"/>
      <c r="N28" s="1"/>
      <c r="O28" s="1"/>
      <c r="P28" s="1"/>
      <c r="Q28" s="1"/>
      <c r="R28" s="1"/>
      <c r="S28" s="1"/>
      <c r="T28" s="1"/>
      <c r="U28" s="1"/>
      <c r="V28" s="1"/>
      <c r="W28" s="1"/>
      <c r="X28" s="1"/>
      <c r="Y28" s="1"/>
      <c r="Z28" s="1"/>
    </row>
    <row r="29" spans="1:26" ht="19.5" customHeight="1">
      <c r="A29" s="72"/>
      <c r="B29" s="1"/>
      <c r="C29" s="1"/>
      <c r="D29" s="1"/>
      <c r="E29" s="1"/>
      <c r="F29" s="1"/>
      <c r="G29" s="1"/>
      <c r="H29" s="1"/>
      <c r="I29" s="1"/>
      <c r="J29" s="1"/>
      <c r="K29" s="1"/>
      <c r="L29" s="1"/>
      <c r="M29" s="1"/>
      <c r="N29" s="1"/>
      <c r="O29" s="1"/>
      <c r="P29" s="1"/>
      <c r="Q29" s="1"/>
      <c r="R29" s="1"/>
      <c r="S29" s="1"/>
      <c r="T29" s="1"/>
      <c r="U29" s="1"/>
      <c r="V29" s="1"/>
      <c r="W29" s="1"/>
      <c r="X29" s="1"/>
      <c r="Y29" s="1"/>
      <c r="Z29" s="1"/>
    </row>
    <row r="30" spans="1:26" ht="19.5" customHeight="1">
      <c r="A30" s="72"/>
      <c r="B30" s="1"/>
      <c r="C30" s="1"/>
      <c r="D30" s="1"/>
      <c r="E30" s="1"/>
      <c r="F30" s="1"/>
      <c r="G30" s="1"/>
      <c r="H30" s="1"/>
      <c r="I30" s="1"/>
      <c r="J30" s="1"/>
      <c r="K30" s="1"/>
      <c r="L30" s="1"/>
      <c r="M30" s="1"/>
      <c r="N30" s="1"/>
      <c r="O30" s="1"/>
      <c r="P30" s="1"/>
      <c r="Q30" s="1"/>
      <c r="R30" s="1"/>
      <c r="S30" s="1"/>
      <c r="T30" s="1"/>
      <c r="U30" s="1"/>
      <c r="V30" s="1"/>
      <c r="W30" s="1"/>
      <c r="X30" s="1"/>
      <c r="Y30" s="1"/>
      <c r="Z30" s="1"/>
    </row>
    <row r="31" spans="1:26" ht="19.5" customHeight="1">
      <c r="A31" s="72"/>
      <c r="B31" s="1"/>
      <c r="C31" s="1"/>
      <c r="D31" s="1"/>
      <c r="E31" s="1"/>
      <c r="F31" s="1"/>
      <c r="G31" s="1"/>
      <c r="H31" s="1"/>
      <c r="I31" s="1"/>
      <c r="J31" s="1"/>
      <c r="K31" s="1"/>
      <c r="L31" s="1"/>
      <c r="M31" s="1"/>
      <c r="N31" s="1"/>
      <c r="O31" s="1"/>
      <c r="P31" s="1"/>
      <c r="Q31" s="1"/>
      <c r="R31" s="1"/>
      <c r="S31" s="1"/>
      <c r="T31" s="1"/>
      <c r="U31" s="1"/>
      <c r="V31" s="1"/>
      <c r="W31" s="1"/>
      <c r="X31" s="1"/>
      <c r="Y31" s="1"/>
      <c r="Z31" s="1"/>
    </row>
    <row r="32" spans="1:26" ht="19.5" customHeight="1">
      <c r="A32" s="72"/>
      <c r="B32" s="1"/>
      <c r="C32" s="1"/>
      <c r="D32" s="1"/>
      <c r="E32" s="1"/>
      <c r="F32" s="1"/>
      <c r="G32" s="1"/>
      <c r="H32" s="1"/>
      <c r="I32" s="1"/>
      <c r="J32" s="1"/>
      <c r="K32" s="1"/>
      <c r="L32" s="1"/>
      <c r="M32" s="1"/>
      <c r="N32" s="1"/>
      <c r="O32" s="1"/>
      <c r="P32" s="1"/>
      <c r="Q32" s="1"/>
      <c r="R32" s="1"/>
      <c r="S32" s="1"/>
      <c r="T32" s="1"/>
      <c r="U32" s="1"/>
      <c r="V32" s="1"/>
      <c r="W32" s="1"/>
      <c r="X32" s="1"/>
      <c r="Y32" s="1"/>
      <c r="Z32" s="1"/>
    </row>
    <row r="33" spans="1:26" ht="19.5" customHeight="1">
      <c r="A33" s="72"/>
      <c r="B33" s="1"/>
      <c r="C33" s="1"/>
      <c r="D33" s="1"/>
      <c r="E33" s="1"/>
      <c r="F33" s="1"/>
      <c r="G33" s="1"/>
      <c r="H33" s="1"/>
      <c r="I33" s="1"/>
      <c r="J33" s="1"/>
      <c r="K33" s="1"/>
      <c r="L33" s="1"/>
      <c r="M33" s="1"/>
      <c r="N33" s="1"/>
      <c r="O33" s="1"/>
      <c r="P33" s="1"/>
      <c r="Q33" s="1"/>
      <c r="R33" s="1"/>
      <c r="S33" s="1"/>
      <c r="T33" s="1"/>
      <c r="U33" s="1"/>
      <c r="V33" s="1"/>
      <c r="W33" s="1"/>
      <c r="X33" s="1"/>
      <c r="Y33" s="1"/>
      <c r="Z33" s="1"/>
    </row>
    <row r="34" spans="1:26" ht="19.5" customHeight="1">
      <c r="A34" s="72"/>
      <c r="B34" s="1"/>
      <c r="C34" s="1"/>
      <c r="D34" s="1"/>
      <c r="E34" s="1"/>
      <c r="F34" s="1"/>
      <c r="G34" s="1"/>
      <c r="H34" s="1"/>
      <c r="I34" s="1"/>
      <c r="J34" s="1"/>
      <c r="K34" s="1"/>
      <c r="L34" s="1"/>
      <c r="M34" s="1"/>
      <c r="N34" s="1"/>
      <c r="O34" s="1"/>
      <c r="P34" s="1"/>
      <c r="Q34" s="1"/>
      <c r="R34" s="1"/>
      <c r="S34" s="1"/>
      <c r="T34" s="1"/>
      <c r="U34" s="1"/>
      <c r="V34" s="1"/>
      <c r="W34" s="1"/>
      <c r="X34" s="1"/>
      <c r="Y34" s="1"/>
      <c r="Z34" s="1"/>
    </row>
    <row r="35" spans="1:26" ht="19.5" customHeight="1">
      <c r="A35" s="72"/>
      <c r="B35" s="1"/>
      <c r="C35" s="1"/>
      <c r="D35" s="1"/>
      <c r="E35" s="1"/>
      <c r="F35" s="1"/>
      <c r="G35" s="1"/>
      <c r="H35" s="1"/>
      <c r="I35" s="1"/>
      <c r="J35" s="1"/>
      <c r="K35" s="1"/>
      <c r="L35" s="1"/>
      <c r="M35" s="1"/>
      <c r="N35" s="1"/>
      <c r="O35" s="1"/>
      <c r="P35" s="1"/>
      <c r="Q35" s="1"/>
      <c r="R35" s="1"/>
      <c r="S35" s="1"/>
      <c r="T35" s="1"/>
      <c r="U35" s="1"/>
      <c r="V35" s="1"/>
      <c r="W35" s="1"/>
      <c r="X35" s="1"/>
      <c r="Y35" s="1"/>
      <c r="Z35" s="1"/>
    </row>
    <row r="36" spans="1:26" ht="19.5" customHeight="1">
      <c r="A36" s="72"/>
      <c r="B36" s="1"/>
      <c r="C36" s="1"/>
      <c r="D36" s="1"/>
      <c r="E36" s="1"/>
      <c r="F36" s="1"/>
      <c r="G36" s="1"/>
      <c r="H36" s="1"/>
      <c r="I36" s="1"/>
      <c r="J36" s="1"/>
      <c r="K36" s="1"/>
      <c r="L36" s="1"/>
      <c r="M36" s="1"/>
      <c r="N36" s="1"/>
      <c r="O36" s="1"/>
      <c r="P36" s="1"/>
      <c r="Q36" s="1"/>
      <c r="R36" s="1"/>
      <c r="S36" s="1"/>
      <c r="T36" s="1"/>
      <c r="U36" s="1"/>
      <c r="V36" s="1"/>
      <c r="W36" s="1"/>
      <c r="X36" s="1"/>
      <c r="Y36" s="1"/>
      <c r="Z36" s="1"/>
    </row>
    <row r="37" spans="1:26" ht="19.5" customHeight="1">
      <c r="A37" s="72"/>
      <c r="B37" s="1"/>
      <c r="C37" s="1"/>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72"/>
      <c r="B38" s="1"/>
      <c r="C38" s="1"/>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72"/>
      <c r="B39" s="1"/>
      <c r="C39" s="1"/>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72"/>
      <c r="B40" s="1"/>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72"/>
      <c r="B41" s="1"/>
      <c r="C41" s="1"/>
      <c r="D41" s="1"/>
      <c r="E41" s="1"/>
      <c r="F41" s="1"/>
      <c r="G41" s="1"/>
      <c r="H41" s="1"/>
      <c r="I41" s="1"/>
      <c r="J41" s="1"/>
      <c r="K41" s="1"/>
      <c r="L41" s="1"/>
      <c r="M41" s="1"/>
      <c r="N41" s="1"/>
      <c r="O41" s="1"/>
      <c r="P41" s="1"/>
      <c r="Q41" s="1"/>
      <c r="R41" s="1"/>
      <c r="S41" s="1"/>
      <c r="T41" s="1"/>
      <c r="U41" s="1"/>
      <c r="V41" s="1"/>
      <c r="W41" s="1"/>
      <c r="X41" s="1"/>
      <c r="Y41" s="1"/>
      <c r="Z41" s="1"/>
    </row>
    <row r="42" spans="1:26" ht="19.5" customHeight="1">
      <c r="A42" s="72"/>
      <c r="B42" s="1"/>
      <c r="C42" s="1"/>
      <c r="D42" s="1"/>
      <c r="E42" s="1"/>
      <c r="F42" s="1"/>
      <c r="G42" s="1"/>
      <c r="H42" s="1"/>
      <c r="I42" s="1"/>
      <c r="J42" s="1"/>
      <c r="K42" s="1"/>
      <c r="L42" s="1"/>
      <c r="M42" s="1"/>
      <c r="N42" s="1"/>
      <c r="O42" s="1"/>
      <c r="P42" s="1"/>
      <c r="Q42" s="1"/>
      <c r="R42" s="1"/>
      <c r="S42" s="1"/>
      <c r="T42" s="1"/>
      <c r="U42" s="1"/>
      <c r="V42" s="1"/>
      <c r="W42" s="1"/>
      <c r="X42" s="1"/>
      <c r="Y42" s="1"/>
      <c r="Z42" s="1"/>
    </row>
    <row r="43" spans="1:26" ht="19.5" customHeight="1">
      <c r="A43" s="72"/>
      <c r="B43" s="1"/>
      <c r="C43" s="1"/>
      <c r="D43" s="1"/>
      <c r="E43" s="1"/>
      <c r="F43" s="1"/>
      <c r="G43" s="1"/>
      <c r="H43" s="1"/>
      <c r="I43" s="1"/>
      <c r="J43" s="1"/>
      <c r="K43" s="1"/>
      <c r="L43" s="1"/>
      <c r="M43" s="1"/>
      <c r="N43" s="1"/>
      <c r="O43" s="1"/>
      <c r="P43" s="1"/>
      <c r="Q43" s="1"/>
      <c r="R43" s="1"/>
      <c r="S43" s="1"/>
      <c r="T43" s="1"/>
      <c r="U43" s="1"/>
      <c r="V43" s="1"/>
      <c r="W43" s="1"/>
      <c r="X43" s="1"/>
      <c r="Y43" s="1"/>
      <c r="Z43" s="1"/>
    </row>
    <row r="44" spans="1:26" ht="19.5" customHeight="1">
      <c r="A44" s="72"/>
      <c r="B44" s="1"/>
      <c r="C44" s="1"/>
      <c r="D44" s="1"/>
      <c r="E44" s="1"/>
      <c r="F44" s="1"/>
      <c r="G44" s="1"/>
      <c r="H44" s="1"/>
      <c r="I44" s="1"/>
      <c r="J44" s="1"/>
      <c r="K44" s="1"/>
      <c r="L44" s="1"/>
      <c r="M44" s="1"/>
      <c r="N44" s="1"/>
      <c r="O44" s="1"/>
      <c r="P44" s="1"/>
      <c r="Q44" s="1"/>
      <c r="R44" s="1"/>
      <c r="S44" s="1"/>
      <c r="T44" s="1"/>
      <c r="U44" s="1"/>
      <c r="V44" s="1"/>
      <c r="W44" s="1"/>
      <c r="X44" s="1"/>
      <c r="Y44" s="1"/>
      <c r="Z44" s="1"/>
    </row>
    <row r="45" spans="1:26" ht="19.5" customHeight="1">
      <c r="A45" s="72"/>
      <c r="B45" s="1"/>
      <c r="C45" s="1"/>
      <c r="D45" s="1"/>
      <c r="E45" s="1"/>
      <c r="F45" s="1"/>
      <c r="G45" s="1"/>
      <c r="H45" s="1"/>
      <c r="I45" s="1"/>
      <c r="J45" s="1"/>
      <c r="K45" s="1"/>
      <c r="L45" s="1"/>
      <c r="M45" s="1"/>
      <c r="N45" s="1"/>
      <c r="O45" s="1"/>
      <c r="P45" s="1"/>
      <c r="Q45" s="1"/>
      <c r="R45" s="1"/>
      <c r="S45" s="1"/>
      <c r="T45" s="1"/>
      <c r="U45" s="1"/>
      <c r="V45" s="1"/>
      <c r="W45" s="1"/>
      <c r="X45" s="1"/>
      <c r="Y45" s="1"/>
      <c r="Z45" s="1"/>
    </row>
    <row r="46" spans="1:26" ht="19.5" customHeight="1">
      <c r="A46" s="72"/>
      <c r="B46" s="1"/>
      <c r="C46" s="1"/>
      <c r="D46" s="1"/>
      <c r="E46" s="1"/>
      <c r="F46" s="1"/>
      <c r="G46" s="1"/>
      <c r="H46" s="1"/>
      <c r="I46" s="1"/>
      <c r="J46" s="1"/>
      <c r="K46" s="1"/>
      <c r="L46" s="1"/>
      <c r="M46" s="1"/>
      <c r="N46" s="1"/>
      <c r="O46" s="1"/>
      <c r="P46" s="1"/>
      <c r="Q46" s="1"/>
      <c r="R46" s="1"/>
      <c r="S46" s="1"/>
      <c r="T46" s="1"/>
      <c r="U46" s="1"/>
      <c r="V46" s="1"/>
      <c r="W46" s="1"/>
      <c r="X46" s="1"/>
      <c r="Y46" s="1"/>
      <c r="Z46" s="1"/>
    </row>
    <row r="47" spans="1:26" ht="19.5" customHeight="1">
      <c r="A47" s="72"/>
      <c r="B47" s="1"/>
      <c r="C47" s="1"/>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72"/>
      <c r="B48" s="1"/>
      <c r="C48" s="1"/>
      <c r="D48" s="1"/>
      <c r="E48" s="1"/>
      <c r="F48" s="1"/>
      <c r="G48" s="1"/>
      <c r="H48" s="1"/>
      <c r="I48" s="1"/>
      <c r="J48" s="1"/>
      <c r="K48" s="1"/>
      <c r="L48" s="1"/>
      <c r="M48" s="1"/>
      <c r="N48" s="1"/>
      <c r="O48" s="1"/>
      <c r="P48" s="1"/>
      <c r="Q48" s="1"/>
      <c r="R48" s="1"/>
      <c r="S48" s="1"/>
      <c r="T48" s="1"/>
      <c r="U48" s="1"/>
      <c r="V48" s="1"/>
      <c r="W48" s="1"/>
      <c r="X48" s="1"/>
      <c r="Y48" s="1"/>
      <c r="Z48" s="1"/>
    </row>
    <row r="49" spans="1:26" ht="19.5" customHeight="1">
      <c r="A49" s="72"/>
      <c r="B49" s="1"/>
      <c r="C49" s="1"/>
      <c r="D49" s="1"/>
      <c r="E49" s="1"/>
      <c r="F49" s="1"/>
      <c r="G49" s="1"/>
      <c r="H49" s="1"/>
      <c r="I49" s="1"/>
      <c r="J49" s="1"/>
      <c r="K49" s="1"/>
      <c r="L49" s="1"/>
      <c r="M49" s="1"/>
      <c r="N49" s="1"/>
      <c r="O49" s="1"/>
      <c r="P49" s="1"/>
      <c r="Q49" s="1"/>
      <c r="R49" s="1"/>
      <c r="S49" s="1"/>
      <c r="T49" s="1"/>
      <c r="U49" s="1"/>
      <c r="V49" s="1"/>
      <c r="W49" s="1"/>
      <c r="X49" s="1"/>
      <c r="Y49" s="1"/>
      <c r="Z49" s="1"/>
    </row>
    <row r="50" spans="1:26" ht="19.5" customHeight="1">
      <c r="A50" s="72"/>
      <c r="B50" s="1"/>
      <c r="C50" s="1"/>
      <c r="D50" s="1"/>
      <c r="E50" s="1"/>
      <c r="F50" s="1"/>
      <c r="G50" s="1"/>
      <c r="H50" s="1"/>
      <c r="I50" s="1"/>
      <c r="J50" s="1"/>
      <c r="K50" s="1"/>
      <c r="L50" s="1"/>
      <c r="M50" s="1"/>
      <c r="N50" s="1"/>
      <c r="O50" s="1"/>
      <c r="P50" s="1"/>
      <c r="Q50" s="1"/>
      <c r="R50" s="1"/>
      <c r="S50" s="1"/>
      <c r="T50" s="1"/>
      <c r="U50" s="1"/>
      <c r="V50" s="1"/>
      <c r="W50" s="1"/>
      <c r="X50" s="1"/>
      <c r="Y50" s="1"/>
      <c r="Z50" s="1"/>
    </row>
    <row r="51" spans="1:26" ht="19.5" customHeight="1">
      <c r="A51" s="72"/>
      <c r="B51" s="1"/>
      <c r="C51" s="1"/>
      <c r="D51" s="1"/>
      <c r="E51" s="1"/>
      <c r="F51" s="1"/>
      <c r="G51" s="1"/>
      <c r="H51" s="1"/>
      <c r="I51" s="1"/>
      <c r="J51" s="1"/>
      <c r="K51" s="1"/>
      <c r="L51" s="1"/>
      <c r="M51" s="1"/>
      <c r="N51" s="1"/>
      <c r="O51" s="1"/>
      <c r="P51" s="1"/>
      <c r="Q51" s="1"/>
      <c r="R51" s="1"/>
      <c r="S51" s="1"/>
      <c r="T51" s="1"/>
      <c r="U51" s="1"/>
      <c r="V51" s="1"/>
      <c r="W51" s="1"/>
      <c r="X51" s="1"/>
      <c r="Y51" s="1"/>
      <c r="Z51" s="1"/>
    </row>
    <row r="52" spans="1:26" ht="19.5" customHeight="1">
      <c r="A52" s="72"/>
      <c r="B52" s="1"/>
      <c r="C52" s="1"/>
      <c r="D52" s="1"/>
      <c r="E52" s="1"/>
      <c r="F52" s="1"/>
      <c r="G52" s="1"/>
      <c r="H52" s="1"/>
      <c r="I52" s="1"/>
      <c r="J52" s="1"/>
      <c r="K52" s="1"/>
      <c r="L52" s="1"/>
      <c r="M52" s="1"/>
      <c r="N52" s="1"/>
      <c r="O52" s="1"/>
      <c r="P52" s="1"/>
      <c r="Q52" s="1"/>
      <c r="R52" s="1"/>
      <c r="S52" s="1"/>
      <c r="T52" s="1"/>
      <c r="U52" s="1"/>
      <c r="V52" s="1"/>
      <c r="W52" s="1"/>
      <c r="X52" s="1"/>
      <c r="Y52" s="1"/>
      <c r="Z52" s="1"/>
    </row>
    <row r="53" spans="1:26" ht="19.5" customHeight="1">
      <c r="A53" s="72"/>
      <c r="B53" s="1"/>
      <c r="C53" s="1"/>
      <c r="D53" s="1"/>
      <c r="E53" s="1"/>
      <c r="F53" s="1"/>
      <c r="G53" s="1"/>
      <c r="H53" s="1"/>
      <c r="I53" s="1"/>
      <c r="J53" s="1"/>
      <c r="K53" s="1"/>
      <c r="L53" s="1"/>
      <c r="M53" s="1"/>
      <c r="N53" s="1"/>
      <c r="O53" s="1"/>
      <c r="P53" s="1"/>
      <c r="Q53" s="1"/>
      <c r="R53" s="1"/>
      <c r="S53" s="1"/>
      <c r="T53" s="1"/>
      <c r="U53" s="1"/>
      <c r="V53" s="1"/>
      <c r="W53" s="1"/>
      <c r="X53" s="1"/>
      <c r="Y53" s="1"/>
      <c r="Z53" s="1"/>
    </row>
    <row r="54" spans="1:26" ht="19.5" customHeight="1">
      <c r="A54" s="72"/>
      <c r="B54" s="1"/>
      <c r="C54" s="1"/>
      <c r="D54" s="1"/>
      <c r="E54" s="1"/>
      <c r="F54" s="1"/>
      <c r="G54" s="1"/>
      <c r="H54" s="1"/>
      <c r="I54" s="1"/>
      <c r="J54" s="1"/>
      <c r="K54" s="1"/>
      <c r="L54" s="1"/>
      <c r="M54" s="1"/>
      <c r="N54" s="1"/>
      <c r="O54" s="1"/>
      <c r="P54" s="1"/>
      <c r="Q54" s="1"/>
      <c r="R54" s="1"/>
      <c r="S54" s="1"/>
      <c r="T54" s="1"/>
      <c r="U54" s="1"/>
      <c r="V54" s="1"/>
      <c r="W54" s="1"/>
      <c r="X54" s="1"/>
      <c r="Y54" s="1"/>
      <c r="Z54" s="1"/>
    </row>
    <row r="55" spans="1:26" ht="19.5" customHeight="1">
      <c r="A55" s="72"/>
      <c r="B55" s="1"/>
      <c r="C55" s="1"/>
      <c r="D55" s="1"/>
      <c r="E55" s="1"/>
      <c r="F55" s="1"/>
      <c r="G55" s="1"/>
      <c r="H55" s="1"/>
      <c r="I55" s="1"/>
      <c r="J55" s="1"/>
      <c r="K55" s="1"/>
      <c r="L55" s="1"/>
      <c r="M55" s="1"/>
      <c r="N55" s="1"/>
      <c r="O55" s="1"/>
      <c r="P55" s="1"/>
      <c r="Q55" s="1"/>
      <c r="R55" s="1"/>
      <c r="S55" s="1"/>
      <c r="T55" s="1"/>
      <c r="U55" s="1"/>
      <c r="V55" s="1"/>
      <c r="W55" s="1"/>
      <c r="X55" s="1"/>
      <c r="Y55" s="1"/>
      <c r="Z55" s="1"/>
    </row>
    <row r="56" spans="1:26" ht="19.5" customHeight="1">
      <c r="A56" s="72"/>
      <c r="B56" s="1"/>
      <c r="C56" s="1"/>
      <c r="D56" s="1"/>
      <c r="E56" s="1"/>
      <c r="F56" s="1"/>
      <c r="G56" s="1"/>
      <c r="H56" s="1"/>
      <c r="I56" s="1"/>
      <c r="J56" s="1"/>
      <c r="K56" s="1"/>
      <c r="L56" s="1"/>
      <c r="M56" s="1"/>
      <c r="N56" s="1"/>
      <c r="O56" s="1"/>
      <c r="P56" s="1"/>
      <c r="Q56" s="1"/>
      <c r="R56" s="1"/>
      <c r="S56" s="1"/>
      <c r="T56" s="1"/>
      <c r="U56" s="1"/>
      <c r="V56" s="1"/>
      <c r="W56" s="1"/>
      <c r="X56" s="1"/>
      <c r="Y56" s="1"/>
      <c r="Z56" s="1"/>
    </row>
    <row r="57" spans="1:26" ht="19.5" customHeight="1">
      <c r="A57" s="72"/>
      <c r="B57" s="1"/>
      <c r="C57" s="1"/>
      <c r="D57" s="1"/>
      <c r="E57" s="1"/>
      <c r="F57" s="1"/>
      <c r="G57" s="1"/>
      <c r="H57" s="1"/>
      <c r="I57" s="1"/>
      <c r="J57" s="1"/>
      <c r="K57" s="1"/>
      <c r="L57" s="1"/>
      <c r="M57" s="1"/>
      <c r="N57" s="1"/>
      <c r="O57" s="1"/>
      <c r="P57" s="1"/>
      <c r="Q57" s="1"/>
      <c r="R57" s="1"/>
      <c r="S57" s="1"/>
      <c r="T57" s="1"/>
      <c r="U57" s="1"/>
      <c r="V57" s="1"/>
      <c r="W57" s="1"/>
      <c r="X57" s="1"/>
      <c r="Y57" s="1"/>
      <c r="Z57" s="1"/>
    </row>
    <row r="58" spans="1:26" ht="19.5" customHeight="1">
      <c r="A58" s="72"/>
      <c r="B58" s="1"/>
      <c r="C58" s="1"/>
      <c r="D58" s="1"/>
      <c r="E58" s="1"/>
      <c r="F58" s="1"/>
      <c r="G58" s="1"/>
      <c r="H58" s="1"/>
      <c r="I58" s="1"/>
      <c r="J58" s="1"/>
      <c r="K58" s="1"/>
      <c r="L58" s="1"/>
      <c r="M58" s="1"/>
      <c r="N58" s="1"/>
      <c r="O58" s="1"/>
      <c r="P58" s="1"/>
      <c r="Q58" s="1"/>
      <c r="R58" s="1"/>
      <c r="S58" s="1"/>
      <c r="T58" s="1"/>
      <c r="U58" s="1"/>
      <c r="V58" s="1"/>
      <c r="W58" s="1"/>
      <c r="X58" s="1"/>
      <c r="Y58" s="1"/>
      <c r="Z58" s="1"/>
    </row>
    <row r="59" spans="1:26" ht="19.5" customHeight="1">
      <c r="A59" s="72"/>
      <c r="B59" s="1"/>
      <c r="C59" s="1"/>
      <c r="D59" s="1"/>
      <c r="E59" s="1"/>
      <c r="F59" s="1"/>
      <c r="G59" s="1"/>
      <c r="H59" s="1"/>
      <c r="I59" s="1"/>
      <c r="J59" s="1"/>
      <c r="K59" s="1"/>
      <c r="L59" s="1"/>
      <c r="M59" s="1"/>
      <c r="N59" s="1"/>
      <c r="O59" s="1"/>
      <c r="P59" s="1"/>
      <c r="Q59" s="1"/>
      <c r="R59" s="1"/>
      <c r="S59" s="1"/>
      <c r="T59" s="1"/>
      <c r="U59" s="1"/>
      <c r="V59" s="1"/>
      <c r="W59" s="1"/>
      <c r="X59" s="1"/>
      <c r="Y59" s="1"/>
      <c r="Z59" s="1"/>
    </row>
    <row r="60" spans="1:26" ht="19.5" customHeight="1">
      <c r="A60" s="72"/>
      <c r="B60" s="1"/>
      <c r="C60" s="1"/>
      <c r="D60" s="1"/>
      <c r="E60" s="1"/>
      <c r="F60" s="1"/>
      <c r="G60" s="1"/>
      <c r="H60" s="1"/>
      <c r="I60" s="1"/>
      <c r="J60" s="1"/>
      <c r="K60" s="1"/>
      <c r="L60" s="1"/>
      <c r="M60" s="1"/>
      <c r="N60" s="1"/>
      <c r="O60" s="1"/>
      <c r="P60" s="1"/>
      <c r="Q60" s="1"/>
      <c r="R60" s="1"/>
      <c r="S60" s="1"/>
      <c r="T60" s="1"/>
      <c r="U60" s="1"/>
      <c r="V60" s="1"/>
      <c r="W60" s="1"/>
      <c r="X60" s="1"/>
      <c r="Y60" s="1"/>
      <c r="Z60" s="1"/>
    </row>
    <row r="61" spans="1:26" ht="19.5" customHeight="1">
      <c r="A61" s="72"/>
      <c r="B61" s="1"/>
      <c r="C61" s="1"/>
      <c r="D61" s="1"/>
      <c r="E61" s="1"/>
      <c r="F61" s="1"/>
      <c r="G61" s="1"/>
      <c r="H61" s="1"/>
      <c r="I61" s="1"/>
      <c r="J61" s="1"/>
      <c r="K61" s="1"/>
      <c r="L61" s="1"/>
      <c r="M61" s="1"/>
      <c r="N61" s="1"/>
      <c r="O61" s="1"/>
      <c r="P61" s="1"/>
      <c r="Q61" s="1"/>
      <c r="R61" s="1"/>
      <c r="S61" s="1"/>
      <c r="T61" s="1"/>
      <c r="U61" s="1"/>
      <c r="V61" s="1"/>
      <c r="W61" s="1"/>
      <c r="X61" s="1"/>
      <c r="Y61" s="1"/>
      <c r="Z61" s="1"/>
    </row>
    <row r="62" spans="1:26" ht="19.5" customHeight="1">
      <c r="A62" s="72"/>
      <c r="B62" s="1"/>
      <c r="C62" s="1"/>
      <c r="D62" s="1"/>
      <c r="E62" s="1"/>
      <c r="F62" s="1"/>
      <c r="G62" s="1"/>
      <c r="H62" s="1"/>
      <c r="I62" s="1"/>
      <c r="J62" s="1"/>
      <c r="K62" s="1"/>
      <c r="L62" s="1"/>
      <c r="M62" s="1"/>
      <c r="N62" s="1"/>
      <c r="O62" s="1"/>
      <c r="P62" s="1"/>
      <c r="Q62" s="1"/>
      <c r="R62" s="1"/>
      <c r="S62" s="1"/>
      <c r="T62" s="1"/>
      <c r="U62" s="1"/>
      <c r="V62" s="1"/>
      <c r="W62" s="1"/>
      <c r="X62" s="1"/>
      <c r="Y62" s="1"/>
      <c r="Z62" s="1"/>
    </row>
    <row r="63" spans="1:26" ht="19.5" customHeight="1">
      <c r="A63" s="72"/>
      <c r="B63" s="1"/>
      <c r="C63" s="1"/>
      <c r="D63" s="1"/>
      <c r="E63" s="1"/>
      <c r="F63" s="1"/>
      <c r="G63" s="1"/>
      <c r="H63" s="1"/>
      <c r="I63" s="1"/>
      <c r="J63" s="1"/>
      <c r="K63" s="1"/>
      <c r="L63" s="1"/>
      <c r="M63" s="1"/>
      <c r="N63" s="1"/>
      <c r="O63" s="1"/>
      <c r="P63" s="1"/>
      <c r="Q63" s="1"/>
      <c r="R63" s="1"/>
      <c r="S63" s="1"/>
      <c r="T63" s="1"/>
      <c r="U63" s="1"/>
      <c r="V63" s="1"/>
      <c r="W63" s="1"/>
      <c r="X63" s="1"/>
      <c r="Y63" s="1"/>
      <c r="Z63" s="1"/>
    </row>
    <row r="64" spans="1:26" ht="19.5" customHeight="1">
      <c r="A64" s="72"/>
      <c r="B64" s="1"/>
      <c r="C64" s="1"/>
      <c r="D64" s="1"/>
      <c r="E64" s="1"/>
      <c r="F64" s="1"/>
      <c r="G64" s="1"/>
      <c r="H64" s="1"/>
      <c r="I64" s="1"/>
      <c r="J64" s="1"/>
      <c r="K64" s="1"/>
      <c r="L64" s="1"/>
      <c r="M64" s="1"/>
      <c r="N64" s="1"/>
      <c r="O64" s="1"/>
      <c r="P64" s="1"/>
      <c r="Q64" s="1"/>
      <c r="R64" s="1"/>
      <c r="S64" s="1"/>
      <c r="T64" s="1"/>
      <c r="U64" s="1"/>
      <c r="V64" s="1"/>
      <c r="W64" s="1"/>
      <c r="X64" s="1"/>
      <c r="Y64" s="1"/>
      <c r="Z64" s="1"/>
    </row>
    <row r="65" spans="1:26" ht="19.5" customHeight="1">
      <c r="A65" s="72"/>
      <c r="B65" s="1"/>
      <c r="C65" s="1"/>
      <c r="D65" s="1"/>
      <c r="E65" s="1"/>
      <c r="F65" s="1"/>
      <c r="G65" s="1"/>
      <c r="H65" s="1"/>
      <c r="I65" s="1"/>
      <c r="J65" s="1"/>
      <c r="K65" s="1"/>
      <c r="L65" s="1"/>
      <c r="M65" s="1"/>
      <c r="N65" s="1"/>
      <c r="O65" s="1"/>
      <c r="P65" s="1"/>
      <c r="Q65" s="1"/>
      <c r="R65" s="1"/>
      <c r="S65" s="1"/>
      <c r="T65" s="1"/>
      <c r="U65" s="1"/>
      <c r="V65" s="1"/>
      <c r="W65" s="1"/>
      <c r="X65" s="1"/>
      <c r="Y65" s="1"/>
      <c r="Z65" s="1"/>
    </row>
    <row r="66" spans="1:26" ht="19.5" customHeight="1">
      <c r="A66" s="72"/>
      <c r="B66" s="1"/>
      <c r="C66" s="1"/>
      <c r="D66" s="1"/>
      <c r="E66" s="1"/>
      <c r="F66" s="1"/>
      <c r="G66" s="1"/>
      <c r="H66" s="1"/>
      <c r="I66" s="1"/>
      <c r="J66" s="1"/>
      <c r="K66" s="1"/>
      <c r="L66" s="1"/>
      <c r="M66" s="1"/>
      <c r="N66" s="1"/>
      <c r="O66" s="1"/>
      <c r="P66" s="1"/>
      <c r="Q66" s="1"/>
      <c r="R66" s="1"/>
      <c r="S66" s="1"/>
      <c r="T66" s="1"/>
      <c r="U66" s="1"/>
      <c r="V66" s="1"/>
      <c r="W66" s="1"/>
      <c r="X66" s="1"/>
      <c r="Y66" s="1"/>
      <c r="Z66" s="1"/>
    </row>
    <row r="67" spans="1:26" ht="19.5" customHeight="1">
      <c r="A67" s="72"/>
      <c r="B67" s="1"/>
      <c r="C67" s="1"/>
      <c r="D67" s="1"/>
      <c r="E67" s="1"/>
      <c r="F67" s="1"/>
      <c r="G67" s="1"/>
      <c r="H67" s="1"/>
      <c r="I67" s="1"/>
      <c r="J67" s="1"/>
      <c r="K67" s="1"/>
      <c r="L67" s="1"/>
      <c r="M67" s="1"/>
      <c r="N67" s="1"/>
      <c r="O67" s="1"/>
      <c r="P67" s="1"/>
      <c r="Q67" s="1"/>
      <c r="R67" s="1"/>
      <c r="S67" s="1"/>
      <c r="T67" s="1"/>
      <c r="U67" s="1"/>
      <c r="V67" s="1"/>
      <c r="W67" s="1"/>
      <c r="X67" s="1"/>
      <c r="Y67" s="1"/>
      <c r="Z67" s="1"/>
    </row>
    <row r="68" spans="1:26" ht="19.5" customHeight="1">
      <c r="A68" s="72"/>
      <c r="B68" s="1"/>
      <c r="C68" s="1"/>
      <c r="D68" s="1"/>
      <c r="E68" s="1"/>
      <c r="F68" s="1"/>
      <c r="G68" s="1"/>
      <c r="H68" s="1"/>
      <c r="I68" s="1"/>
      <c r="J68" s="1"/>
      <c r="K68" s="1"/>
      <c r="L68" s="1"/>
      <c r="M68" s="1"/>
      <c r="N68" s="1"/>
      <c r="O68" s="1"/>
      <c r="P68" s="1"/>
      <c r="Q68" s="1"/>
      <c r="R68" s="1"/>
      <c r="S68" s="1"/>
      <c r="T68" s="1"/>
      <c r="U68" s="1"/>
      <c r="V68" s="1"/>
      <c r="W68" s="1"/>
      <c r="X68" s="1"/>
      <c r="Y68" s="1"/>
      <c r="Z68" s="1"/>
    </row>
    <row r="69" spans="1:26" ht="19.5" customHeight="1">
      <c r="A69" s="72"/>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72"/>
      <c r="B70" s="1"/>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c r="A71" s="72"/>
      <c r="B71" s="1"/>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c r="A72" s="72"/>
      <c r="B72" s="1"/>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c r="A73" s="72"/>
      <c r="B73" s="1"/>
      <c r="C73" s="1"/>
      <c r="D73" s="1"/>
      <c r="E73" s="1"/>
      <c r="F73" s="1"/>
      <c r="G73" s="1"/>
      <c r="H73" s="1"/>
      <c r="I73" s="1"/>
      <c r="J73" s="1"/>
      <c r="K73" s="1"/>
      <c r="L73" s="1"/>
      <c r="M73" s="1"/>
      <c r="N73" s="1"/>
      <c r="O73" s="1"/>
      <c r="P73" s="1"/>
      <c r="Q73" s="1"/>
      <c r="R73" s="1"/>
      <c r="S73" s="1"/>
      <c r="T73" s="1"/>
      <c r="U73" s="1"/>
      <c r="V73" s="1"/>
      <c r="W73" s="1"/>
      <c r="X73" s="1"/>
      <c r="Y73" s="1"/>
      <c r="Z73" s="1"/>
    </row>
    <row r="74" spans="1:26" ht="19.5" customHeight="1">
      <c r="A74" s="72"/>
      <c r="B74" s="1"/>
      <c r="C74" s="1"/>
      <c r="D74" s="1"/>
      <c r="E74" s="1"/>
      <c r="F74" s="1"/>
      <c r="G74" s="1"/>
      <c r="H74" s="1"/>
      <c r="I74" s="1"/>
      <c r="J74" s="1"/>
      <c r="K74" s="1"/>
      <c r="L74" s="1"/>
      <c r="M74" s="1"/>
      <c r="N74" s="1"/>
      <c r="O74" s="1"/>
      <c r="P74" s="1"/>
      <c r="Q74" s="1"/>
      <c r="R74" s="1"/>
      <c r="S74" s="1"/>
      <c r="T74" s="1"/>
      <c r="U74" s="1"/>
      <c r="V74" s="1"/>
      <c r="W74" s="1"/>
      <c r="X74" s="1"/>
      <c r="Y74" s="1"/>
      <c r="Z74" s="1"/>
    </row>
    <row r="75" spans="1:26" ht="19.5" customHeight="1">
      <c r="A75" s="72"/>
      <c r="B75" s="1"/>
      <c r="C75" s="1"/>
      <c r="D75" s="1"/>
      <c r="E75" s="1"/>
      <c r="F75" s="1"/>
      <c r="G75" s="1"/>
      <c r="H75" s="1"/>
      <c r="I75" s="1"/>
      <c r="J75" s="1"/>
      <c r="K75" s="1"/>
      <c r="L75" s="1"/>
      <c r="M75" s="1"/>
      <c r="N75" s="1"/>
      <c r="O75" s="1"/>
      <c r="P75" s="1"/>
      <c r="Q75" s="1"/>
      <c r="R75" s="1"/>
      <c r="S75" s="1"/>
      <c r="T75" s="1"/>
      <c r="U75" s="1"/>
      <c r="V75" s="1"/>
      <c r="W75" s="1"/>
      <c r="X75" s="1"/>
      <c r="Y75" s="1"/>
      <c r="Z75" s="1"/>
    </row>
    <row r="76" spans="1:26" ht="19.5" customHeight="1">
      <c r="A76" s="72"/>
      <c r="B76" s="1"/>
      <c r="C76" s="1"/>
      <c r="D76" s="1"/>
      <c r="E76" s="1"/>
      <c r="F76" s="1"/>
      <c r="G76" s="1"/>
      <c r="H76" s="1"/>
      <c r="I76" s="1"/>
      <c r="J76" s="1"/>
      <c r="K76" s="1"/>
      <c r="L76" s="1"/>
      <c r="M76" s="1"/>
      <c r="N76" s="1"/>
      <c r="O76" s="1"/>
      <c r="P76" s="1"/>
      <c r="Q76" s="1"/>
      <c r="R76" s="1"/>
      <c r="S76" s="1"/>
      <c r="T76" s="1"/>
      <c r="U76" s="1"/>
      <c r="V76" s="1"/>
      <c r="W76" s="1"/>
      <c r="X76" s="1"/>
      <c r="Y76" s="1"/>
      <c r="Z76" s="1"/>
    </row>
    <row r="77" spans="1:26" ht="19.5" customHeight="1">
      <c r="A77" s="72"/>
      <c r="B77" s="1"/>
      <c r="C77" s="1"/>
      <c r="D77" s="1"/>
      <c r="E77" s="1"/>
      <c r="F77" s="1"/>
      <c r="G77" s="1"/>
      <c r="H77" s="1"/>
      <c r="I77" s="1"/>
      <c r="J77" s="1"/>
      <c r="K77" s="1"/>
      <c r="L77" s="1"/>
      <c r="M77" s="1"/>
      <c r="N77" s="1"/>
      <c r="O77" s="1"/>
      <c r="P77" s="1"/>
      <c r="Q77" s="1"/>
      <c r="R77" s="1"/>
      <c r="S77" s="1"/>
      <c r="T77" s="1"/>
      <c r="U77" s="1"/>
      <c r="V77" s="1"/>
      <c r="W77" s="1"/>
      <c r="X77" s="1"/>
      <c r="Y77" s="1"/>
      <c r="Z77" s="1"/>
    </row>
    <row r="78" spans="1:26" ht="19.5" customHeight="1">
      <c r="A78" s="72"/>
      <c r="B78" s="1"/>
      <c r="C78" s="1"/>
      <c r="D78" s="1"/>
      <c r="E78" s="1"/>
      <c r="F78" s="1"/>
      <c r="G78" s="1"/>
      <c r="H78" s="1"/>
      <c r="I78" s="1"/>
      <c r="J78" s="1"/>
      <c r="K78" s="1"/>
      <c r="L78" s="1"/>
      <c r="M78" s="1"/>
      <c r="N78" s="1"/>
      <c r="O78" s="1"/>
      <c r="P78" s="1"/>
      <c r="Q78" s="1"/>
      <c r="R78" s="1"/>
      <c r="S78" s="1"/>
      <c r="T78" s="1"/>
      <c r="U78" s="1"/>
      <c r="V78" s="1"/>
      <c r="W78" s="1"/>
      <c r="X78" s="1"/>
      <c r="Y78" s="1"/>
      <c r="Z78" s="1"/>
    </row>
    <row r="79" spans="1:26" ht="19.5" customHeight="1">
      <c r="A79" s="72"/>
      <c r="B79" s="1"/>
      <c r="C79" s="1"/>
      <c r="D79" s="1"/>
      <c r="E79" s="1"/>
      <c r="F79" s="1"/>
      <c r="G79" s="1"/>
      <c r="H79" s="1"/>
      <c r="I79" s="1"/>
      <c r="J79" s="1"/>
      <c r="K79" s="1"/>
      <c r="L79" s="1"/>
      <c r="M79" s="1"/>
      <c r="N79" s="1"/>
      <c r="O79" s="1"/>
      <c r="P79" s="1"/>
      <c r="Q79" s="1"/>
      <c r="R79" s="1"/>
      <c r="S79" s="1"/>
      <c r="T79" s="1"/>
      <c r="U79" s="1"/>
      <c r="V79" s="1"/>
      <c r="W79" s="1"/>
      <c r="X79" s="1"/>
      <c r="Y79" s="1"/>
      <c r="Z79" s="1"/>
    </row>
    <row r="80" spans="1:26" ht="19.5" customHeight="1">
      <c r="A80" s="72"/>
      <c r="B80" s="1"/>
      <c r="C80" s="1"/>
      <c r="D80" s="1"/>
      <c r="E80" s="1"/>
      <c r="F80" s="1"/>
      <c r="G80" s="1"/>
      <c r="H80" s="1"/>
      <c r="I80" s="1"/>
      <c r="J80" s="1"/>
      <c r="K80" s="1"/>
      <c r="L80" s="1"/>
      <c r="M80" s="1"/>
      <c r="N80" s="1"/>
      <c r="O80" s="1"/>
      <c r="P80" s="1"/>
      <c r="Q80" s="1"/>
      <c r="R80" s="1"/>
      <c r="S80" s="1"/>
      <c r="T80" s="1"/>
      <c r="U80" s="1"/>
      <c r="V80" s="1"/>
      <c r="W80" s="1"/>
      <c r="X80" s="1"/>
      <c r="Y80" s="1"/>
      <c r="Z80" s="1"/>
    </row>
    <row r="81" spans="1:26" ht="19.5" customHeight="1">
      <c r="A81" s="72"/>
      <c r="B81" s="1"/>
      <c r="C81" s="1"/>
      <c r="D81" s="1"/>
      <c r="E81" s="1"/>
      <c r="F81" s="1"/>
      <c r="G81" s="1"/>
      <c r="H81" s="1"/>
      <c r="I81" s="1"/>
      <c r="J81" s="1"/>
      <c r="K81" s="1"/>
      <c r="L81" s="1"/>
      <c r="M81" s="1"/>
      <c r="N81" s="1"/>
      <c r="O81" s="1"/>
      <c r="P81" s="1"/>
      <c r="Q81" s="1"/>
      <c r="R81" s="1"/>
      <c r="S81" s="1"/>
      <c r="T81" s="1"/>
      <c r="U81" s="1"/>
      <c r="V81" s="1"/>
      <c r="W81" s="1"/>
      <c r="X81" s="1"/>
      <c r="Y81" s="1"/>
      <c r="Z81" s="1"/>
    </row>
    <row r="82" spans="1:26" ht="19.5" customHeight="1">
      <c r="A82" s="72"/>
      <c r="B82" s="1"/>
      <c r="C82" s="1"/>
      <c r="D82" s="1"/>
      <c r="E82" s="1"/>
      <c r="F82" s="1"/>
      <c r="G82" s="1"/>
      <c r="H82" s="1"/>
      <c r="I82" s="1"/>
      <c r="J82" s="1"/>
      <c r="K82" s="1"/>
      <c r="L82" s="1"/>
      <c r="M82" s="1"/>
      <c r="N82" s="1"/>
      <c r="O82" s="1"/>
      <c r="P82" s="1"/>
      <c r="Q82" s="1"/>
      <c r="R82" s="1"/>
      <c r="S82" s="1"/>
      <c r="T82" s="1"/>
      <c r="U82" s="1"/>
      <c r="V82" s="1"/>
      <c r="W82" s="1"/>
      <c r="X82" s="1"/>
      <c r="Y82" s="1"/>
      <c r="Z82" s="1"/>
    </row>
    <row r="83" spans="1:26" ht="19.5" customHeight="1">
      <c r="A83" s="72"/>
      <c r="B83" s="1"/>
      <c r="C83" s="1"/>
      <c r="D83" s="1"/>
      <c r="E83" s="1"/>
      <c r="F83" s="1"/>
      <c r="G83" s="1"/>
      <c r="H83" s="1"/>
      <c r="I83" s="1"/>
      <c r="J83" s="1"/>
      <c r="K83" s="1"/>
      <c r="L83" s="1"/>
      <c r="M83" s="1"/>
      <c r="N83" s="1"/>
      <c r="O83" s="1"/>
      <c r="P83" s="1"/>
      <c r="Q83" s="1"/>
      <c r="R83" s="1"/>
      <c r="S83" s="1"/>
      <c r="T83" s="1"/>
      <c r="U83" s="1"/>
      <c r="V83" s="1"/>
      <c r="W83" s="1"/>
      <c r="X83" s="1"/>
      <c r="Y83" s="1"/>
      <c r="Z83" s="1"/>
    </row>
    <row r="84" spans="1:26" ht="19.5" customHeight="1">
      <c r="A84" s="72"/>
      <c r="B84" s="1"/>
      <c r="C84" s="1"/>
      <c r="D84" s="1"/>
      <c r="E84" s="1"/>
      <c r="F84" s="1"/>
      <c r="G84" s="1"/>
      <c r="H84" s="1"/>
      <c r="I84" s="1"/>
      <c r="J84" s="1"/>
      <c r="K84" s="1"/>
      <c r="L84" s="1"/>
      <c r="M84" s="1"/>
      <c r="N84" s="1"/>
      <c r="O84" s="1"/>
      <c r="P84" s="1"/>
      <c r="Q84" s="1"/>
      <c r="R84" s="1"/>
      <c r="S84" s="1"/>
      <c r="T84" s="1"/>
      <c r="U84" s="1"/>
      <c r="V84" s="1"/>
      <c r="W84" s="1"/>
      <c r="X84" s="1"/>
      <c r="Y84" s="1"/>
      <c r="Z84" s="1"/>
    </row>
    <row r="85" spans="1:26" ht="19.5" customHeight="1">
      <c r="A85" s="72"/>
      <c r="B85" s="1"/>
      <c r="C85" s="1"/>
      <c r="D85" s="1"/>
      <c r="E85" s="1"/>
      <c r="F85" s="1"/>
      <c r="G85" s="1"/>
      <c r="H85" s="1"/>
      <c r="I85" s="1"/>
      <c r="J85" s="1"/>
      <c r="K85" s="1"/>
      <c r="L85" s="1"/>
      <c r="M85" s="1"/>
      <c r="N85" s="1"/>
      <c r="O85" s="1"/>
      <c r="P85" s="1"/>
      <c r="Q85" s="1"/>
      <c r="R85" s="1"/>
      <c r="S85" s="1"/>
      <c r="T85" s="1"/>
      <c r="U85" s="1"/>
      <c r="V85" s="1"/>
      <c r="W85" s="1"/>
      <c r="X85" s="1"/>
      <c r="Y85" s="1"/>
      <c r="Z85" s="1"/>
    </row>
    <row r="86" spans="1:26" ht="19.5" customHeight="1">
      <c r="A86" s="72"/>
      <c r="B86" s="1"/>
      <c r="C86" s="1"/>
      <c r="D86" s="1"/>
      <c r="E86" s="1"/>
      <c r="F86" s="1"/>
      <c r="G86" s="1"/>
      <c r="H86" s="1"/>
      <c r="I86" s="1"/>
      <c r="J86" s="1"/>
      <c r="K86" s="1"/>
      <c r="L86" s="1"/>
      <c r="M86" s="1"/>
      <c r="N86" s="1"/>
      <c r="O86" s="1"/>
      <c r="P86" s="1"/>
      <c r="Q86" s="1"/>
      <c r="R86" s="1"/>
      <c r="S86" s="1"/>
      <c r="T86" s="1"/>
      <c r="U86" s="1"/>
      <c r="V86" s="1"/>
      <c r="W86" s="1"/>
      <c r="X86" s="1"/>
      <c r="Y86" s="1"/>
      <c r="Z86" s="1"/>
    </row>
    <row r="87" spans="1:26" ht="19.5" customHeight="1">
      <c r="A87" s="72"/>
      <c r="B87" s="1"/>
      <c r="C87" s="1"/>
      <c r="D87" s="1"/>
      <c r="E87" s="1"/>
      <c r="F87" s="1"/>
      <c r="G87" s="1"/>
      <c r="H87" s="1"/>
      <c r="I87" s="1"/>
      <c r="J87" s="1"/>
      <c r="K87" s="1"/>
      <c r="L87" s="1"/>
      <c r="M87" s="1"/>
      <c r="N87" s="1"/>
      <c r="O87" s="1"/>
      <c r="P87" s="1"/>
      <c r="Q87" s="1"/>
      <c r="R87" s="1"/>
      <c r="S87" s="1"/>
      <c r="T87" s="1"/>
      <c r="U87" s="1"/>
      <c r="V87" s="1"/>
      <c r="W87" s="1"/>
      <c r="X87" s="1"/>
      <c r="Y87" s="1"/>
      <c r="Z87" s="1"/>
    </row>
    <row r="88" spans="1:26" ht="19.5" customHeight="1">
      <c r="A88" s="72"/>
      <c r="B88" s="1"/>
      <c r="C88" s="1"/>
      <c r="D88" s="1"/>
      <c r="E88" s="1"/>
      <c r="F88" s="1"/>
      <c r="G88" s="1"/>
      <c r="H88" s="1"/>
      <c r="I88" s="1"/>
      <c r="J88" s="1"/>
      <c r="K88" s="1"/>
      <c r="L88" s="1"/>
      <c r="M88" s="1"/>
      <c r="N88" s="1"/>
      <c r="O88" s="1"/>
      <c r="P88" s="1"/>
      <c r="Q88" s="1"/>
      <c r="R88" s="1"/>
      <c r="S88" s="1"/>
      <c r="T88" s="1"/>
      <c r="U88" s="1"/>
      <c r="V88" s="1"/>
      <c r="W88" s="1"/>
      <c r="X88" s="1"/>
      <c r="Y88" s="1"/>
      <c r="Z88" s="1"/>
    </row>
    <row r="89" spans="1:26" ht="19.5" customHeight="1">
      <c r="A89" s="72"/>
      <c r="B89" s="1"/>
      <c r="C89" s="1"/>
      <c r="D89" s="1"/>
      <c r="E89" s="1"/>
      <c r="F89" s="1"/>
      <c r="G89" s="1"/>
      <c r="H89" s="1"/>
      <c r="I89" s="1"/>
      <c r="J89" s="1"/>
      <c r="K89" s="1"/>
      <c r="L89" s="1"/>
      <c r="M89" s="1"/>
      <c r="N89" s="1"/>
      <c r="O89" s="1"/>
      <c r="P89" s="1"/>
      <c r="Q89" s="1"/>
      <c r="R89" s="1"/>
      <c r="S89" s="1"/>
      <c r="T89" s="1"/>
      <c r="U89" s="1"/>
      <c r="V89" s="1"/>
      <c r="W89" s="1"/>
      <c r="X89" s="1"/>
      <c r="Y89" s="1"/>
      <c r="Z89" s="1"/>
    </row>
    <row r="90" spans="1:26" ht="19.5" customHeight="1">
      <c r="A90" s="72"/>
      <c r="B90" s="1"/>
      <c r="C90" s="1"/>
      <c r="D90" s="1"/>
      <c r="E90" s="1"/>
      <c r="F90" s="1"/>
      <c r="G90" s="1"/>
      <c r="H90" s="1"/>
      <c r="I90" s="1"/>
      <c r="J90" s="1"/>
      <c r="K90" s="1"/>
      <c r="L90" s="1"/>
      <c r="M90" s="1"/>
      <c r="N90" s="1"/>
      <c r="O90" s="1"/>
      <c r="P90" s="1"/>
      <c r="Q90" s="1"/>
      <c r="R90" s="1"/>
      <c r="S90" s="1"/>
      <c r="T90" s="1"/>
      <c r="U90" s="1"/>
      <c r="V90" s="1"/>
      <c r="W90" s="1"/>
      <c r="X90" s="1"/>
      <c r="Y90" s="1"/>
      <c r="Z90" s="1"/>
    </row>
    <row r="91" spans="1:26" ht="19.5" customHeight="1">
      <c r="A91" s="72"/>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c r="A92" s="72"/>
      <c r="B92" s="1"/>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c r="A93" s="72"/>
      <c r="B93" s="1"/>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c r="A94" s="72"/>
      <c r="B94" s="1"/>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c r="A95" s="72"/>
      <c r="B95" s="1"/>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c r="A96" s="72"/>
      <c r="B96" s="1"/>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c r="A97" s="72"/>
      <c r="B97" s="1"/>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c r="A98" s="72"/>
      <c r="B98" s="1"/>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c r="A99" s="72"/>
      <c r="B99" s="1"/>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c r="A100" s="7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7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7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7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7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7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7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7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7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7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7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7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7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7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7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7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7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7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7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7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7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7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7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7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7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7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7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7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7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7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7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7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7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7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7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7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7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7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7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7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7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7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7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7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7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7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7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7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7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7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7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7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7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7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7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7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7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7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7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7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7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7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7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7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7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7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7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7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7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7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7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7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7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7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7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7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7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7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7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7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7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7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7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7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7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7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7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7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7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7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7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7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7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7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7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7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7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7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7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7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7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7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7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7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7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7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7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7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7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7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7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7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7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7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7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7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7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7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7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7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7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7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7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7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7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7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E21:F21"/>
    <mergeCell ref="B25:G2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Y1271"/>
  <sheetViews>
    <sheetView tabSelected="1" zoomScale="70" zoomScaleNormal="70" workbookViewId="0">
      <selection activeCell="J16" sqref="J16"/>
    </sheetView>
  </sheetViews>
  <sheetFormatPr defaultColWidth="10.109375" defaultRowHeight="15" customHeight="1" outlineLevelRow="1"/>
  <cols>
    <col min="1" max="1" width="1.33203125" customWidth="1"/>
    <col min="2" max="2" width="7.77734375" customWidth="1"/>
    <col min="3" max="3" width="56.109375" customWidth="1"/>
    <col min="4" max="4" width="21.21875" customWidth="1"/>
    <col min="5" max="5" width="56" customWidth="1"/>
    <col min="6" max="6" width="10.21875" customWidth="1"/>
    <col min="7" max="7" width="12.77734375" customWidth="1"/>
    <col min="8" max="8" width="8.109375" customWidth="1"/>
    <col min="9" max="9" width="6.21875" customWidth="1"/>
    <col min="10" max="10" width="16.44140625" customWidth="1"/>
    <col min="11" max="11" width="11.109375" customWidth="1"/>
    <col min="12" max="12" width="8" customWidth="1"/>
    <col min="13" max="13" width="22.21875" customWidth="1"/>
    <col min="14" max="25" width="11.21875" customWidth="1"/>
  </cols>
  <sheetData>
    <row r="1" spans="1:25" ht="15" customHeight="1">
      <c r="A1" s="74"/>
      <c r="B1" s="75"/>
      <c r="C1" s="76"/>
      <c r="D1" s="75"/>
      <c r="E1" s="77"/>
      <c r="F1" s="75"/>
      <c r="G1" s="75"/>
      <c r="H1" s="75" t="s">
        <v>115</v>
      </c>
      <c r="I1" s="75">
        <f>SUM(L1:L3)</f>
        <v>241</v>
      </c>
      <c r="J1" s="78" t="s">
        <v>95</v>
      </c>
      <c r="K1" s="25" t="s">
        <v>61</v>
      </c>
      <c r="L1" s="79">
        <f t="shared" ref="L1:L3" si="0">COUNTIF(G:G,K1)</f>
        <v>163</v>
      </c>
      <c r="M1" s="80"/>
      <c r="N1" s="74"/>
      <c r="O1" s="74"/>
      <c r="P1" s="74"/>
      <c r="Q1" s="74"/>
      <c r="R1" s="74"/>
      <c r="S1" s="74"/>
      <c r="T1" s="74"/>
      <c r="U1" s="74"/>
      <c r="V1" s="74"/>
      <c r="W1" s="74"/>
      <c r="X1" s="74"/>
      <c r="Y1" s="74"/>
    </row>
    <row r="2" spans="1:25" ht="15" customHeight="1">
      <c r="A2" s="74"/>
      <c r="B2" s="75"/>
      <c r="C2" s="297"/>
      <c r="D2" s="297"/>
      <c r="E2" s="297"/>
      <c r="F2" s="75"/>
      <c r="G2" s="75"/>
      <c r="H2" s="75"/>
      <c r="I2" s="75"/>
      <c r="J2" s="81" t="s">
        <v>103</v>
      </c>
      <c r="K2" s="25" t="s">
        <v>63</v>
      </c>
      <c r="L2" s="79">
        <f t="shared" si="0"/>
        <v>53</v>
      </c>
      <c r="M2" s="82"/>
      <c r="N2" s="74"/>
      <c r="O2" s="74"/>
      <c r="P2" s="74"/>
      <c r="Q2" s="74"/>
      <c r="R2" s="74"/>
      <c r="S2" s="74"/>
      <c r="T2" s="74"/>
      <c r="U2" s="74"/>
      <c r="V2" s="74"/>
      <c r="W2" s="74"/>
      <c r="X2" s="74"/>
      <c r="Y2" s="74"/>
    </row>
    <row r="3" spans="1:25" ht="15" customHeight="1">
      <c r="A3" s="74"/>
      <c r="B3" s="83" t="s">
        <v>116</v>
      </c>
      <c r="C3" s="298" t="s">
        <v>117</v>
      </c>
      <c r="D3" s="299" t="s">
        <v>118</v>
      </c>
      <c r="E3" s="299" t="s">
        <v>119</v>
      </c>
      <c r="F3" s="84" t="s">
        <v>120</v>
      </c>
      <c r="G3" s="83" t="s">
        <v>121</v>
      </c>
      <c r="H3" s="83" t="s">
        <v>122</v>
      </c>
      <c r="I3" s="300"/>
      <c r="J3" s="301" t="s">
        <v>105</v>
      </c>
      <c r="K3" s="25" t="s">
        <v>65</v>
      </c>
      <c r="L3" s="79">
        <f t="shared" si="0"/>
        <v>25</v>
      </c>
      <c r="M3" s="85"/>
      <c r="N3" s="74"/>
      <c r="O3" s="74"/>
      <c r="P3" s="74"/>
      <c r="Q3" s="74"/>
      <c r="R3" s="74"/>
      <c r="S3" s="74"/>
      <c r="T3" s="74"/>
      <c r="U3" s="74"/>
      <c r="V3" s="74"/>
      <c r="W3" s="74"/>
      <c r="X3" s="74"/>
      <c r="Y3" s="74"/>
    </row>
    <row r="4" spans="1:25" ht="15" customHeight="1">
      <c r="A4" s="74"/>
      <c r="B4" s="86" t="s">
        <v>123</v>
      </c>
      <c r="C4" s="87" t="s">
        <v>124</v>
      </c>
      <c r="D4" s="88"/>
      <c r="E4" s="89"/>
      <c r="F4" s="90"/>
      <c r="G4" s="90"/>
      <c r="H4" s="90"/>
      <c r="I4" s="300"/>
      <c r="J4" s="80"/>
      <c r="K4" s="74"/>
      <c r="L4" s="75"/>
      <c r="M4" s="74"/>
      <c r="N4" s="74"/>
      <c r="O4" s="74"/>
      <c r="P4" s="74"/>
      <c r="Q4" s="74"/>
      <c r="R4" s="74"/>
      <c r="S4" s="74"/>
      <c r="T4" s="74"/>
      <c r="U4" s="74"/>
      <c r="V4" s="74"/>
      <c r="W4" s="74"/>
      <c r="X4" s="74"/>
      <c r="Y4" s="74"/>
    </row>
    <row r="5" spans="1:25" ht="15" customHeight="1">
      <c r="A5" s="74"/>
      <c r="B5" s="91" t="s">
        <v>6</v>
      </c>
      <c r="C5" s="92" t="s">
        <v>125</v>
      </c>
      <c r="D5" s="93"/>
      <c r="E5" s="92"/>
      <c r="F5" s="91" t="str">
        <f t="shared" ref="F5:F67" si="1">IF(D5="","","B")</f>
        <v/>
      </c>
      <c r="G5" s="91" t="str">
        <f t="shared" ref="G5:G67" si="2">IF(AND(B5&lt;&gt;"",C5&lt;&gt;"",D5&lt;&gt;""),IF(H5&lt;4,$K$1,IF(H5&lt;8,$K$2,$K$3)),"")</f>
        <v/>
      </c>
      <c r="H5" s="91" t="str">
        <f t="shared" ref="H5:H7" si="3">IF(AND(B5&lt;&gt;"",C5&lt;&gt;"",D5&lt;&gt;""),COUNTIF(I5:I512,B5),"")</f>
        <v/>
      </c>
      <c r="I5" s="79" t="str">
        <f>IF(OR(E5="",B5&lt;&gt;""),"",IF(#REF!&lt;&gt;"",#REF!,#REF!))</f>
        <v/>
      </c>
      <c r="J5" s="76"/>
      <c r="K5" s="74"/>
      <c r="L5" s="75"/>
      <c r="M5" s="74"/>
      <c r="N5" s="74"/>
      <c r="O5" s="74"/>
      <c r="P5" s="74"/>
      <c r="Q5" s="74"/>
      <c r="R5" s="74"/>
      <c r="S5" s="74"/>
      <c r="T5" s="74"/>
      <c r="U5" s="74"/>
      <c r="V5" s="74"/>
      <c r="W5" s="74"/>
      <c r="X5" s="74"/>
      <c r="Y5" s="74"/>
    </row>
    <row r="6" spans="1:25" ht="15" customHeight="1" outlineLevel="1">
      <c r="A6" s="74"/>
      <c r="B6" s="91">
        <f>IF(C6="","",IF(F6="B",COUNTIF($F$5:F7,"B"),""))</f>
        <v>1</v>
      </c>
      <c r="C6" s="94" t="s">
        <v>126</v>
      </c>
      <c r="D6" s="95" t="s">
        <v>127</v>
      </c>
      <c r="E6" s="94"/>
      <c r="F6" s="91" t="str">
        <f t="shared" si="1"/>
        <v>B</v>
      </c>
      <c r="G6" s="91" t="str">
        <f t="shared" si="2"/>
        <v>Trung bình</v>
      </c>
      <c r="H6" s="91">
        <f t="shared" si="3"/>
        <v>4</v>
      </c>
      <c r="I6" s="79" t="str">
        <f t="shared" ref="I6:I10" si="4">IF(OR(E6="",B6&lt;&gt;""),"",IF(I5&lt;&gt;"",I5,B5))</f>
        <v/>
      </c>
      <c r="J6" s="76"/>
      <c r="K6" s="74"/>
      <c r="L6" s="75"/>
      <c r="M6" s="74"/>
      <c r="N6" s="74"/>
      <c r="O6" s="74"/>
      <c r="P6" s="74"/>
      <c r="Q6" s="74"/>
      <c r="R6" s="74"/>
      <c r="S6" s="74"/>
      <c r="T6" s="74"/>
      <c r="U6" s="74"/>
      <c r="V6" s="74"/>
      <c r="W6" s="74"/>
      <c r="X6" s="74"/>
      <c r="Y6" s="74"/>
    </row>
    <row r="7" spans="1:25" ht="15" customHeight="1" outlineLevel="1">
      <c r="A7" s="74"/>
      <c r="B7" s="91" t="str">
        <f>IF(C7="","",IF(F7="B",COUNTIF($F$5:F7,"B"),""))</f>
        <v/>
      </c>
      <c r="C7" s="94"/>
      <c r="D7" s="95"/>
      <c r="E7" s="94" t="s">
        <v>128</v>
      </c>
      <c r="F7" s="91" t="str">
        <f t="shared" si="1"/>
        <v/>
      </c>
      <c r="G7" s="91" t="str">
        <f t="shared" si="2"/>
        <v/>
      </c>
      <c r="H7" s="91" t="str">
        <f t="shared" si="3"/>
        <v/>
      </c>
      <c r="I7" s="79">
        <f t="shared" si="4"/>
        <v>1</v>
      </c>
      <c r="J7" s="76"/>
      <c r="K7" s="74"/>
      <c r="L7" s="75"/>
      <c r="M7" s="74"/>
      <c r="N7" s="74"/>
      <c r="O7" s="74"/>
      <c r="P7" s="74"/>
      <c r="Q7" s="74"/>
      <c r="R7" s="74"/>
      <c r="S7" s="74"/>
      <c r="T7" s="74"/>
      <c r="U7" s="74"/>
      <c r="V7" s="74"/>
      <c r="W7" s="74"/>
      <c r="X7" s="74"/>
      <c r="Y7" s="74"/>
    </row>
    <row r="8" spans="1:25" ht="15" customHeight="1" outlineLevel="1">
      <c r="A8" s="74"/>
      <c r="B8" s="91" t="str">
        <f t="shared" ref="B8:B9" si="5">IF(C8="","",IF(F8="B",COUNTIF($F$5:F9,"B"),""))</f>
        <v/>
      </c>
      <c r="C8" s="94"/>
      <c r="D8" s="95"/>
      <c r="E8" s="94" t="s">
        <v>129</v>
      </c>
      <c r="F8" s="91" t="str">
        <f t="shared" si="1"/>
        <v/>
      </c>
      <c r="G8" s="91" t="str">
        <f t="shared" si="2"/>
        <v/>
      </c>
      <c r="H8" s="91" t="str">
        <f>IF(AND(B8&lt;&gt;"",C8&lt;&gt;"",D8&lt;&gt;""),COUNTIF(I8:I516,B8),"")</f>
        <v/>
      </c>
      <c r="I8" s="79">
        <f t="shared" si="4"/>
        <v>1</v>
      </c>
      <c r="J8" s="76"/>
      <c r="K8" s="74"/>
      <c r="L8" s="75"/>
      <c r="M8" s="74"/>
      <c r="N8" s="74"/>
      <c r="O8" s="74"/>
      <c r="P8" s="74"/>
      <c r="Q8" s="74"/>
      <c r="R8" s="74"/>
      <c r="S8" s="74"/>
      <c r="T8" s="74"/>
      <c r="U8" s="74"/>
      <c r="V8" s="74"/>
      <c r="W8" s="74"/>
      <c r="X8" s="74"/>
      <c r="Y8" s="74"/>
    </row>
    <row r="9" spans="1:25" ht="15" customHeight="1" outlineLevel="1">
      <c r="A9" s="74"/>
      <c r="B9" s="91" t="str">
        <f t="shared" si="5"/>
        <v/>
      </c>
      <c r="C9" s="94"/>
      <c r="D9" s="95"/>
      <c r="E9" s="94" t="s">
        <v>130</v>
      </c>
      <c r="F9" s="91" t="str">
        <f t="shared" si="1"/>
        <v/>
      </c>
      <c r="G9" s="91" t="str">
        <f t="shared" si="2"/>
        <v/>
      </c>
      <c r="H9" s="91" t="str">
        <f t="shared" ref="H9:H10" si="6">IF(AND(B9&lt;&gt;"",C9&lt;&gt;"",D9&lt;&gt;""),COUNTIF(I9:I518,B9),"")</f>
        <v/>
      </c>
      <c r="I9" s="79">
        <f t="shared" si="4"/>
        <v>1</v>
      </c>
      <c r="J9" s="76"/>
      <c r="K9" s="74"/>
      <c r="L9" s="75"/>
      <c r="M9" s="74"/>
      <c r="N9" s="74"/>
      <c r="O9" s="74"/>
      <c r="P9" s="74"/>
      <c r="Q9" s="74"/>
      <c r="R9" s="74"/>
      <c r="S9" s="74"/>
      <c r="T9" s="74"/>
      <c r="U9" s="74"/>
      <c r="V9" s="74"/>
      <c r="W9" s="74"/>
      <c r="X9" s="74"/>
      <c r="Y9" s="74"/>
    </row>
    <row r="10" spans="1:25" ht="15" customHeight="1" outlineLevel="1">
      <c r="A10" s="74"/>
      <c r="B10" s="91" t="str">
        <f>IF(C10="","",IF(F10="B",COUNTIF($F$5:F10,"B"),""))</f>
        <v/>
      </c>
      <c r="C10" s="94"/>
      <c r="D10" s="95"/>
      <c r="E10" s="94" t="s">
        <v>131</v>
      </c>
      <c r="F10" s="91" t="str">
        <f t="shared" si="1"/>
        <v/>
      </c>
      <c r="G10" s="91" t="str">
        <f t="shared" si="2"/>
        <v/>
      </c>
      <c r="H10" s="91" t="str">
        <f t="shared" si="6"/>
        <v/>
      </c>
      <c r="I10" s="79">
        <f t="shared" si="4"/>
        <v>1</v>
      </c>
      <c r="J10" s="76"/>
      <c r="K10" s="74"/>
      <c r="L10" s="75"/>
      <c r="M10" s="74"/>
      <c r="N10" s="74"/>
      <c r="O10" s="74"/>
      <c r="P10" s="74"/>
      <c r="Q10" s="74"/>
      <c r="R10" s="74"/>
      <c r="S10" s="74"/>
      <c r="T10" s="74"/>
      <c r="U10" s="74"/>
      <c r="V10" s="74"/>
      <c r="W10" s="74"/>
      <c r="X10" s="74"/>
      <c r="Y10" s="74"/>
    </row>
    <row r="11" spans="1:25" ht="15" customHeight="1" outlineLevel="1">
      <c r="A11" s="74"/>
      <c r="B11" s="91">
        <f t="shared" ref="B11:B15" si="7">IF(C11="","",IF(F11="B",COUNTIF($F$5:F12,"B"),""))</f>
        <v>2</v>
      </c>
      <c r="C11" s="94" t="s">
        <v>132</v>
      </c>
      <c r="D11" s="95" t="s">
        <v>127</v>
      </c>
      <c r="E11" s="94"/>
      <c r="F11" s="91" t="str">
        <f t="shared" si="1"/>
        <v>B</v>
      </c>
      <c r="G11" s="91" t="str">
        <f t="shared" si="2"/>
        <v>Trung bình</v>
      </c>
      <c r="H11" s="91">
        <f t="shared" ref="H11:H14" si="8">IF(AND(B11&lt;&gt;"",C11&lt;&gt;"",D11&lt;&gt;""),COUNTIF(I11:I522,B11),"")</f>
        <v>5</v>
      </c>
      <c r="I11" s="79" t="str">
        <f>IF(OR(E11="",B11&lt;&gt;""),"",IF(#REF!&lt;&gt;"",#REF!,#REF!))</f>
        <v/>
      </c>
      <c r="J11" s="76"/>
      <c r="K11" s="74"/>
      <c r="L11" s="75"/>
      <c r="M11" s="74"/>
      <c r="N11" s="74"/>
      <c r="O11" s="74"/>
      <c r="P11" s="74"/>
      <c r="Q11" s="74"/>
      <c r="R11" s="74"/>
      <c r="S11" s="74"/>
      <c r="T11" s="74"/>
      <c r="U11" s="74"/>
      <c r="V11" s="74"/>
      <c r="W11" s="74"/>
      <c r="X11" s="74"/>
      <c r="Y11" s="74"/>
    </row>
    <row r="12" spans="1:25" ht="15" customHeight="1" outlineLevel="1">
      <c r="A12" s="74"/>
      <c r="B12" s="91" t="str">
        <f t="shared" si="7"/>
        <v/>
      </c>
      <c r="C12" s="94"/>
      <c r="D12" s="95"/>
      <c r="E12" s="94" t="s">
        <v>133</v>
      </c>
      <c r="F12" s="91" t="str">
        <f t="shared" si="1"/>
        <v/>
      </c>
      <c r="G12" s="91" t="str">
        <f t="shared" si="2"/>
        <v/>
      </c>
      <c r="H12" s="91" t="str">
        <f t="shared" si="8"/>
        <v/>
      </c>
      <c r="I12" s="79">
        <f t="shared" ref="I12:I16" si="9">IF(OR(E12="",B12&lt;&gt;""),"",IF(I11&lt;&gt;"",I11,B11))</f>
        <v>2</v>
      </c>
      <c r="J12" s="76"/>
      <c r="K12" s="74"/>
      <c r="L12" s="75"/>
      <c r="M12" s="74"/>
      <c r="N12" s="74"/>
      <c r="O12" s="74"/>
      <c r="P12" s="74"/>
      <c r="Q12" s="74"/>
      <c r="R12" s="74"/>
      <c r="S12" s="74"/>
      <c r="T12" s="74"/>
      <c r="U12" s="74"/>
      <c r="V12" s="74"/>
      <c r="W12" s="74"/>
      <c r="X12" s="74"/>
      <c r="Y12" s="74"/>
    </row>
    <row r="13" spans="1:25" ht="15" customHeight="1" outlineLevel="1">
      <c r="A13" s="74"/>
      <c r="B13" s="91" t="str">
        <f t="shared" si="7"/>
        <v/>
      </c>
      <c r="C13" s="94"/>
      <c r="D13" s="95"/>
      <c r="E13" s="94" t="s">
        <v>134</v>
      </c>
      <c r="F13" s="91" t="str">
        <f t="shared" si="1"/>
        <v/>
      </c>
      <c r="G13" s="91" t="str">
        <f t="shared" si="2"/>
        <v/>
      </c>
      <c r="H13" s="91" t="str">
        <f t="shared" si="8"/>
        <v/>
      </c>
      <c r="I13" s="79">
        <f t="shared" si="9"/>
        <v>2</v>
      </c>
      <c r="J13" s="76"/>
      <c r="K13" s="74"/>
      <c r="L13" s="75"/>
      <c r="M13" s="74"/>
      <c r="N13" s="74"/>
      <c r="O13" s="74"/>
      <c r="P13" s="74"/>
      <c r="Q13" s="74"/>
      <c r="R13" s="74"/>
      <c r="S13" s="74"/>
      <c r="T13" s="74"/>
      <c r="U13" s="74"/>
      <c r="V13" s="74"/>
      <c r="W13" s="74"/>
      <c r="X13" s="74"/>
      <c r="Y13" s="74"/>
    </row>
    <row r="14" spans="1:25" ht="15" customHeight="1" outlineLevel="1">
      <c r="A14" s="74"/>
      <c r="B14" s="91" t="str">
        <f t="shared" si="7"/>
        <v/>
      </c>
      <c r="C14" s="94"/>
      <c r="D14" s="95"/>
      <c r="E14" s="94" t="s">
        <v>135</v>
      </c>
      <c r="F14" s="91" t="str">
        <f t="shared" si="1"/>
        <v/>
      </c>
      <c r="G14" s="91" t="str">
        <f t="shared" si="2"/>
        <v/>
      </c>
      <c r="H14" s="91" t="str">
        <f t="shared" si="8"/>
        <v/>
      </c>
      <c r="I14" s="79">
        <f t="shared" si="9"/>
        <v>2</v>
      </c>
      <c r="J14" s="76"/>
      <c r="K14" s="74"/>
      <c r="L14" s="75"/>
      <c r="M14" s="74"/>
      <c r="N14" s="74"/>
      <c r="O14" s="74"/>
      <c r="P14" s="74"/>
      <c r="Q14" s="74"/>
      <c r="R14" s="74"/>
      <c r="S14" s="74"/>
      <c r="T14" s="74"/>
      <c r="U14" s="74"/>
      <c r="V14" s="74"/>
      <c r="W14" s="74"/>
      <c r="X14" s="74"/>
      <c r="Y14" s="74"/>
    </row>
    <row r="15" spans="1:25" ht="15" customHeight="1" outlineLevel="1">
      <c r="A15" s="74"/>
      <c r="B15" s="91" t="str">
        <f t="shared" si="7"/>
        <v/>
      </c>
      <c r="C15" s="94"/>
      <c r="D15" s="95"/>
      <c r="E15" s="94" t="s">
        <v>136</v>
      </c>
      <c r="F15" s="91" t="str">
        <f t="shared" si="1"/>
        <v/>
      </c>
      <c r="G15" s="91" t="str">
        <f t="shared" si="2"/>
        <v/>
      </c>
      <c r="H15" s="91" t="str">
        <f>IF(AND(B15&lt;&gt;"",C15&lt;&gt;"",D15&lt;&gt;""),COUNTIF(I15:I525,B15),"")</f>
        <v/>
      </c>
      <c r="I15" s="79">
        <f t="shared" si="9"/>
        <v>2</v>
      </c>
      <c r="J15" s="76"/>
      <c r="K15" s="74"/>
      <c r="L15" s="75"/>
      <c r="M15" s="74"/>
      <c r="N15" s="74"/>
      <c r="O15" s="74"/>
      <c r="P15" s="74"/>
      <c r="Q15" s="74"/>
      <c r="R15" s="74"/>
      <c r="S15" s="74"/>
      <c r="T15" s="74"/>
      <c r="U15" s="74"/>
      <c r="V15" s="74"/>
      <c r="W15" s="74"/>
      <c r="X15" s="74"/>
      <c r="Y15" s="74"/>
    </row>
    <row r="16" spans="1:25" ht="15" customHeight="1" outlineLevel="1">
      <c r="A16" s="74"/>
      <c r="B16" s="91" t="str">
        <f>IF(C16="","",IF(F16="B",COUNTIF($F$5:F16,"B"),""))</f>
        <v/>
      </c>
      <c r="C16" s="94"/>
      <c r="D16" s="95"/>
      <c r="E16" s="94" t="s">
        <v>137</v>
      </c>
      <c r="F16" s="91" t="str">
        <f t="shared" si="1"/>
        <v/>
      </c>
      <c r="G16" s="91" t="str">
        <f t="shared" si="2"/>
        <v/>
      </c>
      <c r="H16" s="91" t="str">
        <f>IF(AND(B16&lt;&gt;"",C16&lt;&gt;"",D16&lt;&gt;""),COUNTIF(I16:I525,B16),"")</f>
        <v/>
      </c>
      <c r="I16" s="79">
        <f t="shared" si="9"/>
        <v>2</v>
      </c>
      <c r="J16" s="76"/>
      <c r="K16" s="74"/>
      <c r="L16" s="75"/>
      <c r="M16" s="74"/>
      <c r="N16" s="74"/>
      <c r="O16" s="74"/>
      <c r="P16" s="74"/>
      <c r="Q16" s="74"/>
      <c r="R16" s="74"/>
      <c r="S16" s="74"/>
      <c r="T16" s="74"/>
      <c r="U16" s="74"/>
      <c r="V16" s="74"/>
      <c r="W16" s="74"/>
      <c r="X16" s="74"/>
      <c r="Y16" s="74"/>
    </row>
    <row r="17" spans="1:25" ht="15" customHeight="1" outlineLevel="1">
      <c r="A17" s="74"/>
      <c r="B17" s="91" t="s">
        <v>138</v>
      </c>
      <c r="C17" s="92" t="s">
        <v>139</v>
      </c>
      <c r="D17" s="93"/>
      <c r="E17" s="94"/>
      <c r="F17" s="91" t="str">
        <f t="shared" si="1"/>
        <v/>
      </c>
      <c r="G17" s="91" t="str">
        <f t="shared" si="2"/>
        <v/>
      </c>
      <c r="H17" s="91" t="str">
        <f>IF(AND(B17&lt;&gt;"",C17&lt;&gt;"",D17&lt;&gt;""),COUNTIF(I17:I525,B17),"")</f>
        <v/>
      </c>
      <c r="I17" s="79" t="str">
        <f>IF(OR(E17="",B17&lt;&gt;""),"",IF(#REF!&lt;&gt;"",#REF!,#REF!))</f>
        <v/>
      </c>
      <c r="J17" s="76"/>
      <c r="K17" s="74"/>
      <c r="L17" s="75"/>
      <c r="M17" s="74"/>
      <c r="N17" s="74"/>
      <c r="O17" s="74"/>
      <c r="P17" s="74"/>
      <c r="Q17" s="74"/>
      <c r="R17" s="74"/>
      <c r="S17" s="74"/>
      <c r="T17" s="74"/>
      <c r="U17" s="74"/>
      <c r="V17" s="74"/>
      <c r="W17" s="74"/>
      <c r="X17" s="74"/>
      <c r="Y17" s="74"/>
    </row>
    <row r="18" spans="1:25" ht="15" customHeight="1" outlineLevel="1">
      <c r="A18" s="74"/>
      <c r="B18" s="91">
        <f t="shared" ref="B18:B23" si="10">IF(C18="","",IF(F18="B",COUNTIF($F$5:F19,"B"),""))</f>
        <v>3</v>
      </c>
      <c r="C18" s="94" t="s">
        <v>140</v>
      </c>
      <c r="D18" s="95" t="s">
        <v>127</v>
      </c>
      <c r="E18" s="94"/>
      <c r="F18" s="91" t="str">
        <f t="shared" si="1"/>
        <v>B</v>
      </c>
      <c r="G18" s="91" t="str">
        <f t="shared" si="2"/>
        <v>Trung bình</v>
      </c>
      <c r="H18" s="91">
        <f t="shared" ref="H18:H32" si="11">IF(AND(B18&lt;&gt;"",C18&lt;&gt;"",D18&lt;&gt;""),COUNTIF(I18:I511,B18),"")</f>
        <v>4</v>
      </c>
      <c r="I18" s="79" t="str">
        <f>IF(OR(E18="",B18&lt;&gt;""),"",IF(#REF!&lt;&gt;"",#REF!,#REF!))</f>
        <v/>
      </c>
      <c r="J18" s="76"/>
      <c r="K18" s="74"/>
      <c r="L18" s="75"/>
      <c r="M18" s="74"/>
      <c r="N18" s="74"/>
      <c r="O18" s="74"/>
      <c r="P18" s="74"/>
      <c r="Q18" s="74"/>
      <c r="R18" s="74"/>
      <c r="S18" s="74"/>
      <c r="T18" s="74"/>
      <c r="U18" s="74"/>
      <c r="V18" s="74"/>
      <c r="W18" s="74"/>
      <c r="X18" s="74"/>
      <c r="Y18" s="74"/>
    </row>
    <row r="19" spans="1:25" ht="15" customHeight="1" outlineLevel="1">
      <c r="A19" s="74"/>
      <c r="B19" s="91" t="str">
        <f t="shared" si="10"/>
        <v/>
      </c>
      <c r="C19" s="94"/>
      <c r="D19" s="95"/>
      <c r="E19" s="94" t="s">
        <v>141</v>
      </c>
      <c r="F19" s="91" t="str">
        <f t="shared" si="1"/>
        <v/>
      </c>
      <c r="G19" s="91" t="str">
        <f t="shared" si="2"/>
        <v/>
      </c>
      <c r="H19" s="91" t="str">
        <f t="shared" si="11"/>
        <v/>
      </c>
      <c r="I19" s="79">
        <f t="shared" ref="I19:I74" si="12">IF(OR(E19="",B19&lt;&gt;""),"",IF(I18&lt;&gt;"",I18,B18))</f>
        <v>3</v>
      </c>
      <c r="J19" s="76"/>
      <c r="K19" s="74"/>
      <c r="L19" s="75"/>
      <c r="M19" s="74"/>
      <c r="N19" s="74"/>
      <c r="O19" s="74"/>
      <c r="P19" s="74"/>
      <c r="Q19" s="74"/>
      <c r="R19" s="74"/>
      <c r="S19" s="74"/>
      <c r="T19" s="74"/>
      <c r="U19" s="74"/>
      <c r="V19" s="74"/>
      <c r="W19" s="74"/>
      <c r="X19" s="74"/>
      <c r="Y19" s="74"/>
    </row>
    <row r="20" spans="1:25" ht="15" customHeight="1" outlineLevel="1">
      <c r="A20" s="74"/>
      <c r="B20" s="91" t="str">
        <f t="shared" si="10"/>
        <v/>
      </c>
      <c r="C20" s="94"/>
      <c r="D20" s="95"/>
      <c r="E20" s="94" t="s">
        <v>142</v>
      </c>
      <c r="F20" s="91" t="str">
        <f t="shared" si="1"/>
        <v/>
      </c>
      <c r="G20" s="91" t="str">
        <f t="shared" si="2"/>
        <v/>
      </c>
      <c r="H20" s="91" t="str">
        <f t="shared" si="11"/>
        <v/>
      </c>
      <c r="I20" s="79">
        <f t="shared" si="12"/>
        <v>3</v>
      </c>
      <c r="J20" s="76"/>
      <c r="K20" s="74"/>
      <c r="L20" s="75"/>
      <c r="M20" s="74"/>
      <c r="N20" s="74"/>
      <c r="O20" s="74"/>
      <c r="P20" s="74"/>
      <c r="Q20" s="74"/>
      <c r="R20" s="74"/>
      <c r="S20" s="74"/>
      <c r="T20" s="74"/>
      <c r="U20" s="74"/>
      <c r="V20" s="74"/>
      <c r="W20" s="74"/>
      <c r="X20" s="74"/>
      <c r="Y20" s="74"/>
    </row>
    <row r="21" spans="1:25" ht="15" customHeight="1" outlineLevel="1">
      <c r="A21" s="74"/>
      <c r="B21" s="91" t="str">
        <f t="shared" si="10"/>
        <v/>
      </c>
      <c r="C21" s="94"/>
      <c r="D21" s="95"/>
      <c r="E21" s="94" t="s">
        <v>143</v>
      </c>
      <c r="F21" s="91" t="str">
        <f t="shared" si="1"/>
        <v/>
      </c>
      <c r="G21" s="91" t="str">
        <f t="shared" si="2"/>
        <v/>
      </c>
      <c r="H21" s="91" t="str">
        <f t="shared" si="11"/>
        <v/>
      </c>
      <c r="I21" s="79">
        <f t="shared" si="12"/>
        <v>3</v>
      </c>
      <c r="J21" s="76"/>
      <c r="K21" s="74"/>
      <c r="L21" s="75"/>
      <c r="M21" s="74"/>
      <c r="N21" s="74"/>
      <c r="O21" s="74"/>
      <c r="P21" s="74"/>
      <c r="Q21" s="74"/>
      <c r="R21" s="74"/>
      <c r="S21" s="74"/>
      <c r="T21" s="74"/>
      <c r="U21" s="74"/>
      <c r="V21" s="74"/>
      <c r="W21" s="74"/>
      <c r="X21" s="74"/>
      <c r="Y21" s="74"/>
    </row>
    <row r="22" spans="1:25" ht="15" customHeight="1" outlineLevel="1">
      <c r="A22" s="74"/>
      <c r="B22" s="91" t="str">
        <f t="shared" si="10"/>
        <v/>
      </c>
      <c r="C22" s="94"/>
      <c r="D22" s="95"/>
      <c r="E22" s="94" t="s">
        <v>144</v>
      </c>
      <c r="F22" s="91" t="str">
        <f t="shared" si="1"/>
        <v/>
      </c>
      <c r="G22" s="91" t="str">
        <f t="shared" si="2"/>
        <v/>
      </c>
      <c r="H22" s="91" t="str">
        <f t="shared" si="11"/>
        <v/>
      </c>
      <c r="I22" s="79">
        <f t="shared" si="12"/>
        <v>3</v>
      </c>
      <c r="J22" s="76"/>
      <c r="K22" s="74"/>
      <c r="L22" s="75"/>
      <c r="M22" s="74"/>
      <c r="N22" s="74"/>
      <c r="O22" s="74"/>
      <c r="P22" s="74"/>
      <c r="Q22" s="74"/>
      <c r="R22" s="74"/>
      <c r="S22" s="74"/>
      <c r="T22" s="74"/>
      <c r="U22" s="74"/>
      <c r="V22" s="74"/>
      <c r="W22" s="74"/>
      <c r="X22" s="74"/>
      <c r="Y22" s="74"/>
    </row>
    <row r="23" spans="1:25" ht="15" customHeight="1" outlineLevel="1">
      <c r="A23" s="74"/>
      <c r="B23" s="91">
        <f t="shared" si="10"/>
        <v>4</v>
      </c>
      <c r="C23" s="94" t="s">
        <v>145</v>
      </c>
      <c r="D23" s="95" t="s">
        <v>127</v>
      </c>
      <c r="E23" s="94"/>
      <c r="F23" s="91" t="str">
        <f t="shared" si="1"/>
        <v>B</v>
      </c>
      <c r="G23" s="91" t="str">
        <f t="shared" si="2"/>
        <v>Trung bình</v>
      </c>
      <c r="H23" s="91">
        <f t="shared" si="11"/>
        <v>4</v>
      </c>
      <c r="I23" s="79" t="str">
        <f t="shared" si="12"/>
        <v/>
      </c>
      <c r="J23" s="76"/>
      <c r="K23" s="74"/>
      <c r="L23" s="75"/>
      <c r="M23" s="74"/>
      <c r="N23" s="74"/>
      <c r="O23" s="74"/>
      <c r="P23" s="74"/>
      <c r="Q23" s="74"/>
      <c r="R23" s="74"/>
      <c r="S23" s="74"/>
      <c r="T23" s="74"/>
      <c r="U23" s="74"/>
      <c r="V23" s="74"/>
      <c r="W23" s="74"/>
      <c r="X23" s="74"/>
      <c r="Y23" s="74"/>
    </row>
    <row r="24" spans="1:25" ht="15" customHeight="1" outlineLevel="1">
      <c r="A24" s="74"/>
      <c r="B24" s="91" t="str">
        <f t="shared" ref="B24:B50" si="13">IF(C24="","",IF(F24="B",COUNTIF($F$6:F24,"B"),""))</f>
        <v/>
      </c>
      <c r="C24" s="94"/>
      <c r="D24" s="95"/>
      <c r="E24" s="94" t="s">
        <v>146</v>
      </c>
      <c r="F24" s="91" t="str">
        <f t="shared" si="1"/>
        <v/>
      </c>
      <c r="G24" s="91" t="str">
        <f t="shared" si="2"/>
        <v/>
      </c>
      <c r="H24" s="91" t="str">
        <f t="shared" si="11"/>
        <v/>
      </c>
      <c r="I24" s="79">
        <f t="shared" si="12"/>
        <v>4</v>
      </c>
      <c r="J24" s="76"/>
      <c r="K24" s="74"/>
      <c r="L24" s="75"/>
      <c r="M24" s="74"/>
      <c r="N24" s="74"/>
      <c r="O24" s="74"/>
      <c r="P24" s="74"/>
      <c r="Q24" s="74"/>
      <c r="R24" s="74"/>
      <c r="S24" s="74"/>
      <c r="T24" s="74"/>
      <c r="U24" s="74"/>
      <c r="V24" s="74"/>
      <c r="W24" s="74"/>
      <c r="X24" s="74"/>
      <c r="Y24" s="74"/>
    </row>
    <row r="25" spans="1:25" ht="15" customHeight="1" outlineLevel="1">
      <c r="A25" s="74"/>
      <c r="B25" s="91" t="str">
        <f t="shared" si="13"/>
        <v/>
      </c>
      <c r="C25" s="94"/>
      <c r="D25" s="95"/>
      <c r="E25" s="94" t="s">
        <v>147</v>
      </c>
      <c r="F25" s="91" t="str">
        <f t="shared" si="1"/>
        <v/>
      </c>
      <c r="G25" s="91" t="str">
        <f t="shared" si="2"/>
        <v/>
      </c>
      <c r="H25" s="91" t="str">
        <f t="shared" si="11"/>
        <v/>
      </c>
      <c r="I25" s="79">
        <f t="shared" si="12"/>
        <v>4</v>
      </c>
      <c r="J25" s="76"/>
      <c r="K25" s="74"/>
      <c r="L25" s="75"/>
      <c r="M25" s="74"/>
      <c r="N25" s="74"/>
      <c r="O25" s="74"/>
      <c r="P25" s="74"/>
      <c r="Q25" s="74"/>
      <c r="R25" s="74"/>
      <c r="S25" s="74"/>
      <c r="T25" s="74"/>
      <c r="U25" s="74"/>
      <c r="V25" s="74"/>
      <c r="W25" s="74"/>
      <c r="X25" s="74"/>
      <c r="Y25" s="74"/>
    </row>
    <row r="26" spans="1:25" ht="15" customHeight="1" outlineLevel="1">
      <c r="A26" s="74"/>
      <c r="B26" s="91" t="str">
        <f t="shared" si="13"/>
        <v/>
      </c>
      <c r="C26" s="94"/>
      <c r="D26" s="95"/>
      <c r="E26" s="94" t="s">
        <v>148</v>
      </c>
      <c r="F26" s="91" t="str">
        <f t="shared" si="1"/>
        <v/>
      </c>
      <c r="G26" s="91" t="str">
        <f t="shared" si="2"/>
        <v/>
      </c>
      <c r="H26" s="91" t="str">
        <f t="shared" si="11"/>
        <v/>
      </c>
      <c r="I26" s="79">
        <f t="shared" si="12"/>
        <v>4</v>
      </c>
      <c r="J26" s="76"/>
      <c r="K26" s="74"/>
      <c r="L26" s="75"/>
      <c r="M26" s="74"/>
      <c r="N26" s="74"/>
      <c r="O26" s="74"/>
      <c r="P26" s="74"/>
      <c r="Q26" s="74"/>
      <c r="R26" s="74"/>
      <c r="S26" s="74"/>
      <c r="T26" s="74"/>
      <c r="U26" s="74"/>
      <c r="V26" s="74"/>
      <c r="W26" s="74"/>
      <c r="X26" s="74"/>
      <c r="Y26" s="74"/>
    </row>
    <row r="27" spans="1:25" ht="15" customHeight="1" outlineLevel="1">
      <c r="A27" s="74"/>
      <c r="B27" s="91" t="str">
        <f t="shared" si="13"/>
        <v/>
      </c>
      <c r="C27" s="94"/>
      <c r="D27" s="95"/>
      <c r="E27" s="94" t="s">
        <v>149</v>
      </c>
      <c r="F27" s="91" t="str">
        <f t="shared" si="1"/>
        <v/>
      </c>
      <c r="G27" s="91" t="str">
        <f t="shared" si="2"/>
        <v/>
      </c>
      <c r="H27" s="91" t="str">
        <f t="shared" si="11"/>
        <v/>
      </c>
      <c r="I27" s="79">
        <f t="shared" si="12"/>
        <v>4</v>
      </c>
      <c r="J27" s="76"/>
      <c r="K27" s="74"/>
      <c r="L27" s="75"/>
      <c r="M27" s="74"/>
      <c r="N27" s="74"/>
      <c r="O27" s="74"/>
      <c r="P27" s="74"/>
      <c r="Q27" s="74"/>
      <c r="R27" s="74"/>
      <c r="S27" s="74"/>
      <c r="T27" s="74"/>
      <c r="U27" s="74"/>
      <c r="V27" s="74"/>
      <c r="W27" s="74"/>
      <c r="X27" s="74"/>
      <c r="Y27" s="74"/>
    </row>
    <row r="28" spans="1:25" ht="15" customHeight="1" outlineLevel="1">
      <c r="A28" s="74"/>
      <c r="B28" s="91">
        <f t="shared" si="13"/>
        <v>5</v>
      </c>
      <c r="C28" s="94" t="s">
        <v>150</v>
      </c>
      <c r="D28" s="95" t="s">
        <v>127</v>
      </c>
      <c r="E28" s="94"/>
      <c r="F28" s="91" t="str">
        <f t="shared" si="1"/>
        <v>B</v>
      </c>
      <c r="G28" s="91" t="str">
        <f t="shared" si="2"/>
        <v>Trung bình</v>
      </c>
      <c r="H28" s="91">
        <f t="shared" si="11"/>
        <v>5</v>
      </c>
      <c r="I28" s="79" t="str">
        <f t="shared" si="12"/>
        <v/>
      </c>
      <c r="J28" s="76"/>
      <c r="K28" s="74"/>
      <c r="L28" s="75"/>
      <c r="M28" s="74"/>
      <c r="N28" s="74"/>
      <c r="O28" s="74"/>
      <c r="P28" s="74"/>
      <c r="Q28" s="74"/>
      <c r="R28" s="74"/>
      <c r="S28" s="74"/>
      <c r="T28" s="74"/>
      <c r="U28" s="74"/>
      <c r="V28" s="74"/>
      <c r="W28" s="74"/>
      <c r="X28" s="74"/>
      <c r="Y28" s="74"/>
    </row>
    <row r="29" spans="1:25" ht="33.6" outlineLevel="1">
      <c r="A29" s="74"/>
      <c r="B29" s="91" t="str">
        <f t="shared" si="13"/>
        <v/>
      </c>
      <c r="C29" s="94"/>
      <c r="D29" s="95"/>
      <c r="E29" s="94" t="s">
        <v>151</v>
      </c>
      <c r="F29" s="91" t="str">
        <f t="shared" si="1"/>
        <v/>
      </c>
      <c r="G29" s="91" t="str">
        <f t="shared" si="2"/>
        <v/>
      </c>
      <c r="H29" s="91" t="str">
        <f t="shared" si="11"/>
        <v/>
      </c>
      <c r="I29" s="79">
        <f t="shared" si="12"/>
        <v>5</v>
      </c>
      <c r="J29" s="76"/>
      <c r="K29" s="74"/>
      <c r="L29" s="75"/>
      <c r="M29" s="74"/>
      <c r="N29" s="74"/>
      <c r="O29" s="74"/>
      <c r="P29" s="74"/>
      <c r="Q29" s="74"/>
      <c r="R29" s="74"/>
      <c r="S29" s="74"/>
      <c r="T29" s="74"/>
      <c r="U29" s="74"/>
      <c r="V29" s="74"/>
      <c r="W29" s="74"/>
      <c r="X29" s="74"/>
      <c r="Y29" s="74"/>
    </row>
    <row r="30" spans="1:25" ht="33.6" outlineLevel="1">
      <c r="A30" s="74"/>
      <c r="B30" s="91" t="str">
        <f t="shared" si="13"/>
        <v/>
      </c>
      <c r="C30" s="94"/>
      <c r="D30" s="95"/>
      <c r="E30" s="94" t="s">
        <v>152</v>
      </c>
      <c r="F30" s="91" t="str">
        <f t="shared" si="1"/>
        <v/>
      </c>
      <c r="G30" s="91" t="str">
        <f t="shared" si="2"/>
        <v/>
      </c>
      <c r="H30" s="91" t="str">
        <f t="shared" si="11"/>
        <v/>
      </c>
      <c r="I30" s="79">
        <f t="shared" si="12"/>
        <v>5</v>
      </c>
      <c r="J30" s="76"/>
      <c r="K30" s="74"/>
      <c r="L30" s="75"/>
      <c r="M30" s="74"/>
      <c r="N30" s="74"/>
      <c r="O30" s="74"/>
      <c r="P30" s="74"/>
      <c r="Q30" s="74"/>
      <c r="R30" s="74"/>
      <c r="S30" s="74"/>
      <c r="T30" s="74"/>
      <c r="U30" s="74"/>
      <c r="V30" s="74"/>
      <c r="W30" s="74"/>
      <c r="X30" s="74"/>
      <c r="Y30" s="74"/>
    </row>
    <row r="31" spans="1:25" ht="33.6" outlineLevel="1">
      <c r="A31" s="74"/>
      <c r="B31" s="91" t="str">
        <f t="shared" si="13"/>
        <v/>
      </c>
      <c r="C31" s="94"/>
      <c r="D31" s="95"/>
      <c r="E31" s="94" t="s">
        <v>153</v>
      </c>
      <c r="F31" s="91" t="str">
        <f t="shared" si="1"/>
        <v/>
      </c>
      <c r="G31" s="91" t="str">
        <f t="shared" si="2"/>
        <v/>
      </c>
      <c r="H31" s="91" t="str">
        <f t="shared" si="11"/>
        <v/>
      </c>
      <c r="I31" s="79">
        <f t="shared" si="12"/>
        <v>5</v>
      </c>
      <c r="J31" s="76"/>
      <c r="K31" s="74"/>
      <c r="L31" s="75"/>
      <c r="M31" s="74"/>
      <c r="N31" s="74"/>
      <c r="O31" s="74"/>
      <c r="P31" s="74"/>
      <c r="Q31" s="74"/>
      <c r="R31" s="74"/>
      <c r="S31" s="74"/>
      <c r="T31" s="74"/>
      <c r="U31" s="74"/>
      <c r="V31" s="74"/>
      <c r="W31" s="74"/>
      <c r="X31" s="74"/>
      <c r="Y31" s="74"/>
    </row>
    <row r="32" spans="1:25" ht="33.6" outlineLevel="1">
      <c r="A32" s="74"/>
      <c r="B32" s="91" t="str">
        <f t="shared" si="13"/>
        <v/>
      </c>
      <c r="C32" s="94"/>
      <c r="D32" s="95"/>
      <c r="E32" s="94" t="s">
        <v>154</v>
      </c>
      <c r="F32" s="91" t="str">
        <f t="shared" si="1"/>
        <v/>
      </c>
      <c r="G32" s="91" t="str">
        <f t="shared" si="2"/>
        <v/>
      </c>
      <c r="H32" s="91" t="str">
        <f t="shared" si="11"/>
        <v/>
      </c>
      <c r="I32" s="79">
        <f t="shared" si="12"/>
        <v>5</v>
      </c>
      <c r="J32" s="76"/>
      <c r="K32" s="74"/>
      <c r="L32" s="75"/>
      <c r="M32" s="74"/>
      <c r="N32" s="74"/>
      <c r="O32" s="74"/>
      <c r="P32" s="74"/>
      <c r="Q32" s="74"/>
      <c r="R32" s="74"/>
      <c r="S32" s="74"/>
      <c r="T32" s="74"/>
      <c r="U32" s="74"/>
      <c r="V32" s="74"/>
      <c r="W32" s="74"/>
      <c r="X32" s="74"/>
      <c r="Y32" s="74"/>
    </row>
    <row r="33" spans="1:25" ht="33.6" outlineLevel="1">
      <c r="A33" s="74"/>
      <c r="B33" s="91" t="str">
        <f t="shared" si="13"/>
        <v/>
      </c>
      <c r="C33" s="94"/>
      <c r="D33" s="95"/>
      <c r="E33" s="94" t="s">
        <v>155</v>
      </c>
      <c r="F33" s="91" t="str">
        <f t="shared" si="1"/>
        <v/>
      </c>
      <c r="G33" s="91" t="str">
        <f t="shared" si="2"/>
        <v/>
      </c>
      <c r="H33" s="91" t="str">
        <f>IF(AND(B33&lt;&gt;"",C33&lt;&gt;"",D33&lt;&gt;""),COUNTIF(I33:I525,B33),"")</f>
        <v/>
      </c>
      <c r="I33" s="79">
        <f t="shared" si="12"/>
        <v>5</v>
      </c>
      <c r="J33" s="76"/>
      <c r="K33" s="74"/>
      <c r="L33" s="75"/>
      <c r="M33" s="74"/>
      <c r="N33" s="74"/>
      <c r="O33" s="74"/>
      <c r="P33" s="74"/>
      <c r="Q33" s="74"/>
      <c r="R33" s="74"/>
      <c r="S33" s="74"/>
      <c r="T33" s="74"/>
      <c r="U33" s="74"/>
      <c r="V33" s="74"/>
      <c r="W33" s="74"/>
      <c r="X33" s="74"/>
      <c r="Y33" s="74"/>
    </row>
    <row r="34" spans="1:25" ht="18" outlineLevel="1">
      <c r="A34" s="74"/>
      <c r="B34" s="91">
        <f t="shared" si="13"/>
        <v>6</v>
      </c>
      <c r="C34" s="94" t="s">
        <v>156</v>
      </c>
      <c r="D34" s="95" t="s">
        <v>127</v>
      </c>
      <c r="E34" s="94"/>
      <c r="F34" s="91" t="str">
        <f t="shared" si="1"/>
        <v>B</v>
      </c>
      <c r="G34" s="91" t="str">
        <f t="shared" si="2"/>
        <v>Trung bình</v>
      </c>
      <c r="H34" s="91">
        <f>IF(AND(B34&lt;&gt;"",C34&lt;&gt;"",D34&lt;&gt;""),COUNTIF(I34:I525,B34),"")</f>
        <v>4</v>
      </c>
      <c r="I34" s="79" t="str">
        <f t="shared" si="12"/>
        <v/>
      </c>
      <c r="J34" s="76"/>
      <c r="K34" s="74"/>
      <c r="L34" s="75"/>
      <c r="M34" s="74"/>
      <c r="N34" s="74"/>
      <c r="O34" s="74"/>
      <c r="P34" s="74"/>
      <c r="Q34" s="74"/>
      <c r="R34" s="74"/>
      <c r="S34" s="74"/>
      <c r="T34" s="74"/>
      <c r="U34" s="74"/>
      <c r="V34" s="74"/>
      <c r="W34" s="74"/>
      <c r="X34" s="74"/>
      <c r="Y34" s="74"/>
    </row>
    <row r="35" spans="1:25" ht="33.6" outlineLevel="1">
      <c r="A35" s="74"/>
      <c r="B35" s="91" t="str">
        <f t="shared" si="13"/>
        <v/>
      </c>
      <c r="C35" s="94"/>
      <c r="D35" s="95"/>
      <c r="E35" s="94" t="s">
        <v>157</v>
      </c>
      <c r="F35" s="91" t="str">
        <f t="shared" si="1"/>
        <v/>
      </c>
      <c r="G35" s="91" t="str">
        <f t="shared" si="2"/>
        <v/>
      </c>
      <c r="H35" s="91" t="str">
        <f>IF(AND(B35&lt;&gt;"",C35&lt;&gt;"",D35&lt;&gt;""),COUNTIF(I35:I525,B35),"")</f>
        <v/>
      </c>
      <c r="I35" s="79">
        <f t="shared" si="12"/>
        <v>6</v>
      </c>
      <c r="J35" s="76"/>
      <c r="K35" s="74"/>
      <c r="L35" s="75"/>
      <c r="M35" s="74"/>
      <c r="N35" s="74"/>
      <c r="O35" s="74"/>
      <c r="P35" s="74"/>
      <c r="Q35" s="74"/>
      <c r="R35" s="74"/>
      <c r="S35" s="74"/>
      <c r="T35" s="74"/>
      <c r="U35" s="74"/>
      <c r="V35" s="74"/>
      <c r="W35" s="74"/>
      <c r="X35" s="74"/>
      <c r="Y35" s="74"/>
    </row>
    <row r="36" spans="1:25" ht="33.6" outlineLevel="1">
      <c r="A36" s="74"/>
      <c r="B36" s="91" t="str">
        <f t="shared" si="13"/>
        <v/>
      </c>
      <c r="C36" s="94"/>
      <c r="D36" s="95"/>
      <c r="E36" s="94" t="s">
        <v>158</v>
      </c>
      <c r="F36" s="91" t="str">
        <f t="shared" si="1"/>
        <v/>
      </c>
      <c r="G36" s="91" t="str">
        <f t="shared" si="2"/>
        <v/>
      </c>
      <c r="H36" s="91" t="str">
        <f>IF(AND(B36&lt;&gt;"",C36&lt;&gt;"",D36&lt;&gt;""),COUNTIF(I36:I525,B36),"")</f>
        <v/>
      </c>
      <c r="I36" s="79">
        <f t="shared" si="12"/>
        <v>6</v>
      </c>
      <c r="J36" s="76"/>
      <c r="K36" s="74"/>
      <c r="L36" s="75"/>
      <c r="M36" s="74"/>
      <c r="N36" s="74"/>
      <c r="O36" s="74"/>
      <c r="P36" s="74"/>
      <c r="Q36" s="74"/>
      <c r="R36" s="74"/>
      <c r="S36" s="74"/>
      <c r="T36" s="74"/>
      <c r="U36" s="74"/>
      <c r="V36" s="74"/>
      <c r="W36" s="74"/>
      <c r="X36" s="74"/>
      <c r="Y36" s="74"/>
    </row>
    <row r="37" spans="1:25" ht="33.6" outlineLevel="1">
      <c r="A37" s="74"/>
      <c r="B37" s="91" t="str">
        <f t="shared" si="13"/>
        <v/>
      </c>
      <c r="C37" s="94"/>
      <c r="D37" s="95"/>
      <c r="E37" s="94" t="s">
        <v>159</v>
      </c>
      <c r="F37" s="91" t="str">
        <f t="shared" si="1"/>
        <v/>
      </c>
      <c r="G37" s="91" t="str">
        <f t="shared" si="2"/>
        <v/>
      </c>
      <c r="H37" s="91" t="str">
        <f>IF(AND(B37&lt;&gt;"",C37&lt;&gt;"",D37&lt;&gt;""),COUNTIF(I37:I525,B37),"")</f>
        <v/>
      </c>
      <c r="I37" s="79">
        <f t="shared" si="12"/>
        <v>6</v>
      </c>
      <c r="J37" s="76"/>
      <c r="K37" s="74"/>
      <c r="L37" s="75"/>
      <c r="M37" s="74"/>
      <c r="N37" s="74"/>
      <c r="O37" s="74"/>
      <c r="P37" s="74"/>
      <c r="Q37" s="74"/>
      <c r="R37" s="74"/>
      <c r="S37" s="74"/>
      <c r="T37" s="74"/>
      <c r="U37" s="74"/>
      <c r="V37" s="74"/>
      <c r="W37" s="74"/>
      <c r="X37" s="74"/>
      <c r="Y37" s="74"/>
    </row>
    <row r="38" spans="1:25" ht="33.6" outlineLevel="1">
      <c r="A38" s="74"/>
      <c r="B38" s="91" t="str">
        <f t="shared" si="13"/>
        <v/>
      </c>
      <c r="C38" s="94"/>
      <c r="D38" s="95"/>
      <c r="E38" s="94" t="s">
        <v>160</v>
      </c>
      <c r="F38" s="91" t="str">
        <f t="shared" si="1"/>
        <v/>
      </c>
      <c r="G38" s="91" t="str">
        <f t="shared" si="2"/>
        <v/>
      </c>
      <c r="H38" s="91" t="str">
        <f>IF(AND(B38&lt;&gt;"",C38&lt;&gt;"",D38&lt;&gt;""),COUNTIF(I38:I525,B38),"")</f>
        <v/>
      </c>
      <c r="I38" s="79">
        <f t="shared" si="12"/>
        <v>6</v>
      </c>
      <c r="J38" s="76"/>
      <c r="K38" s="74"/>
      <c r="L38" s="75"/>
      <c r="M38" s="74"/>
      <c r="N38" s="74"/>
      <c r="O38" s="74"/>
      <c r="P38" s="74"/>
      <c r="Q38" s="74"/>
      <c r="R38" s="74"/>
      <c r="S38" s="74"/>
      <c r="T38" s="74"/>
      <c r="U38" s="74"/>
      <c r="V38" s="74"/>
      <c r="W38" s="74"/>
      <c r="X38" s="74"/>
      <c r="Y38" s="74"/>
    </row>
    <row r="39" spans="1:25" ht="18" outlineLevel="1">
      <c r="A39" s="74"/>
      <c r="B39" s="91">
        <f t="shared" si="13"/>
        <v>7</v>
      </c>
      <c r="C39" s="94" t="s">
        <v>161</v>
      </c>
      <c r="D39" s="95" t="s">
        <v>127</v>
      </c>
      <c r="E39" s="94"/>
      <c r="F39" s="91" t="str">
        <f t="shared" si="1"/>
        <v>B</v>
      </c>
      <c r="G39" s="91" t="str">
        <f t="shared" si="2"/>
        <v>Trung bình</v>
      </c>
      <c r="H39" s="91">
        <f>IF(AND(B39&lt;&gt;"",C39&lt;&gt;"",D39&lt;&gt;""),COUNTIF(I39:I525,B39),"")</f>
        <v>4</v>
      </c>
      <c r="I39" s="79" t="str">
        <f t="shared" si="12"/>
        <v/>
      </c>
      <c r="J39" s="76"/>
      <c r="K39" s="74"/>
      <c r="L39" s="75"/>
      <c r="M39" s="74"/>
      <c r="N39" s="74"/>
      <c r="O39" s="74"/>
      <c r="P39" s="74"/>
      <c r="Q39" s="74"/>
      <c r="R39" s="74"/>
      <c r="S39" s="74"/>
      <c r="T39" s="74"/>
      <c r="U39" s="74"/>
      <c r="V39" s="74"/>
      <c r="W39" s="74"/>
      <c r="X39" s="74"/>
      <c r="Y39" s="74"/>
    </row>
    <row r="40" spans="1:25" ht="33.6" outlineLevel="1">
      <c r="A40" s="74"/>
      <c r="B40" s="91" t="str">
        <f t="shared" si="13"/>
        <v/>
      </c>
      <c r="C40" s="94"/>
      <c r="D40" s="95"/>
      <c r="E40" s="94" t="s">
        <v>162</v>
      </c>
      <c r="F40" s="91" t="str">
        <f t="shared" si="1"/>
        <v/>
      </c>
      <c r="G40" s="91" t="str">
        <f t="shared" si="2"/>
        <v/>
      </c>
      <c r="H40" s="91" t="str">
        <f>IF(AND(B40&lt;&gt;"",C40&lt;&gt;"",D40&lt;&gt;""),COUNTIF(I40:I525,B40),"")</f>
        <v/>
      </c>
      <c r="I40" s="79">
        <f t="shared" si="12"/>
        <v>7</v>
      </c>
      <c r="J40" s="76"/>
      <c r="K40" s="74"/>
      <c r="L40" s="75"/>
      <c r="M40" s="74"/>
      <c r="N40" s="74"/>
      <c r="O40" s="74"/>
      <c r="P40" s="74"/>
      <c r="Q40" s="74"/>
      <c r="R40" s="74"/>
      <c r="S40" s="74"/>
      <c r="T40" s="74"/>
      <c r="U40" s="74"/>
      <c r="V40" s="74"/>
      <c r="W40" s="74"/>
      <c r="X40" s="74"/>
      <c r="Y40" s="74"/>
    </row>
    <row r="41" spans="1:25" ht="33.6" outlineLevel="1">
      <c r="A41" s="74"/>
      <c r="B41" s="91" t="str">
        <f t="shared" si="13"/>
        <v/>
      </c>
      <c r="C41" s="94"/>
      <c r="D41" s="95"/>
      <c r="E41" s="94" t="s">
        <v>163</v>
      </c>
      <c r="F41" s="91" t="str">
        <f t="shared" si="1"/>
        <v/>
      </c>
      <c r="G41" s="91" t="str">
        <f t="shared" si="2"/>
        <v/>
      </c>
      <c r="H41" s="91" t="str">
        <f>IF(AND(B41&lt;&gt;"",C41&lt;&gt;"",D41&lt;&gt;""),COUNTIF(I41:I525,B41),"")</f>
        <v/>
      </c>
      <c r="I41" s="79">
        <f t="shared" si="12"/>
        <v>7</v>
      </c>
      <c r="J41" s="76"/>
      <c r="K41" s="74"/>
      <c r="L41" s="75"/>
      <c r="M41" s="74"/>
      <c r="N41" s="74"/>
      <c r="O41" s="74"/>
      <c r="P41" s="74"/>
      <c r="Q41" s="74"/>
      <c r="R41" s="74"/>
      <c r="S41" s="74"/>
      <c r="T41" s="74"/>
      <c r="U41" s="74"/>
      <c r="V41" s="74"/>
      <c r="W41" s="74"/>
      <c r="X41" s="74"/>
      <c r="Y41" s="74"/>
    </row>
    <row r="42" spans="1:25" ht="33.6" outlineLevel="1">
      <c r="A42" s="74"/>
      <c r="B42" s="91" t="str">
        <f t="shared" si="13"/>
        <v/>
      </c>
      <c r="C42" s="94"/>
      <c r="D42" s="95"/>
      <c r="E42" s="94" t="s">
        <v>164</v>
      </c>
      <c r="F42" s="91" t="str">
        <f t="shared" si="1"/>
        <v/>
      </c>
      <c r="G42" s="91" t="str">
        <f t="shared" si="2"/>
        <v/>
      </c>
      <c r="H42" s="91" t="str">
        <f>IF(AND(B42&lt;&gt;"",C42&lt;&gt;"",D42&lt;&gt;""),COUNTIF(I42:I525,B42),"")</f>
        <v/>
      </c>
      <c r="I42" s="79">
        <f t="shared" si="12"/>
        <v>7</v>
      </c>
      <c r="J42" s="76"/>
      <c r="K42" s="74"/>
      <c r="L42" s="75"/>
      <c r="M42" s="74"/>
      <c r="N42" s="74"/>
      <c r="O42" s="74"/>
      <c r="P42" s="74"/>
      <c r="Q42" s="74"/>
      <c r="R42" s="74"/>
      <c r="S42" s="74"/>
      <c r="T42" s="74"/>
      <c r="U42" s="74"/>
      <c r="V42" s="74"/>
      <c r="W42" s="74"/>
      <c r="X42" s="74"/>
      <c r="Y42" s="74"/>
    </row>
    <row r="43" spans="1:25" ht="33.6" outlineLevel="1">
      <c r="A43" s="74"/>
      <c r="B43" s="91" t="str">
        <f t="shared" si="13"/>
        <v/>
      </c>
      <c r="C43" s="94"/>
      <c r="D43" s="95"/>
      <c r="E43" s="94" t="s">
        <v>165</v>
      </c>
      <c r="F43" s="91" t="str">
        <f t="shared" si="1"/>
        <v/>
      </c>
      <c r="G43" s="91" t="str">
        <f t="shared" si="2"/>
        <v/>
      </c>
      <c r="H43" s="91" t="str">
        <f>IF(AND(B43&lt;&gt;"",C43&lt;&gt;"",D43&lt;&gt;""),COUNTIF(I43:I525,B43),"")</f>
        <v/>
      </c>
      <c r="I43" s="79">
        <f t="shared" si="12"/>
        <v>7</v>
      </c>
      <c r="J43" s="76"/>
      <c r="K43" s="74"/>
      <c r="L43" s="75"/>
      <c r="M43" s="74"/>
      <c r="N43" s="74"/>
      <c r="O43" s="74"/>
      <c r="P43" s="74"/>
      <c r="Q43" s="74"/>
      <c r="R43" s="74"/>
      <c r="S43" s="74"/>
      <c r="T43" s="74"/>
      <c r="U43" s="74"/>
      <c r="V43" s="74"/>
      <c r="W43" s="74"/>
      <c r="X43" s="74"/>
      <c r="Y43" s="74"/>
    </row>
    <row r="44" spans="1:25" ht="18" outlineLevel="1">
      <c r="A44" s="74"/>
      <c r="B44" s="91" t="str">
        <f t="shared" si="13"/>
        <v/>
      </c>
      <c r="C44" s="94"/>
      <c r="D44" s="95"/>
      <c r="E44" s="94"/>
      <c r="F44" s="91" t="str">
        <f t="shared" si="1"/>
        <v/>
      </c>
      <c r="G44" s="91" t="str">
        <f t="shared" si="2"/>
        <v/>
      </c>
      <c r="H44" s="91"/>
      <c r="I44" s="79" t="str">
        <f t="shared" si="12"/>
        <v/>
      </c>
      <c r="J44" s="76"/>
      <c r="K44" s="74"/>
      <c r="L44" s="75"/>
      <c r="M44" s="74"/>
      <c r="N44" s="74"/>
      <c r="O44" s="74"/>
      <c r="P44" s="74"/>
      <c r="Q44" s="74"/>
      <c r="R44" s="74"/>
      <c r="S44" s="74"/>
      <c r="T44" s="74"/>
      <c r="U44" s="74"/>
      <c r="V44" s="74"/>
      <c r="W44" s="74"/>
      <c r="X44" s="74"/>
      <c r="Y44" s="74"/>
    </row>
    <row r="45" spans="1:25" ht="18" outlineLevel="1">
      <c r="A45" s="74"/>
      <c r="B45" s="91">
        <f t="shared" si="13"/>
        <v>8</v>
      </c>
      <c r="C45" s="94" t="s">
        <v>166</v>
      </c>
      <c r="D45" s="95" t="s">
        <v>127</v>
      </c>
      <c r="E45" s="94"/>
      <c r="F45" s="91" t="str">
        <f t="shared" si="1"/>
        <v>B</v>
      </c>
      <c r="G45" s="91" t="str">
        <f t="shared" si="2"/>
        <v>Đơn giản</v>
      </c>
      <c r="H45" s="91"/>
      <c r="I45" s="79" t="str">
        <f t="shared" si="12"/>
        <v/>
      </c>
      <c r="J45" s="76"/>
      <c r="K45" s="74"/>
      <c r="L45" s="75"/>
      <c r="M45" s="74"/>
      <c r="N45" s="74"/>
      <c r="O45" s="74"/>
      <c r="P45" s="74"/>
      <c r="Q45" s="74"/>
      <c r="R45" s="74"/>
      <c r="S45" s="74"/>
      <c r="T45" s="74"/>
      <c r="U45" s="74"/>
      <c r="V45" s="74"/>
      <c r="W45" s="74"/>
      <c r="X45" s="74"/>
      <c r="Y45" s="74"/>
    </row>
    <row r="46" spans="1:25" ht="33.6" outlineLevel="1">
      <c r="A46" s="74"/>
      <c r="B46" s="91" t="str">
        <f t="shared" si="13"/>
        <v/>
      </c>
      <c r="C46" s="94"/>
      <c r="D46" s="95"/>
      <c r="E46" s="94" t="s">
        <v>167</v>
      </c>
      <c r="F46" s="91" t="str">
        <f t="shared" si="1"/>
        <v/>
      </c>
      <c r="G46" s="91" t="str">
        <f t="shared" si="2"/>
        <v/>
      </c>
      <c r="H46" s="91"/>
      <c r="I46" s="79">
        <f t="shared" si="12"/>
        <v>8</v>
      </c>
      <c r="J46" s="76"/>
      <c r="K46" s="74"/>
      <c r="L46" s="75"/>
      <c r="M46" s="74"/>
      <c r="N46" s="74"/>
      <c r="O46" s="74"/>
      <c r="P46" s="74"/>
      <c r="Q46" s="74"/>
      <c r="R46" s="74"/>
      <c r="S46" s="74"/>
      <c r="T46" s="74"/>
      <c r="U46" s="74"/>
      <c r="V46" s="74"/>
      <c r="W46" s="74"/>
      <c r="X46" s="74"/>
      <c r="Y46" s="74"/>
    </row>
    <row r="47" spans="1:25" ht="33.6" outlineLevel="1">
      <c r="A47" s="74"/>
      <c r="B47" s="91" t="str">
        <f t="shared" si="13"/>
        <v/>
      </c>
      <c r="C47" s="94"/>
      <c r="D47" s="95"/>
      <c r="E47" s="94" t="s">
        <v>168</v>
      </c>
      <c r="F47" s="91" t="str">
        <f t="shared" si="1"/>
        <v/>
      </c>
      <c r="G47" s="91" t="str">
        <f t="shared" si="2"/>
        <v/>
      </c>
      <c r="H47" s="91" t="str">
        <f>IF(AND(B47&lt;&gt;"",C47&lt;&gt;"",D47&lt;&gt;""),COUNTIF(I47:I568,B47),"")</f>
        <v/>
      </c>
      <c r="I47" s="79">
        <f t="shared" si="12"/>
        <v>8</v>
      </c>
      <c r="J47" s="76"/>
      <c r="K47" s="74"/>
      <c r="L47" s="75"/>
      <c r="M47" s="74"/>
      <c r="N47" s="74"/>
      <c r="O47" s="74"/>
      <c r="P47" s="74"/>
      <c r="Q47" s="74"/>
      <c r="R47" s="74"/>
      <c r="S47" s="74"/>
      <c r="T47" s="74"/>
      <c r="U47" s="74"/>
      <c r="V47" s="74"/>
      <c r="W47" s="74"/>
      <c r="X47" s="74"/>
      <c r="Y47" s="74"/>
    </row>
    <row r="48" spans="1:25" ht="18" outlineLevel="1">
      <c r="A48" s="74"/>
      <c r="B48" s="91">
        <f t="shared" si="13"/>
        <v>9</v>
      </c>
      <c r="C48" s="94" t="s">
        <v>169</v>
      </c>
      <c r="D48" s="95" t="s">
        <v>127</v>
      </c>
      <c r="E48" s="94"/>
      <c r="F48" s="91" t="str">
        <f t="shared" si="1"/>
        <v>B</v>
      </c>
      <c r="G48" s="91" t="str">
        <f t="shared" si="2"/>
        <v>Đơn giản</v>
      </c>
      <c r="H48" s="91">
        <f>IF(AND(B48&lt;&gt;"",C48&lt;&gt;"",D48&lt;&gt;""),COUNTIF(I48:I568,B48),"")</f>
        <v>2</v>
      </c>
      <c r="I48" s="79" t="str">
        <f t="shared" si="12"/>
        <v/>
      </c>
      <c r="J48" s="76"/>
      <c r="K48" s="74"/>
      <c r="L48" s="75"/>
      <c r="M48" s="74"/>
      <c r="N48" s="74"/>
      <c r="O48" s="74"/>
      <c r="P48" s="74"/>
      <c r="Q48" s="74"/>
      <c r="R48" s="74"/>
      <c r="S48" s="74"/>
      <c r="T48" s="74"/>
      <c r="U48" s="74"/>
      <c r="V48" s="74"/>
      <c r="W48" s="74"/>
      <c r="X48" s="74"/>
      <c r="Y48" s="74"/>
    </row>
    <row r="49" spans="1:25" ht="33.6" outlineLevel="1">
      <c r="A49" s="74"/>
      <c r="B49" s="91" t="str">
        <f t="shared" si="13"/>
        <v/>
      </c>
      <c r="C49" s="94"/>
      <c r="D49" s="95"/>
      <c r="E49" s="94" t="s">
        <v>170</v>
      </c>
      <c r="F49" s="91" t="str">
        <f t="shared" si="1"/>
        <v/>
      </c>
      <c r="G49" s="91" t="str">
        <f t="shared" si="2"/>
        <v/>
      </c>
      <c r="H49" s="91" t="str">
        <f>IF(AND(B49&lt;&gt;"",C49&lt;&gt;"",D49&lt;&gt;""),COUNTIF(I49:I568,B49),"")</f>
        <v/>
      </c>
      <c r="I49" s="79">
        <f t="shared" si="12"/>
        <v>9</v>
      </c>
      <c r="J49" s="76"/>
      <c r="K49" s="74"/>
      <c r="L49" s="75"/>
      <c r="M49" s="74"/>
      <c r="N49" s="74"/>
      <c r="O49" s="74"/>
      <c r="P49" s="74"/>
      <c r="Q49" s="74"/>
      <c r="R49" s="74"/>
      <c r="S49" s="74"/>
      <c r="T49" s="74"/>
      <c r="U49" s="74"/>
      <c r="V49" s="74"/>
      <c r="W49" s="74"/>
      <c r="X49" s="74"/>
      <c r="Y49" s="74"/>
    </row>
    <row r="50" spans="1:25" ht="33.6" outlineLevel="1">
      <c r="A50" s="74"/>
      <c r="B50" s="91" t="str">
        <f t="shared" si="13"/>
        <v/>
      </c>
      <c r="C50" s="94"/>
      <c r="D50" s="95"/>
      <c r="E50" s="94" t="s">
        <v>171</v>
      </c>
      <c r="F50" s="91" t="str">
        <f t="shared" si="1"/>
        <v/>
      </c>
      <c r="G50" s="91" t="str">
        <f t="shared" si="2"/>
        <v/>
      </c>
      <c r="H50" s="91" t="str">
        <f>IF(AND(B50&lt;&gt;"",C50&lt;&gt;"",D50&lt;&gt;""),COUNTIF(I50:I568,B50),"")</f>
        <v/>
      </c>
      <c r="I50" s="79">
        <f t="shared" si="12"/>
        <v>9</v>
      </c>
      <c r="J50" s="76"/>
      <c r="K50" s="74"/>
      <c r="L50" s="75"/>
      <c r="M50" s="74"/>
      <c r="N50" s="74"/>
      <c r="O50" s="74"/>
      <c r="P50" s="74"/>
      <c r="Q50" s="74"/>
      <c r="R50" s="74"/>
      <c r="S50" s="74"/>
      <c r="T50" s="74"/>
      <c r="U50" s="74"/>
      <c r="V50" s="74"/>
      <c r="W50" s="74"/>
      <c r="X50" s="74"/>
      <c r="Y50" s="74"/>
    </row>
    <row r="51" spans="1:25" ht="18" outlineLevel="1">
      <c r="A51" s="74"/>
      <c r="B51" s="91" t="s">
        <v>24</v>
      </c>
      <c r="C51" s="92" t="s">
        <v>172</v>
      </c>
      <c r="D51" s="93"/>
      <c r="E51" s="94"/>
      <c r="F51" s="91" t="str">
        <f t="shared" si="1"/>
        <v/>
      </c>
      <c r="G51" s="91" t="str">
        <f t="shared" si="2"/>
        <v/>
      </c>
      <c r="H51" s="91" t="str">
        <f>IF(AND(B51&lt;&gt;"",C51&lt;&gt;"",D51&lt;&gt;""),COUNTIF(I51:I568,B51),"")</f>
        <v/>
      </c>
      <c r="I51" s="79" t="str">
        <f t="shared" si="12"/>
        <v/>
      </c>
      <c r="J51" s="76"/>
      <c r="K51" s="74"/>
      <c r="L51" s="75"/>
      <c r="M51" s="74"/>
      <c r="N51" s="74"/>
      <c r="O51" s="74"/>
      <c r="P51" s="74"/>
      <c r="Q51" s="74"/>
      <c r="R51" s="74"/>
      <c r="S51" s="74"/>
      <c r="T51" s="74"/>
      <c r="U51" s="74"/>
      <c r="V51" s="74"/>
      <c r="W51" s="74"/>
      <c r="X51" s="74"/>
      <c r="Y51" s="74"/>
    </row>
    <row r="52" spans="1:25" ht="18" outlineLevel="1">
      <c r="A52" s="74"/>
      <c r="B52" s="91">
        <f t="shared" ref="B52:B60" si="14">IF(C52="","",IF(F52="B",COUNTIF($F$6:F52,"B"),""))</f>
        <v>10</v>
      </c>
      <c r="C52" s="94" t="s">
        <v>173</v>
      </c>
      <c r="D52" s="95" t="s">
        <v>127</v>
      </c>
      <c r="E52" s="94"/>
      <c r="F52" s="91" t="str">
        <f t="shared" si="1"/>
        <v>B</v>
      </c>
      <c r="G52" s="91" t="str">
        <f t="shared" si="2"/>
        <v>Đơn giản</v>
      </c>
      <c r="H52" s="91">
        <f>IF(AND(B52&lt;&gt;"",C52&lt;&gt;"",D52&lt;&gt;""),COUNTIF(I52:I568,B52),"")</f>
        <v>2</v>
      </c>
      <c r="I52" s="79" t="str">
        <f t="shared" si="12"/>
        <v/>
      </c>
      <c r="J52" s="76"/>
      <c r="K52" s="74"/>
      <c r="L52" s="75"/>
      <c r="M52" s="74"/>
      <c r="N52" s="74"/>
      <c r="O52" s="74"/>
      <c r="P52" s="74"/>
      <c r="Q52" s="74"/>
      <c r="R52" s="74"/>
      <c r="S52" s="74"/>
      <c r="T52" s="74"/>
      <c r="U52" s="74"/>
      <c r="V52" s="74"/>
      <c r="W52" s="74"/>
      <c r="X52" s="74"/>
      <c r="Y52" s="74"/>
    </row>
    <row r="53" spans="1:25" ht="33.6" outlineLevel="1">
      <c r="A53" s="74"/>
      <c r="B53" s="91" t="str">
        <f t="shared" si="14"/>
        <v/>
      </c>
      <c r="C53" s="94"/>
      <c r="D53" s="95"/>
      <c r="E53" s="94" t="s">
        <v>174</v>
      </c>
      <c r="F53" s="91" t="str">
        <f t="shared" si="1"/>
        <v/>
      </c>
      <c r="G53" s="91" t="str">
        <f t="shared" si="2"/>
        <v/>
      </c>
      <c r="H53" s="91" t="str">
        <f t="shared" ref="H53:H55" si="15">IF(AND(B53&lt;&gt;"",C53&lt;&gt;"",D53&lt;&gt;""),COUNTIF(I53:I568,B53),"")</f>
        <v/>
      </c>
      <c r="I53" s="79">
        <f t="shared" si="12"/>
        <v>10</v>
      </c>
      <c r="J53" s="76"/>
      <c r="K53" s="74"/>
      <c r="L53" s="75"/>
      <c r="M53" s="74"/>
      <c r="N53" s="74"/>
      <c r="O53" s="74"/>
      <c r="P53" s="74"/>
      <c r="Q53" s="74"/>
      <c r="R53" s="74"/>
      <c r="S53" s="74"/>
      <c r="T53" s="74"/>
      <c r="U53" s="74"/>
      <c r="V53" s="74"/>
      <c r="W53" s="74"/>
      <c r="X53" s="74"/>
      <c r="Y53" s="74"/>
    </row>
    <row r="54" spans="1:25" ht="33.6" outlineLevel="1">
      <c r="A54" s="74"/>
      <c r="B54" s="91" t="str">
        <f t="shared" si="14"/>
        <v/>
      </c>
      <c r="C54" s="94"/>
      <c r="D54" s="95"/>
      <c r="E54" s="94" t="s">
        <v>175</v>
      </c>
      <c r="F54" s="91" t="str">
        <f t="shared" si="1"/>
        <v/>
      </c>
      <c r="G54" s="91" t="str">
        <f t="shared" si="2"/>
        <v/>
      </c>
      <c r="H54" s="91" t="str">
        <f t="shared" si="15"/>
        <v/>
      </c>
      <c r="I54" s="79">
        <f t="shared" si="12"/>
        <v>10</v>
      </c>
      <c r="J54" s="76"/>
      <c r="K54" s="74"/>
      <c r="L54" s="75"/>
      <c r="M54" s="74"/>
      <c r="N54" s="74"/>
      <c r="O54" s="74"/>
      <c r="P54" s="74"/>
      <c r="Q54" s="74"/>
      <c r="R54" s="74"/>
      <c r="S54" s="74"/>
      <c r="T54" s="74"/>
      <c r="U54" s="74"/>
      <c r="V54" s="74"/>
      <c r="W54" s="74"/>
      <c r="X54" s="74"/>
      <c r="Y54" s="74"/>
    </row>
    <row r="55" spans="1:25" ht="18" outlineLevel="1">
      <c r="A55" s="74"/>
      <c r="B55" s="91">
        <f t="shared" si="14"/>
        <v>11</v>
      </c>
      <c r="C55" s="94" t="s">
        <v>176</v>
      </c>
      <c r="D55" s="95" t="s">
        <v>127</v>
      </c>
      <c r="E55" s="94"/>
      <c r="F55" s="91" t="str">
        <f t="shared" si="1"/>
        <v>B</v>
      </c>
      <c r="G55" s="91" t="str">
        <f t="shared" si="2"/>
        <v>Đơn giản</v>
      </c>
      <c r="H55" s="91">
        <f t="shared" si="15"/>
        <v>1</v>
      </c>
      <c r="I55" s="79" t="str">
        <f t="shared" si="12"/>
        <v/>
      </c>
      <c r="J55" s="76"/>
      <c r="K55" s="74"/>
      <c r="L55" s="75"/>
      <c r="M55" s="74"/>
      <c r="N55" s="74"/>
      <c r="O55" s="74"/>
      <c r="P55" s="74"/>
      <c r="Q55" s="74"/>
      <c r="R55" s="74"/>
      <c r="S55" s="74"/>
      <c r="T55" s="74"/>
      <c r="U55" s="74"/>
      <c r="V55" s="74"/>
      <c r="W55" s="74"/>
      <c r="X55" s="74"/>
      <c r="Y55" s="74"/>
    </row>
    <row r="56" spans="1:25" ht="33.6" outlineLevel="1">
      <c r="A56" s="74"/>
      <c r="B56" s="91" t="str">
        <f t="shared" si="14"/>
        <v/>
      </c>
      <c r="C56" s="94"/>
      <c r="D56" s="95"/>
      <c r="E56" s="94" t="s">
        <v>177</v>
      </c>
      <c r="F56" s="91" t="str">
        <f t="shared" si="1"/>
        <v/>
      </c>
      <c r="G56" s="91" t="str">
        <f t="shared" si="2"/>
        <v/>
      </c>
      <c r="H56" s="91" t="str">
        <f t="shared" ref="H56:H70" si="16">IF(AND(B56&lt;&gt;"",C56&lt;&gt;"",D56&lt;&gt;""),COUNTIF(I56:I574,B56),"")</f>
        <v/>
      </c>
      <c r="I56" s="79">
        <f t="shared" si="12"/>
        <v>11</v>
      </c>
      <c r="J56" s="76"/>
      <c r="K56" s="74"/>
      <c r="L56" s="75"/>
      <c r="M56" s="74"/>
      <c r="N56" s="74"/>
      <c r="O56" s="74"/>
      <c r="P56" s="74"/>
      <c r="Q56" s="74"/>
      <c r="R56" s="74"/>
      <c r="S56" s="74"/>
      <c r="T56" s="74"/>
      <c r="U56" s="74"/>
      <c r="V56" s="74"/>
      <c r="W56" s="74"/>
      <c r="X56" s="74"/>
      <c r="Y56" s="74"/>
    </row>
    <row r="57" spans="1:25" ht="18" outlineLevel="1">
      <c r="A57" s="74"/>
      <c r="B57" s="91">
        <f t="shared" si="14"/>
        <v>12</v>
      </c>
      <c r="C57" s="94" t="s">
        <v>178</v>
      </c>
      <c r="D57" s="95" t="s">
        <v>127</v>
      </c>
      <c r="E57" s="94"/>
      <c r="F57" s="91" t="str">
        <f t="shared" si="1"/>
        <v>B</v>
      </c>
      <c r="G57" s="91" t="str">
        <f t="shared" si="2"/>
        <v>Đơn giản</v>
      </c>
      <c r="H57" s="91">
        <f t="shared" si="16"/>
        <v>3</v>
      </c>
      <c r="I57" s="79" t="str">
        <f t="shared" si="12"/>
        <v/>
      </c>
      <c r="J57" s="76"/>
      <c r="K57" s="74"/>
      <c r="L57" s="75"/>
      <c r="M57" s="74"/>
      <c r="N57" s="74"/>
      <c r="O57" s="74"/>
      <c r="P57" s="74"/>
      <c r="Q57" s="74"/>
      <c r="R57" s="74"/>
      <c r="S57" s="74"/>
      <c r="T57" s="74"/>
      <c r="U57" s="74"/>
      <c r="V57" s="74"/>
      <c r="W57" s="74"/>
      <c r="X57" s="74"/>
      <c r="Y57" s="74"/>
    </row>
    <row r="58" spans="1:25" ht="33.6" outlineLevel="1">
      <c r="A58" s="74"/>
      <c r="B58" s="91" t="str">
        <f t="shared" si="14"/>
        <v/>
      </c>
      <c r="C58" s="94"/>
      <c r="D58" s="95"/>
      <c r="E58" s="94" t="s">
        <v>179</v>
      </c>
      <c r="F58" s="91" t="str">
        <f t="shared" si="1"/>
        <v/>
      </c>
      <c r="G58" s="91" t="str">
        <f t="shared" si="2"/>
        <v/>
      </c>
      <c r="H58" s="91" t="str">
        <f t="shared" si="16"/>
        <v/>
      </c>
      <c r="I58" s="79">
        <f t="shared" si="12"/>
        <v>12</v>
      </c>
      <c r="J58" s="76"/>
      <c r="K58" s="74"/>
      <c r="L58" s="75"/>
      <c r="M58" s="74"/>
      <c r="N58" s="74"/>
      <c r="O58" s="74"/>
      <c r="P58" s="74"/>
      <c r="Q58" s="74"/>
      <c r="R58" s="74"/>
      <c r="S58" s="74"/>
      <c r="T58" s="74"/>
      <c r="U58" s="74"/>
      <c r="V58" s="74"/>
      <c r="W58" s="74"/>
      <c r="X58" s="74"/>
      <c r="Y58" s="74"/>
    </row>
    <row r="59" spans="1:25" ht="33.6" outlineLevel="1">
      <c r="A59" s="74"/>
      <c r="B59" s="91" t="str">
        <f t="shared" si="14"/>
        <v/>
      </c>
      <c r="C59" s="94"/>
      <c r="D59" s="95"/>
      <c r="E59" s="94" t="s">
        <v>180</v>
      </c>
      <c r="F59" s="91" t="str">
        <f t="shared" si="1"/>
        <v/>
      </c>
      <c r="G59" s="91" t="str">
        <f t="shared" si="2"/>
        <v/>
      </c>
      <c r="H59" s="91" t="str">
        <f t="shared" si="16"/>
        <v/>
      </c>
      <c r="I59" s="79">
        <f t="shared" si="12"/>
        <v>12</v>
      </c>
      <c r="J59" s="76"/>
      <c r="K59" s="74"/>
      <c r="L59" s="75"/>
      <c r="M59" s="74"/>
      <c r="N59" s="74"/>
      <c r="O59" s="74"/>
      <c r="P59" s="74"/>
      <c r="Q59" s="74"/>
      <c r="R59" s="74"/>
      <c r="S59" s="74"/>
      <c r="T59" s="74"/>
      <c r="U59" s="74"/>
      <c r="V59" s="74"/>
      <c r="W59" s="74"/>
      <c r="X59" s="74"/>
      <c r="Y59" s="74"/>
    </row>
    <row r="60" spans="1:25" ht="33.6" outlineLevel="1">
      <c r="A60" s="74"/>
      <c r="B60" s="91" t="str">
        <f t="shared" si="14"/>
        <v/>
      </c>
      <c r="C60" s="94"/>
      <c r="D60" s="95"/>
      <c r="E60" s="94" t="s">
        <v>181</v>
      </c>
      <c r="F60" s="91" t="str">
        <f t="shared" si="1"/>
        <v/>
      </c>
      <c r="G60" s="91" t="str">
        <f t="shared" si="2"/>
        <v/>
      </c>
      <c r="H60" s="91" t="str">
        <f t="shared" si="16"/>
        <v/>
      </c>
      <c r="I60" s="79">
        <f t="shared" si="12"/>
        <v>12</v>
      </c>
      <c r="J60" s="76"/>
      <c r="K60" s="74"/>
      <c r="L60" s="75"/>
      <c r="M60" s="74"/>
      <c r="N60" s="74"/>
      <c r="O60" s="74"/>
      <c r="P60" s="74"/>
      <c r="Q60" s="74"/>
      <c r="R60" s="74"/>
      <c r="S60" s="74"/>
      <c r="T60" s="74"/>
      <c r="U60" s="74"/>
      <c r="V60" s="74"/>
      <c r="W60" s="74"/>
      <c r="X60" s="74"/>
      <c r="Y60" s="74"/>
    </row>
    <row r="61" spans="1:25" ht="18" outlineLevel="1">
      <c r="A61" s="74"/>
      <c r="B61" s="91" t="s">
        <v>27</v>
      </c>
      <c r="C61" s="92" t="s">
        <v>182</v>
      </c>
      <c r="D61" s="93"/>
      <c r="E61" s="92"/>
      <c r="F61" s="91" t="str">
        <f t="shared" si="1"/>
        <v/>
      </c>
      <c r="G61" s="91" t="str">
        <f t="shared" si="2"/>
        <v/>
      </c>
      <c r="H61" s="91" t="str">
        <f t="shared" si="16"/>
        <v/>
      </c>
      <c r="I61" s="79" t="str">
        <f t="shared" si="12"/>
        <v/>
      </c>
      <c r="J61" s="76"/>
      <c r="K61" s="74"/>
      <c r="L61" s="75"/>
      <c r="M61" s="74"/>
      <c r="N61" s="74"/>
      <c r="O61" s="74"/>
      <c r="P61" s="74"/>
      <c r="Q61" s="74"/>
      <c r="R61" s="74"/>
      <c r="S61" s="74"/>
      <c r="T61" s="74"/>
      <c r="U61" s="74"/>
      <c r="V61" s="74"/>
      <c r="W61" s="74"/>
      <c r="X61" s="74"/>
      <c r="Y61" s="74"/>
    </row>
    <row r="62" spans="1:25" ht="18" outlineLevel="1">
      <c r="A62" s="74"/>
      <c r="B62" s="91" t="s">
        <v>183</v>
      </c>
      <c r="C62" s="92" t="s">
        <v>184</v>
      </c>
      <c r="D62" s="93"/>
      <c r="E62" s="94"/>
      <c r="F62" s="91" t="str">
        <f t="shared" si="1"/>
        <v/>
      </c>
      <c r="G62" s="91" t="str">
        <f t="shared" si="2"/>
        <v/>
      </c>
      <c r="H62" s="91" t="str">
        <f t="shared" si="16"/>
        <v/>
      </c>
      <c r="I62" s="79" t="str">
        <f t="shared" si="12"/>
        <v/>
      </c>
      <c r="J62" s="76"/>
      <c r="K62" s="74"/>
      <c r="L62" s="75"/>
      <c r="M62" s="74"/>
      <c r="N62" s="74"/>
      <c r="O62" s="74"/>
      <c r="P62" s="74"/>
      <c r="Q62" s="74"/>
      <c r="R62" s="74"/>
      <c r="S62" s="74"/>
      <c r="T62" s="74"/>
      <c r="U62" s="74"/>
      <c r="V62" s="74"/>
      <c r="W62" s="74"/>
      <c r="X62" s="74"/>
      <c r="Y62" s="74"/>
    </row>
    <row r="63" spans="1:25" ht="18" outlineLevel="1">
      <c r="A63" s="74"/>
      <c r="B63" s="91">
        <f t="shared" ref="B63:B112" si="17">IF(C63="","",IF(F63="B",COUNTIF($F$6:F63,"B"),""))</f>
        <v>13</v>
      </c>
      <c r="C63" s="94" t="s">
        <v>185</v>
      </c>
      <c r="D63" s="95" t="s">
        <v>127</v>
      </c>
      <c r="E63" s="94"/>
      <c r="F63" s="91" t="str">
        <f t="shared" si="1"/>
        <v>B</v>
      </c>
      <c r="G63" s="91" t="str">
        <f t="shared" si="2"/>
        <v>Trung bình</v>
      </c>
      <c r="H63" s="91">
        <f t="shared" si="16"/>
        <v>5</v>
      </c>
      <c r="I63" s="79" t="str">
        <f t="shared" si="12"/>
        <v/>
      </c>
      <c r="J63" s="76"/>
      <c r="K63" s="74"/>
      <c r="L63" s="75"/>
      <c r="M63" s="74"/>
      <c r="N63" s="74"/>
      <c r="O63" s="74"/>
      <c r="P63" s="74"/>
      <c r="Q63" s="74"/>
      <c r="R63" s="74"/>
      <c r="S63" s="74"/>
      <c r="T63" s="74"/>
      <c r="U63" s="74"/>
      <c r="V63" s="74"/>
      <c r="W63" s="74"/>
      <c r="X63" s="74"/>
      <c r="Y63" s="74"/>
    </row>
    <row r="64" spans="1:25" ht="84" outlineLevel="1">
      <c r="A64" s="74"/>
      <c r="B64" s="91" t="str">
        <f t="shared" si="17"/>
        <v/>
      </c>
      <c r="C64" s="94"/>
      <c r="D64" s="95"/>
      <c r="E64" s="94" t="s">
        <v>186</v>
      </c>
      <c r="F64" s="91" t="str">
        <f t="shared" si="1"/>
        <v/>
      </c>
      <c r="G64" s="91" t="str">
        <f t="shared" si="2"/>
        <v/>
      </c>
      <c r="H64" s="91" t="str">
        <f t="shared" si="16"/>
        <v/>
      </c>
      <c r="I64" s="79">
        <f t="shared" si="12"/>
        <v>13</v>
      </c>
      <c r="J64" s="76"/>
      <c r="K64" s="74"/>
      <c r="L64" s="75"/>
      <c r="M64" s="74"/>
      <c r="N64" s="74"/>
      <c r="O64" s="74"/>
      <c r="P64" s="74"/>
      <c r="Q64" s="74"/>
      <c r="R64" s="74"/>
      <c r="S64" s="74"/>
      <c r="T64" s="74"/>
      <c r="U64" s="74"/>
      <c r="V64" s="74"/>
      <c r="W64" s="74"/>
      <c r="X64" s="74"/>
      <c r="Y64" s="74"/>
    </row>
    <row r="65" spans="1:25" ht="84" outlineLevel="1">
      <c r="A65" s="74"/>
      <c r="B65" s="91" t="str">
        <f t="shared" si="17"/>
        <v/>
      </c>
      <c r="C65" s="94"/>
      <c r="D65" s="95"/>
      <c r="E65" s="94" t="s">
        <v>187</v>
      </c>
      <c r="F65" s="91" t="str">
        <f t="shared" si="1"/>
        <v/>
      </c>
      <c r="G65" s="91" t="str">
        <f t="shared" si="2"/>
        <v/>
      </c>
      <c r="H65" s="91" t="str">
        <f t="shared" si="16"/>
        <v/>
      </c>
      <c r="I65" s="79">
        <f t="shared" si="12"/>
        <v>13</v>
      </c>
      <c r="J65" s="76"/>
      <c r="K65" s="74"/>
      <c r="L65" s="75"/>
      <c r="M65" s="74"/>
      <c r="N65" s="74"/>
      <c r="O65" s="74"/>
      <c r="P65" s="74"/>
      <c r="Q65" s="74"/>
      <c r="R65" s="74"/>
      <c r="S65" s="74"/>
      <c r="T65" s="74"/>
      <c r="U65" s="74"/>
      <c r="V65" s="74"/>
      <c r="W65" s="74"/>
      <c r="X65" s="74"/>
      <c r="Y65" s="74"/>
    </row>
    <row r="66" spans="1:25" ht="84" outlineLevel="1">
      <c r="A66" s="74"/>
      <c r="B66" s="91" t="str">
        <f t="shared" si="17"/>
        <v/>
      </c>
      <c r="C66" s="94"/>
      <c r="D66" s="95"/>
      <c r="E66" s="94" t="s">
        <v>188</v>
      </c>
      <c r="F66" s="91" t="str">
        <f t="shared" si="1"/>
        <v/>
      </c>
      <c r="G66" s="91" t="str">
        <f t="shared" si="2"/>
        <v/>
      </c>
      <c r="H66" s="91" t="str">
        <f t="shared" si="16"/>
        <v/>
      </c>
      <c r="I66" s="79">
        <f t="shared" si="12"/>
        <v>13</v>
      </c>
      <c r="J66" s="76"/>
      <c r="K66" s="74"/>
      <c r="L66" s="75"/>
      <c r="M66" s="74"/>
      <c r="N66" s="74"/>
      <c r="O66" s="74"/>
      <c r="P66" s="74"/>
      <c r="Q66" s="74"/>
      <c r="R66" s="74"/>
      <c r="S66" s="74"/>
      <c r="T66" s="74"/>
      <c r="U66" s="74"/>
      <c r="V66" s="74"/>
      <c r="W66" s="74"/>
      <c r="X66" s="74"/>
      <c r="Y66" s="74"/>
    </row>
    <row r="67" spans="1:25" ht="84" outlineLevel="1">
      <c r="A67" s="74"/>
      <c r="B67" s="91" t="str">
        <f t="shared" si="17"/>
        <v/>
      </c>
      <c r="C67" s="94"/>
      <c r="D67" s="95"/>
      <c r="E67" s="94" t="s">
        <v>189</v>
      </c>
      <c r="F67" s="91" t="str">
        <f t="shared" si="1"/>
        <v/>
      </c>
      <c r="G67" s="91" t="str">
        <f t="shared" si="2"/>
        <v/>
      </c>
      <c r="H67" s="91" t="str">
        <f t="shared" si="16"/>
        <v/>
      </c>
      <c r="I67" s="79">
        <f t="shared" si="12"/>
        <v>13</v>
      </c>
      <c r="J67" s="76"/>
      <c r="K67" s="74"/>
      <c r="L67" s="75"/>
      <c r="M67" s="74"/>
      <c r="N67" s="74"/>
      <c r="O67" s="74"/>
      <c r="P67" s="74"/>
      <c r="Q67" s="74"/>
      <c r="R67" s="74"/>
      <c r="S67" s="74"/>
      <c r="T67" s="74"/>
      <c r="U67" s="74"/>
      <c r="V67" s="74"/>
      <c r="W67" s="74"/>
      <c r="X67" s="74"/>
      <c r="Y67" s="74"/>
    </row>
    <row r="68" spans="1:25" ht="67.150000000000006">
      <c r="A68" s="74"/>
      <c r="B68" s="91" t="str">
        <f t="shared" si="17"/>
        <v/>
      </c>
      <c r="C68" s="94"/>
      <c r="D68" s="95"/>
      <c r="E68" s="94" t="s">
        <v>190</v>
      </c>
      <c r="F68" s="91"/>
      <c r="G68" s="91"/>
      <c r="H68" s="91" t="str">
        <f t="shared" si="16"/>
        <v/>
      </c>
      <c r="I68" s="79">
        <f t="shared" si="12"/>
        <v>13</v>
      </c>
      <c r="J68" s="76"/>
      <c r="K68" s="74"/>
      <c r="L68" s="75"/>
      <c r="M68" s="74"/>
      <c r="N68" s="74"/>
      <c r="O68" s="74"/>
      <c r="P68" s="74"/>
      <c r="Q68" s="74"/>
      <c r="R68" s="74"/>
      <c r="S68" s="74"/>
      <c r="T68" s="74"/>
      <c r="U68" s="74"/>
      <c r="V68" s="74"/>
      <c r="W68" s="74"/>
      <c r="X68" s="74"/>
      <c r="Y68" s="74"/>
    </row>
    <row r="69" spans="1:25" ht="18" outlineLevel="1">
      <c r="A69" s="74"/>
      <c r="B69" s="91">
        <f t="shared" si="17"/>
        <v>14</v>
      </c>
      <c r="C69" s="94" t="s">
        <v>191</v>
      </c>
      <c r="D69" s="95" t="s">
        <v>127</v>
      </c>
      <c r="E69" s="94"/>
      <c r="F69" s="91" t="str">
        <f t="shared" ref="F69:F140" si="18">IF(D69="","","B")</f>
        <v>B</v>
      </c>
      <c r="G69" s="91" t="str">
        <f t="shared" ref="G69:G71" si="19">IF(AND(B69&lt;&gt;"",C69&lt;&gt;"",D69&lt;&gt;""),IF(H69&lt;4,$K$1,IF(H69&lt;8,$K$2,$K$3)),"")</f>
        <v>Phức tạp</v>
      </c>
      <c r="H69" s="91">
        <f t="shared" si="16"/>
        <v>10</v>
      </c>
      <c r="I69" s="79" t="str">
        <f t="shared" si="12"/>
        <v/>
      </c>
      <c r="J69" s="76"/>
      <c r="K69" s="74"/>
      <c r="L69" s="75"/>
      <c r="M69" s="74"/>
      <c r="N69" s="74"/>
      <c r="O69" s="74"/>
      <c r="P69" s="74"/>
      <c r="Q69" s="74"/>
      <c r="R69" s="74"/>
      <c r="S69" s="74"/>
      <c r="T69" s="74"/>
      <c r="U69" s="74"/>
      <c r="V69" s="74"/>
      <c r="W69" s="74"/>
      <c r="X69" s="74"/>
      <c r="Y69" s="74"/>
    </row>
    <row r="70" spans="1:25" ht="84" outlineLevel="1">
      <c r="A70" s="74"/>
      <c r="B70" s="91" t="str">
        <f t="shared" si="17"/>
        <v/>
      </c>
      <c r="C70" s="94"/>
      <c r="D70" s="95"/>
      <c r="E70" s="94" t="s">
        <v>192</v>
      </c>
      <c r="F70" s="91" t="str">
        <f t="shared" si="18"/>
        <v/>
      </c>
      <c r="G70" s="91" t="str">
        <f t="shared" si="19"/>
        <v/>
      </c>
      <c r="H70" s="91" t="str">
        <f t="shared" si="16"/>
        <v/>
      </c>
      <c r="I70" s="79">
        <f t="shared" si="12"/>
        <v>14</v>
      </c>
      <c r="J70" s="76"/>
      <c r="K70" s="74"/>
      <c r="L70" s="75"/>
      <c r="M70" s="74"/>
      <c r="N70" s="74"/>
      <c r="O70" s="74"/>
      <c r="P70" s="74"/>
      <c r="Q70" s="74"/>
      <c r="R70" s="74"/>
      <c r="S70" s="74"/>
      <c r="T70" s="74"/>
      <c r="U70" s="74"/>
      <c r="V70" s="74"/>
      <c r="W70" s="74"/>
      <c r="X70" s="74"/>
      <c r="Y70" s="74"/>
    </row>
    <row r="71" spans="1:25" ht="84" outlineLevel="1">
      <c r="A71" s="74"/>
      <c r="B71" s="91" t="str">
        <f t="shared" si="17"/>
        <v/>
      </c>
      <c r="C71" s="94"/>
      <c r="D71" s="95"/>
      <c r="E71" s="94" t="s">
        <v>193</v>
      </c>
      <c r="F71" s="91" t="str">
        <f t="shared" si="18"/>
        <v/>
      </c>
      <c r="G71" s="91" t="str">
        <f t="shared" si="19"/>
        <v/>
      </c>
      <c r="H71" s="91" t="str">
        <f>IF(AND(B71&lt;&gt;"",C71&lt;&gt;"",D71&lt;&gt;""),COUNTIF(I71:I568,B71),"")</f>
        <v/>
      </c>
      <c r="I71" s="79">
        <f t="shared" si="12"/>
        <v>14</v>
      </c>
      <c r="J71" s="76"/>
      <c r="K71" s="74"/>
      <c r="L71" s="75"/>
      <c r="M71" s="74"/>
      <c r="N71" s="74"/>
      <c r="O71" s="74"/>
      <c r="P71" s="74"/>
      <c r="Q71" s="74"/>
      <c r="R71" s="74"/>
      <c r="S71" s="74"/>
      <c r="T71" s="74"/>
      <c r="U71" s="74"/>
      <c r="V71" s="74"/>
      <c r="W71" s="74"/>
      <c r="X71" s="74"/>
      <c r="Y71" s="74"/>
    </row>
    <row r="72" spans="1:25" ht="84" outlineLevel="1">
      <c r="A72" s="74"/>
      <c r="B72" s="91" t="str">
        <f t="shared" si="17"/>
        <v/>
      </c>
      <c r="C72" s="94"/>
      <c r="D72" s="95"/>
      <c r="E72" s="94" t="s">
        <v>194</v>
      </c>
      <c r="F72" s="91" t="str">
        <f t="shared" si="18"/>
        <v/>
      </c>
      <c r="G72" s="91"/>
      <c r="H72" s="91"/>
      <c r="I72" s="79">
        <f t="shared" si="12"/>
        <v>14</v>
      </c>
      <c r="J72" s="76"/>
      <c r="K72" s="74"/>
      <c r="L72" s="75"/>
      <c r="M72" s="74"/>
      <c r="N72" s="74"/>
      <c r="O72" s="74"/>
      <c r="P72" s="74"/>
      <c r="Q72" s="74"/>
      <c r="R72" s="74"/>
      <c r="S72" s="74"/>
      <c r="T72" s="74"/>
      <c r="U72" s="74"/>
      <c r="V72" s="74"/>
      <c r="W72" s="74"/>
      <c r="X72" s="74"/>
      <c r="Y72" s="74"/>
    </row>
    <row r="73" spans="1:25" ht="84" outlineLevel="1">
      <c r="A73" s="74"/>
      <c r="B73" s="91" t="str">
        <f t="shared" si="17"/>
        <v/>
      </c>
      <c r="C73" s="94"/>
      <c r="D73" s="95"/>
      <c r="E73" s="94" t="s">
        <v>195</v>
      </c>
      <c r="F73" s="91" t="str">
        <f t="shared" si="18"/>
        <v/>
      </c>
      <c r="G73" s="91"/>
      <c r="H73" s="91"/>
      <c r="I73" s="79">
        <f t="shared" si="12"/>
        <v>14</v>
      </c>
      <c r="J73" s="76"/>
      <c r="K73" s="74"/>
      <c r="L73" s="75"/>
      <c r="M73" s="74"/>
      <c r="N73" s="74"/>
      <c r="O73" s="74"/>
      <c r="P73" s="74"/>
      <c r="Q73" s="74"/>
      <c r="R73" s="74"/>
      <c r="S73" s="74"/>
      <c r="T73" s="74"/>
      <c r="U73" s="74"/>
      <c r="V73" s="74"/>
      <c r="W73" s="74"/>
      <c r="X73" s="74"/>
      <c r="Y73" s="74"/>
    </row>
    <row r="74" spans="1:25" ht="84" outlineLevel="1">
      <c r="A74" s="74"/>
      <c r="B74" s="91" t="str">
        <f t="shared" si="17"/>
        <v/>
      </c>
      <c r="C74" s="94"/>
      <c r="D74" s="95"/>
      <c r="E74" s="94" t="s">
        <v>196</v>
      </c>
      <c r="F74" s="91" t="str">
        <f t="shared" si="18"/>
        <v/>
      </c>
      <c r="G74" s="91"/>
      <c r="H74" s="91"/>
      <c r="I74" s="79">
        <f t="shared" si="12"/>
        <v>14</v>
      </c>
      <c r="J74" s="76"/>
      <c r="K74" s="74"/>
      <c r="L74" s="75"/>
      <c r="M74" s="74"/>
      <c r="N74" s="74"/>
      <c r="O74" s="74"/>
      <c r="P74" s="74"/>
      <c r="Q74" s="74"/>
      <c r="R74" s="74"/>
      <c r="S74" s="74"/>
      <c r="T74" s="74"/>
      <c r="U74" s="74"/>
      <c r="V74" s="74"/>
      <c r="W74" s="74"/>
      <c r="X74" s="74"/>
      <c r="Y74" s="74"/>
    </row>
    <row r="75" spans="1:25" ht="84" outlineLevel="1">
      <c r="A75" s="74"/>
      <c r="B75" s="91" t="str">
        <f t="shared" si="17"/>
        <v/>
      </c>
      <c r="C75" s="94"/>
      <c r="D75" s="95"/>
      <c r="E75" s="94" t="s">
        <v>197</v>
      </c>
      <c r="F75" s="91" t="str">
        <f t="shared" si="18"/>
        <v/>
      </c>
      <c r="G75" s="91" t="str">
        <f t="shared" ref="G75:G140" si="20">IF(AND(B75&lt;&gt;"",C75&lt;&gt;"",D75&lt;&gt;""),IF(H75&lt;4,$K$1,IF(H75&lt;8,$K$2,$K$3)),"")</f>
        <v/>
      </c>
      <c r="H75" s="91" t="str">
        <f>IF(AND(B75&lt;&gt;"",C75&lt;&gt;"",D75&lt;&gt;""),COUNTIF(I75:I568,B75),"")</f>
        <v/>
      </c>
      <c r="I75" s="79">
        <f>IF(OR(E75="",B75&lt;&gt;""),"",IF(I71&lt;&gt;"",I71,B71))</f>
        <v>14</v>
      </c>
      <c r="J75" s="76"/>
      <c r="K75" s="74"/>
      <c r="L75" s="75"/>
      <c r="M75" s="74"/>
      <c r="N75" s="74"/>
      <c r="O75" s="74"/>
      <c r="P75" s="74"/>
      <c r="Q75" s="74"/>
      <c r="R75" s="74"/>
      <c r="S75" s="74"/>
      <c r="T75" s="74"/>
      <c r="U75" s="74"/>
      <c r="V75" s="74"/>
      <c r="W75" s="74"/>
      <c r="X75" s="74"/>
      <c r="Y75" s="74"/>
    </row>
    <row r="76" spans="1:25" ht="84" outlineLevel="1">
      <c r="A76" s="74"/>
      <c r="B76" s="91" t="str">
        <f t="shared" si="17"/>
        <v/>
      </c>
      <c r="C76" s="94"/>
      <c r="D76" s="95"/>
      <c r="E76" s="94" t="s">
        <v>198</v>
      </c>
      <c r="F76" s="91" t="str">
        <f t="shared" si="18"/>
        <v/>
      </c>
      <c r="G76" s="91" t="str">
        <f t="shared" si="20"/>
        <v/>
      </c>
      <c r="H76" s="91" t="str">
        <f>IF(AND(B76&lt;&gt;"",C76&lt;&gt;"",D76&lt;&gt;""),COUNTIF(I76:I568,B76),"")</f>
        <v/>
      </c>
      <c r="I76" s="79">
        <f t="shared" ref="I76:I355" si="21">IF(OR(E76="",B76&lt;&gt;""),"",IF(I75&lt;&gt;"",I75,B75))</f>
        <v>14</v>
      </c>
      <c r="J76" s="76"/>
      <c r="K76" s="74"/>
      <c r="L76" s="75"/>
      <c r="M76" s="74"/>
      <c r="N76" s="74"/>
      <c r="O76" s="74"/>
      <c r="P76" s="74"/>
      <c r="Q76" s="74"/>
      <c r="R76" s="74"/>
      <c r="S76" s="74"/>
      <c r="T76" s="74"/>
      <c r="U76" s="74"/>
      <c r="V76" s="74"/>
      <c r="W76" s="74"/>
      <c r="X76" s="74"/>
      <c r="Y76" s="74"/>
    </row>
    <row r="77" spans="1:25" ht="84" outlineLevel="1">
      <c r="A77" s="74"/>
      <c r="B77" s="91" t="str">
        <f t="shared" si="17"/>
        <v/>
      </c>
      <c r="C77" s="94"/>
      <c r="D77" s="95"/>
      <c r="E77" s="94" t="s">
        <v>199</v>
      </c>
      <c r="F77" s="91" t="str">
        <f t="shared" si="18"/>
        <v/>
      </c>
      <c r="G77" s="91" t="str">
        <f t="shared" si="20"/>
        <v/>
      </c>
      <c r="H77" s="91" t="str">
        <f>IF(AND(B77&lt;&gt;"",C77&lt;&gt;"",D77&lt;&gt;""),COUNTIF(I77:I568,B77),"")</f>
        <v/>
      </c>
      <c r="I77" s="79">
        <f t="shared" si="21"/>
        <v>14</v>
      </c>
      <c r="J77" s="76"/>
      <c r="K77" s="74"/>
      <c r="L77" s="75"/>
      <c r="M77" s="74"/>
      <c r="N77" s="74"/>
      <c r="O77" s="74"/>
      <c r="P77" s="74"/>
      <c r="Q77" s="74"/>
      <c r="R77" s="74"/>
      <c r="S77" s="74"/>
      <c r="T77" s="74"/>
      <c r="U77" s="74"/>
      <c r="V77" s="74"/>
      <c r="W77" s="74"/>
      <c r="X77" s="74"/>
      <c r="Y77" s="74"/>
    </row>
    <row r="78" spans="1:25" ht="84" outlineLevel="1">
      <c r="A78" s="74"/>
      <c r="B78" s="91" t="str">
        <f t="shared" si="17"/>
        <v/>
      </c>
      <c r="C78" s="94"/>
      <c r="D78" s="95"/>
      <c r="E78" s="94" t="s">
        <v>200</v>
      </c>
      <c r="F78" s="91" t="str">
        <f t="shared" si="18"/>
        <v/>
      </c>
      <c r="G78" s="91" t="str">
        <f t="shared" si="20"/>
        <v/>
      </c>
      <c r="H78" s="91" t="str">
        <f>IF(AND(B78&lt;&gt;"",C78&lt;&gt;"",D78&lt;&gt;""),COUNTIF(I78:I568,B78),"")</f>
        <v/>
      </c>
      <c r="I78" s="79">
        <f t="shared" si="21"/>
        <v>14</v>
      </c>
      <c r="J78" s="76"/>
      <c r="K78" s="74"/>
      <c r="L78" s="75"/>
      <c r="M78" s="74"/>
      <c r="N78" s="74"/>
      <c r="O78" s="74"/>
      <c r="P78" s="74"/>
      <c r="Q78" s="74"/>
      <c r="R78" s="74"/>
      <c r="S78" s="74"/>
      <c r="T78" s="74"/>
      <c r="U78" s="74"/>
      <c r="V78" s="74"/>
      <c r="W78" s="74"/>
      <c r="X78" s="74"/>
      <c r="Y78" s="74"/>
    </row>
    <row r="79" spans="1:25" ht="84" outlineLevel="1">
      <c r="A79" s="74"/>
      <c r="B79" s="91" t="str">
        <f t="shared" si="17"/>
        <v/>
      </c>
      <c r="C79" s="94"/>
      <c r="D79" s="95"/>
      <c r="E79" s="94" t="s">
        <v>201</v>
      </c>
      <c r="F79" s="91" t="str">
        <f t="shared" si="18"/>
        <v/>
      </c>
      <c r="G79" s="91" t="str">
        <f t="shared" si="20"/>
        <v/>
      </c>
      <c r="H79" s="91" t="str">
        <f>IF(AND(B79&lt;&gt;"",C79&lt;&gt;"",D79&lt;&gt;""),COUNTIF(I79:I568,B79),"")</f>
        <v/>
      </c>
      <c r="I79" s="79">
        <f t="shared" si="21"/>
        <v>14</v>
      </c>
      <c r="J79" s="76"/>
      <c r="K79" s="74"/>
      <c r="L79" s="75"/>
      <c r="M79" s="74"/>
      <c r="N79" s="74"/>
      <c r="O79" s="74"/>
      <c r="P79" s="74"/>
      <c r="Q79" s="74"/>
      <c r="R79" s="74"/>
      <c r="S79" s="74"/>
      <c r="T79" s="74"/>
      <c r="U79" s="74"/>
      <c r="V79" s="74"/>
      <c r="W79" s="74"/>
      <c r="X79" s="74"/>
      <c r="Y79" s="74"/>
    </row>
    <row r="80" spans="1:25" ht="18" outlineLevel="1">
      <c r="A80" s="74"/>
      <c r="B80" s="91">
        <f t="shared" si="17"/>
        <v>15</v>
      </c>
      <c r="C80" s="94" t="s">
        <v>202</v>
      </c>
      <c r="D80" s="95" t="s">
        <v>127</v>
      </c>
      <c r="E80" s="94"/>
      <c r="F80" s="91" t="str">
        <f t="shared" si="18"/>
        <v>B</v>
      </c>
      <c r="G80" s="91" t="str">
        <f t="shared" si="20"/>
        <v>Phức tạp</v>
      </c>
      <c r="H80" s="91">
        <f>IF(AND(B80&lt;&gt;"",C80&lt;&gt;"",D80&lt;&gt;""),COUNTIF(I80:I568,B80),"")</f>
        <v>10</v>
      </c>
      <c r="I80" s="79" t="str">
        <f t="shared" si="21"/>
        <v/>
      </c>
      <c r="J80" s="76"/>
      <c r="K80" s="74"/>
      <c r="L80" s="75"/>
      <c r="M80" s="74"/>
      <c r="N80" s="74"/>
      <c r="O80" s="74"/>
      <c r="P80" s="74"/>
      <c r="Q80" s="74"/>
      <c r="R80" s="74"/>
      <c r="S80" s="74"/>
      <c r="T80" s="74"/>
      <c r="U80" s="74"/>
      <c r="V80" s="74"/>
      <c r="W80" s="74"/>
      <c r="X80" s="74"/>
      <c r="Y80" s="74"/>
    </row>
    <row r="81" spans="1:25" ht="84" outlineLevel="1">
      <c r="A81" s="74"/>
      <c r="B81" s="91" t="str">
        <f t="shared" si="17"/>
        <v/>
      </c>
      <c r="C81" s="94"/>
      <c r="D81" s="95"/>
      <c r="E81" s="94" t="s">
        <v>203</v>
      </c>
      <c r="F81" s="91" t="str">
        <f t="shared" si="18"/>
        <v/>
      </c>
      <c r="G81" s="91" t="str">
        <f t="shared" si="20"/>
        <v/>
      </c>
      <c r="H81" s="91" t="str">
        <f>IF(AND(B81&lt;&gt;"",C81&lt;&gt;"",D81&lt;&gt;""),COUNTIF(I81:I568,B81),"")</f>
        <v/>
      </c>
      <c r="I81" s="79">
        <f t="shared" si="21"/>
        <v>15</v>
      </c>
      <c r="J81" s="76"/>
      <c r="K81" s="74"/>
      <c r="L81" s="75"/>
      <c r="M81" s="74"/>
      <c r="N81" s="74"/>
      <c r="O81" s="74"/>
      <c r="P81" s="74"/>
      <c r="Q81" s="74"/>
      <c r="R81" s="74"/>
      <c r="S81" s="74"/>
      <c r="T81" s="74"/>
      <c r="U81" s="74"/>
      <c r="V81" s="74"/>
      <c r="W81" s="74"/>
      <c r="X81" s="74"/>
      <c r="Y81" s="74"/>
    </row>
    <row r="82" spans="1:25" ht="84" outlineLevel="1">
      <c r="A82" s="74"/>
      <c r="B82" s="91" t="str">
        <f t="shared" si="17"/>
        <v/>
      </c>
      <c r="C82" s="94"/>
      <c r="D82" s="95"/>
      <c r="E82" s="94" t="s">
        <v>204</v>
      </c>
      <c r="F82" s="91" t="str">
        <f t="shared" si="18"/>
        <v/>
      </c>
      <c r="G82" s="91" t="str">
        <f t="shared" si="20"/>
        <v/>
      </c>
      <c r="H82" s="91" t="str">
        <f>IF(AND(B82&lt;&gt;"",C82&lt;&gt;"",D82&lt;&gt;""),COUNTIF(I82:I568,B82),"")</f>
        <v/>
      </c>
      <c r="I82" s="79">
        <f t="shared" si="21"/>
        <v>15</v>
      </c>
      <c r="J82" s="76"/>
      <c r="K82" s="74"/>
      <c r="L82" s="75"/>
      <c r="M82" s="74"/>
      <c r="N82" s="74"/>
      <c r="O82" s="74"/>
      <c r="P82" s="74"/>
      <c r="Q82" s="74"/>
      <c r="R82" s="74"/>
      <c r="S82" s="74"/>
      <c r="T82" s="74"/>
      <c r="U82" s="74"/>
      <c r="V82" s="74"/>
      <c r="W82" s="74"/>
      <c r="X82" s="74"/>
      <c r="Y82" s="74"/>
    </row>
    <row r="83" spans="1:25" ht="84" outlineLevel="1">
      <c r="A83" s="74"/>
      <c r="B83" s="91" t="str">
        <f t="shared" si="17"/>
        <v/>
      </c>
      <c r="C83" s="94"/>
      <c r="D83" s="95"/>
      <c r="E83" s="94" t="s">
        <v>205</v>
      </c>
      <c r="F83" s="91" t="str">
        <f t="shared" si="18"/>
        <v/>
      </c>
      <c r="G83" s="91" t="str">
        <f t="shared" si="20"/>
        <v/>
      </c>
      <c r="H83" s="91" t="str">
        <f>IF(AND(B83&lt;&gt;"",C83&lt;&gt;"",D83&lt;&gt;""),COUNTIF(I83:I568,B83),"")</f>
        <v/>
      </c>
      <c r="I83" s="79">
        <f t="shared" si="21"/>
        <v>15</v>
      </c>
      <c r="J83" s="76"/>
      <c r="K83" s="74"/>
      <c r="L83" s="75"/>
      <c r="M83" s="74"/>
      <c r="N83" s="74"/>
      <c r="O83" s="74"/>
      <c r="P83" s="74"/>
      <c r="Q83" s="74"/>
      <c r="R83" s="74"/>
      <c r="S83" s="74"/>
      <c r="T83" s="74"/>
      <c r="U83" s="74"/>
      <c r="V83" s="74"/>
      <c r="W83" s="74"/>
      <c r="X83" s="74"/>
      <c r="Y83" s="74"/>
    </row>
    <row r="84" spans="1:25" ht="84" outlineLevel="1">
      <c r="A84" s="74"/>
      <c r="B84" s="91" t="str">
        <f t="shared" si="17"/>
        <v/>
      </c>
      <c r="C84" s="94"/>
      <c r="D84" s="95"/>
      <c r="E84" s="94" t="s">
        <v>206</v>
      </c>
      <c r="F84" s="91" t="str">
        <f t="shared" si="18"/>
        <v/>
      </c>
      <c r="G84" s="91" t="str">
        <f t="shared" si="20"/>
        <v/>
      </c>
      <c r="H84" s="91" t="str">
        <f t="shared" ref="H84:H93" si="22">IF(AND(B84&lt;&gt;"",C84&lt;&gt;"",D84&lt;&gt;""),COUNTIF(I84:I568,B84),"")</f>
        <v/>
      </c>
      <c r="I84" s="79">
        <f t="shared" si="21"/>
        <v>15</v>
      </c>
      <c r="J84" s="76"/>
      <c r="K84" s="74"/>
      <c r="L84" s="75"/>
      <c r="M84" s="74"/>
      <c r="N84" s="74"/>
      <c r="O84" s="74"/>
      <c r="P84" s="74"/>
      <c r="Q84" s="74"/>
      <c r="R84" s="74"/>
      <c r="S84" s="74"/>
      <c r="T84" s="74"/>
      <c r="U84" s="74"/>
      <c r="V84" s="74"/>
      <c r="W84" s="74"/>
      <c r="X84" s="74"/>
      <c r="Y84" s="74"/>
    </row>
    <row r="85" spans="1:25" ht="84" outlineLevel="1">
      <c r="A85" s="74"/>
      <c r="B85" s="91" t="str">
        <f t="shared" si="17"/>
        <v/>
      </c>
      <c r="C85" s="94"/>
      <c r="D85" s="95"/>
      <c r="E85" s="94" t="s">
        <v>207</v>
      </c>
      <c r="F85" s="91" t="str">
        <f t="shared" si="18"/>
        <v/>
      </c>
      <c r="G85" s="91" t="str">
        <f t="shared" si="20"/>
        <v/>
      </c>
      <c r="H85" s="91" t="str">
        <f t="shared" si="22"/>
        <v/>
      </c>
      <c r="I85" s="79">
        <f t="shared" si="21"/>
        <v>15</v>
      </c>
      <c r="J85" s="76"/>
      <c r="K85" s="74"/>
      <c r="L85" s="75"/>
      <c r="M85" s="74"/>
      <c r="N85" s="74"/>
      <c r="O85" s="74"/>
      <c r="P85" s="74"/>
      <c r="Q85" s="74"/>
      <c r="R85" s="74"/>
      <c r="S85" s="74"/>
      <c r="T85" s="74"/>
      <c r="U85" s="74"/>
      <c r="V85" s="74"/>
      <c r="W85" s="74"/>
      <c r="X85" s="74"/>
      <c r="Y85" s="74"/>
    </row>
    <row r="86" spans="1:25" ht="84" outlineLevel="1">
      <c r="A86" s="74"/>
      <c r="B86" s="91" t="str">
        <f t="shared" si="17"/>
        <v/>
      </c>
      <c r="C86" s="94"/>
      <c r="D86" s="95"/>
      <c r="E86" s="94" t="s">
        <v>208</v>
      </c>
      <c r="F86" s="91" t="str">
        <f t="shared" si="18"/>
        <v/>
      </c>
      <c r="G86" s="91" t="str">
        <f t="shared" si="20"/>
        <v/>
      </c>
      <c r="H86" s="91" t="str">
        <f t="shared" si="22"/>
        <v/>
      </c>
      <c r="I86" s="79">
        <f t="shared" si="21"/>
        <v>15</v>
      </c>
      <c r="J86" s="76"/>
      <c r="K86" s="74"/>
      <c r="L86" s="75"/>
      <c r="M86" s="74"/>
      <c r="N86" s="74"/>
      <c r="O86" s="74"/>
      <c r="P86" s="74"/>
      <c r="Q86" s="74"/>
      <c r="R86" s="74"/>
      <c r="S86" s="74"/>
      <c r="T86" s="74"/>
      <c r="U86" s="74"/>
      <c r="V86" s="74"/>
      <c r="W86" s="74"/>
      <c r="X86" s="74"/>
      <c r="Y86" s="74"/>
    </row>
    <row r="87" spans="1:25" ht="84" outlineLevel="1">
      <c r="A87" s="74"/>
      <c r="B87" s="91" t="str">
        <f t="shared" si="17"/>
        <v/>
      </c>
      <c r="C87" s="94"/>
      <c r="D87" s="95"/>
      <c r="E87" s="94" t="s">
        <v>208</v>
      </c>
      <c r="F87" s="91" t="str">
        <f t="shared" si="18"/>
        <v/>
      </c>
      <c r="G87" s="91" t="str">
        <f t="shared" si="20"/>
        <v/>
      </c>
      <c r="H87" s="91" t="str">
        <f t="shared" si="22"/>
        <v/>
      </c>
      <c r="I87" s="79">
        <f t="shared" si="21"/>
        <v>15</v>
      </c>
      <c r="J87" s="76"/>
      <c r="K87" s="74"/>
      <c r="L87" s="75"/>
      <c r="M87" s="74"/>
      <c r="N87" s="74"/>
      <c r="O87" s="74"/>
      <c r="P87" s="74"/>
      <c r="Q87" s="74"/>
      <c r="R87" s="74"/>
      <c r="S87" s="74"/>
      <c r="T87" s="74"/>
      <c r="U87" s="74"/>
      <c r="V87" s="74"/>
      <c r="W87" s="74"/>
      <c r="X87" s="74"/>
      <c r="Y87" s="74"/>
    </row>
    <row r="88" spans="1:25" ht="84" outlineLevel="1">
      <c r="A88" s="74"/>
      <c r="B88" s="91" t="str">
        <f t="shared" si="17"/>
        <v/>
      </c>
      <c r="C88" s="94"/>
      <c r="D88" s="95"/>
      <c r="E88" s="94" t="s">
        <v>208</v>
      </c>
      <c r="F88" s="91" t="str">
        <f t="shared" si="18"/>
        <v/>
      </c>
      <c r="G88" s="91" t="str">
        <f t="shared" si="20"/>
        <v/>
      </c>
      <c r="H88" s="91" t="str">
        <f t="shared" si="22"/>
        <v/>
      </c>
      <c r="I88" s="79">
        <f t="shared" si="21"/>
        <v>15</v>
      </c>
      <c r="J88" s="76"/>
      <c r="K88" s="74"/>
      <c r="L88" s="75"/>
      <c r="M88" s="74"/>
      <c r="N88" s="74"/>
      <c r="O88" s="74"/>
      <c r="P88" s="74"/>
      <c r="Q88" s="74"/>
      <c r="R88" s="74"/>
      <c r="S88" s="74"/>
      <c r="T88" s="74"/>
      <c r="U88" s="74"/>
      <c r="V88" s="74"/>
      <c r="W88" s="74"/>
      <c r="X88" s="74"/>
      <c r="Y88" s="74"/>
    </row>
    <row r="89" spans="1:25" ht="84" outlineLevel="1">
      <c r="A89" s="74"/>
      <c r="B89" s="91" t="str">
        <f t="shared" si="17"/>
        <v/>
      </c>
      <c r="C89" s="94"/>
      <c r="D89" s="95"/>
      <c r="E89" s="94" t="s">
        <v>208</v>
      </c>
      <c r="F89" s="91" t="str">
        <f t="shared" si="18"/>
        <v/>
      </c>
      <c r="G89" s="91" t="str">
        <f t="shared" si="20"/>
        <v/>
      </c>
      <c r="H89" s="91" t="str">
        <f t="shared" si="22"/>
        <v/>
      </c>
      <c r="I89" s="79">
        <f t="shared" si="21"/>
        <v>15</v>
      </c>
      <c r="J89" s="76"/>
      <c r="K89" s="74"/>
      <c r="L89" s="75"/>
      <c r="M89" s="74"/>
      <c r="N89" s="74"/>
      <c r="O89" s="74"/>
      <c r="P89" s="74"/>
      <c r="Q89" s="74"/>
      <c r="R89" s="74"/>
      <c r="S89" s="74"/>
      <c r="T89" s="74"/>
      <c r="U89" s="74"/>
      <c r="V89" s="74"/>
      <c r="W89" s="74"/>
      <c r="X89" s="74"/>
      <c r="Y89" s="74"/>
    </row>
    <row r="90" spans="1:25" ht="84" outlineLevel="1">
      <c r="A90" s="74"/>
      <c r="B90" s="91" t="str">
        <f t="shared" si="17"/>
        <v/>
      </c>
      <c r="C90" s="94"/>
      <c r="D90" s="95"/>
      <c r="E90" s="94" t="s">
        <v>208</v>
      </c>
      <c r="F90" s="91" t="str">
        <f t="shared" si="18"/>
        <v/>
      </c>
      <c r="G90" s="91" t="str">
        <f t="shared" si="20"/>
        <v/>
      </c>
      <c r="H90" s="91" t="str">
        <f t="shared" si="22"/>
        <v/>
      </c>
      <c r="I90" s="79">
        <f t="shared" si="21"/>
        <v>15</v>
      </c>
      <c r="J90" s="76"/>
      <c r="K90" s="74"/>
      <c r="L90" s="75"/>
      <c r="M90" s="74"/>
      <c r="N90" s="74"/>
      <c r="O90" s="74"/>
      <c r="P90" s="74"/>
      <c r="Q90" s="74"/>
      <c r="R90" s="74"/>
      <c r="S90" s="74"/>
      <c r="T90" s="74"/>
      <c r="U90" s="74"/>
      <c r="V90" s="74"/>
      <c r="W90" s="74"/>
      <c r="X90" s="74"/>
      <c r="Y90" s="74"/>
    </row>
    <row r="91" spans="1:25" ht="18" outlineLevel="1">
      <c r="A91" s="74"/>
      <c r="B91" s="91">
        <f t="shared" si="17"/>
        <v>16</v>
      </c>
      <c r="C91" s="94" t="s">
        <v>209</v>
      </c>
      <c r="D91" s="95" t="s">
        <v>127</v>
      </c>
      <c r="E91" s="94"/>
      <c r="F91" s="91" t="str">
        <f t="shared" si="18"/>
        <v>B</v>
      </c>
      <c r="G91" s="91" t="str">
        <f t="shared" si="20"/>
        <v>Phức tạp</v>
      </c>
      <c r="H91" s="91">
        <f t="shared" si="22"/>
        <v>8</v>
      </c>
      <c r="I91" s="79" t="str">
        <f t="shared" si="21"/>
        <v/>
      </c>
      <c r="J91" s="76"/>
      <c r="K91" s="74"/>
      <c r="L91" s="75"/>
      <c r="M91" s="74"/>
      <c r="N91" s="74"/>
      <c r="O91" s="74"/>
      <c r="P91" s="74"/>
      <c r="Q91" s="74"/>
      <c r="R91" s="74"/>
      <c r="S91" s="74"/>
      <c r="T91" s="74"/>
      <c r="U91" s="74"/>
      <c r="V91" s="74"/>
      <c r="W91" s="74"/>
      <c r="X91" s="74"/>
      <c r="Y91" s="74"/>
    </row>
    <row r="92" spans="1:25" ht="84" outlineLevel="1">
      <c r="A92" s="74"/>
      <c r="B92" s="91" t="str">
        <f t="shared" si="17"/>
        <v/>
      </c>
      <c r="C92" s="94"/>
      <c r="D92" s="95"/>
      <c r="E92" s="94" t="s">
        <v>210</v>
      </c>
      <c r="F92" s="91" t="str">
        <f t="shared" si="18"/>
        <v/>
      </c>
      <c r="G92" s="91" t="str">
        <f t="shared" si="20"/>
        <v/>
      </c>
      <c r="H92" s="91" t="str">
        <f t="shared" si="22"/>
        <v/>
      </c>
      <c r="I92" s="79">
        <f t="shared" si="21"/>
        <v>16</v>
      </c>
      <c r="J92" s="76"/>
      <c r="K92" s="74"/>
      <c r="L92" s="75"/>
      <c r="M92" s="74"/>
      <c r="N92" s="74"/>
      <c r="O92" s="74"/>
      <c r="P92" s="74"/>
      <c r="Q92" s="74"/>
      <c r="R92" s="74"/>
      <c r="S92" s="74"/>
      <c r="T92" s="74"/>
      <c r="U92" s="74"/>
      <c r="V92" s="74"/>
      <c r="W92" s="74"/>
      <c r="X92" s="74"/>
      <c r="Y92" s="74"/>
    </row>
    <row r="93" spans="1:25" ht="84" outlineLevel="1">
      <c r="A93" s="74"/>
      <c r="B93" s="91" t="str">
        <f t="shared" si="17"/>
        <v/>
      </c>
      <c r="C93" s="94"/>
      <c r="D93" s="95"/>
      <c r="E93" s="94" t="s">
        <v>211</v>
      </c>
      <c r="F93" s="91" t="str">
        <f t="shared" si="18"/>
        <v/>
      </c>
      <c r="G93" s="91" t="str">
        <f t="shared" si="20"/>
        <v/>
      </c>
      <c r="H93" s="91" t="str">
        <f t="shared" si="22"/>
        <v/>
      </c>
      <c r="I93" s="79">
        <f t="shared" si="21"/>
        <v>16</v>
      </c>
      <c r="J93" s="76"/>
      <c r="K93" s="74"/>
      <c r="L93" s="75"/>
      <c r="M93" s="74"/>
      <c r="N93" s="74"/>
      <c r="O93" s="74"/>
      <c r="P93" s="74"/>
      <c r="Q93" s="74"/>
      <c r="R93" s="74"/>
      <c r="S93" s="74"/>
      <c r="T93" s="74"/>
      <c r="U93" s="74"/>
      <c r="V93" s="74"/>
      <c r="W93" s="74"/>
      <c r="X93" s="74"/>
      <c r="Y93" s="74"/>
    </row>
    <row r="94" spans="1:25" ht="84" outlineLevel="1">
      <c r="A94" s="74"/>
      <c r="B94" s="91" t="str">
        <f t="shared" si="17"/>
        <v/>
      </c>
      <c r="C94" s="94"/>
      <c r="D94" s="95"/>
      <c r="E94" s="94" t="s">
        <v>212</v>
      </c>
      <c r="F94" s="91" t="str">
        <f t="shared" si="18"/>
        <v/>
      </c>
      <c r="G94" s="91" t="str">
        <f t="shared" si="20"/>
        <v/>
      </c>
      <c r="H94" s="91" t="str">
        <f t="shared" ref="H94:H99" si="23">IF(AND(B94&lt;&gt;"",C94&lt;&gt;"",D94&lt;&gt;""),COUNTIF(I94:I575,B94),"")</f>
        <v/>
      </c>
      <c r="I94" s="79">
        <f t="shared" si="21"/>
        <v>16</v>
      </c>
      <c r="J94" s="76"/>
      <c r="K94" s="74"/>
      <c r="L94" s="75"/>
      <c r="M94" s="74"/>
      <c r="N94" s="74"/>
      <c r="O94" s="74"/>
      <c r="P94" s="74"/>
      <c r="Q94" s="74"/>
      <c r="R94" s="74"/>
      <c r="S94" s="74"/>
      <c r="T94" s="74"/>
      <c r="U94" s="74"/>
      <c r="V94" s="74"/>
      <c r="W94" s="74"/>
      <c r="X94" s="74"/>
      <c r="Y94" s="74"/>
    </row>
    <row r="95" spans="1:25" ht="84" outlineLevel="1">
      <c r="A95" s="74"/>
      <c r="B95" s="91" t="str">
        <f t="shared" si="17"/>
        <v/>
      </c>
      <c r="C95" s="94"/>
      <c r="D95" s="95"/>
      <c r="E95" s="94" t="s">
        <v>213</v>
      </c>
      <c r="F95" s="91" t="str">
        <f t="shared" si="18"/>
        <v/>
      </c>
      <c r="G95" s="91" t="str">
        <f t="shared" si="20"/>
        <v/>
      </c>
      <c r="H95" s="91" t="str">
        <f t="shared" si="23"/>
        <v/>
      </c>
      <c r="I95" s="79">
        <f t="shared" si="21"/>
        <v>16</v>
      </c>
      <c r="J95" s="76"/>
      <c r="K95" s="74"/>
      <c r="L95" s="75"/>
      <c r="M95" s="74"/>
      <c r="N95" s="74"/>
      <c r="O95" s="74"/>
      <c r="P95" s="74"/>
      <c r="Q95" s="74"/>
      <c r="R95" s="74"/>
      <c r="S95" s="74"/>
      <c r="T95" s="74"/>
      <c r="U95" s="74"/>
      <c r="V95" s="74"/>
      <c r="W95" s="74"/>
      <c r="X95" s="74"/>
      <c r="Y95" s="74"/>
    </row>
    <row r="96" spans="1:25" ht="84" outlineLevel="1">
      <c r="A96" s="74"/>
      <c r="B96" s="91" t="str">
        <f t="shared" si="17"/>
        <v/>
      </c>
      <c r="C96" s="94"/>
      <c r="D96" s="95"/>
      <c r="E96" s="94" t="s">
        <v>214</v>
      </c>
      <c r="F96" s="91" t="str">
        <f t="shared" si="18"/>
        <v/>
      </c>
      <c r="G96" s="91" t="str">
        <f t="shared" si="20"/>
        <v/>
      </c>
      <c r="H96" s="91" t="str">
        <f t="shared" si="23"/>
        <v/>
      </c>
      <c r="I96" s="79">
        <f t="shared" si="21"/>
        <v>16</v>
      </c>
      <c r="J96" s="76"/>
      <c r="K96" s="74"/>
      <c r="L96" s="75"/>
      <c r="M96" s="74"/>
      <c r="N96" s="74"/>
      <c r="O96" s="74"/>
      <c r="P96" s="74"/>
      <c r="Q96" s="74"/>
      <c r="R96" s="74"/>
      <c r="S96" s="74"/>
      <c r="T96" s="74"/>
      <c r="U96" s="74"/>
      <c r="V96" s="74"/>
      <c r="W96" s="74"/>
      <c r="X96" s="74"/>
      <c r="Y96" s="74"/>
    </row>
    <row r="97" spans="1:25" ht="84" outlineLevel="1">
      <c r="A97" s="74"/>
      <c r="B97" s="91" t="str">
        <f t="shared" si="17"/>
        <v/>
      </c>
      <c r="C97" s="94"/>
      <c r="D97" s="95"/>
      <c r="E97" s="94" t="s">
        <v>215</v>
      </c>
      <c r="F97" s="91" t="str">
        <f t="shared" si="18"/>
        <v/>
      </c>
      <c r="G97" s="91" t="str">
        <f t="shared" si="20"/>
        <v/>
      </c>
      <c r="H97" s="91" t="str">
        <f t="shared" si="23"/>
        <v/>
      </c>
      <c r="I97" s="79">
        <f t="shared" si="21"/>
        <v>16</v>
      </c>
      <c r="J97" s="76"/>
      <c r="K97" s="74"/>
      <c r="L97" s="75"/>
      <c r="M97" s="74"/>
      <c r="N97" s="74"/>
      <c r="O97" s="74"/>
      <c r="P97" s="74"/>
      <c r="Q97" s="74"/>
      <c r="R97" s="74"/>
      <c r="S97" s="74"/>
      <c r="T97" s="74"/>
      <c r="U97" s="74"/>
      <c r="V97" s="74"/>
      <c r="W97" s="74"/>
      <c r="X97" s="74"/>
      <c r="Y97" s="74"/>
    </row>
    <row r="98" spans="1:25" ht="84" outlineLevel="1">
      <c r="A98" s="74"/>
      <c r="B98" s="91" t="str">
        <f t="shared" si="17"/>
        <v/>
      </c>
      <c r="C98" s="94"/>
      <c r="D98" s="95"/>
      <c r="E98" s="94" t="s">
        <v>216</v>
      </c>
      <c r="F98" s="91" t="str">
        <f t="shared" si="18"/>
        <v/>
      </c>
      <c r="G98" s="91" t="str">
        <f t="shared" si="20"/>
        <v/>
      </c>
      <c r="H98" s="91" t="str">
        <f t="shared" si="23"/>
        <v/>
      </c>
      <c r="I98" s="79">
        <f t="shared" si="21"/>
        <v>16</v>
      </c>
      <c r="J98" s="76"/>
      <c r="K98" s="74"/>
      <c r="L98" s="75"/>
      <c r="M98" s="74"/>
      <c r="N98" s="74"/>
      <c r="O98" s="74"/>
      <c r="P98" s="74"/>
      <c r="Q98" s="74"/>
      <c r="R98" s="74"/>
      <c r="S98" s="74"/>
      <c r="T98" s="74"/>
      <c r="U98" s="74"/>
      <c r="V98" s="74"/>
      <c r="W98" s="74"/>
      <c r="X98" s="74"/>
      <c r="Y98" s="74"/>
    </row>
    <row r="99" spans="1:25" ht="84" outlineLevel="1">
      <c r="A99" s="74"/>
      <c r="B99" s="91" t="str">
        <f t="shared" si="17"/>
        <v/>
      </c>
      <c r="C99" s="94"/>
      <c r="D99" s="95"/>
      <c r="E99" s="94" t="s">
        <v>217</v>
      </c>
      <c r="F99" s="91" t="str">
        <f t="shared" si="18"/>
        <v/>
      </c>
      <c r="G99" s="91" t="str">
        <f t="shared" si="20"/>
        <v/>
      </c>
      <c r="H99" s="91" t="str">
        <f t="shared" si="23"/>
        <v/>
      </c>
      <c r="I99" s="79">
        <f t="shared" si="21"/>
        <v>16</v>
      </c>
      <c r="J99" s="76"/>
      <c r="K99" s="74"/>
      <c r="L99" s="75"/>
      <c r="M99" s="74"/>
      <c r="N99" s="74"/>
      <c r="O99" s="74"/>
      <c r="P99" s="74"/>
      <c r="Q99" s="74"/>
      <c r="R99" s="74"/>
      <c r="S99" s="74"/>
      <c r="T99" s="74"/>
      <c r="U99" s="74"/>
      <c r="V99" s="74"/>
      <c r="W99" s="74"/>
      <c r="X99" s="74"/>
      <c r="Y99" s="74"/>
    </row>
    <row r="100" spans="1:25" ht="18" outlineLevel="1">
      <c r="A100" s="74"/>
      <c r="B100" s="91">
        <f t="shared" si="17"/>
        <v>17</v>
      </c>
      <c r="C100" s="94" t="s">
        <v>218</v>
      </c>
      <c r="D100" s="95" t="s">
        <v>127</v>
      </c>
      <c r="E100" s="94"/>
      <c r="F100" s="91" t="str">
        <f t="shared" si="18"/>
        <v>B</v>
      </c>
      <c r="G100" s="91" t="str">
        <f t="shared" si="20"/>
        <v>Trung bình</v>
      </c>
      <c r="H100" s="91">
        <f t="shared" ref="H100:H101" si="24">IF(AND(B100&lt;&gt;"",C100&lt;&gt;"",D100&lt;&gt;""),COUNTIF(I100:I582,B100),"")</f>
        <v>4</v>
      </c>
      <c r="I100" s="79" t="str">
        <f t="shared" si="21"/>
        <v/>
      </c>
      <c r="J100" s="76"/>
      <c r="K100" s="74"/>
      <c r="L100" s="75"/>
      <c r="M100" s="74"/>
      <c r="N100" s="74"/>
      <c r="O100" s="74"/>
      <c r="P100" s="74"/>
      <c r="Q100" s="74"/>
      <c r="R100" s="74"/>
      <c r="S100" s="74"/>
      <c r="T100" s="74"/>
      <c r="U100" s="74"/>
      <c r="V100" s="74"/>
      <c r="W100" s="74"/>
      <c r="X100" s="74"/>
      <c r="Y100" s="74"/>
    </row>
    <row r="101" spans="1:25" ht="84" outlineLevel="1">
      <c r="A101" s="74"/>
      <c r="B101" s="91" t="str">
        <f t="shared" si="17"/>
        <v/>
      </c>
      <c r="C101" s="94"/>
      <c r="D101" s="95"/>
      <c r="E101" s="94" t="s">
        <v>219</v>
      </c>
      <c r="F101" s="91" t="str">
        <f t="shared" si="18"/>
        <v/>
      </c>
      <c r="G101" s="91" t="str">
        <f t="shared" si="20"/>
        <v/>
      </c>
      <c r="H101" s="91" t="str">
        <f t="shared" si="24"/>
        <v/>
      </c>
      <c r="I101" s="79">
        <f t="shared" si="21"/>
        <v>17</v>
      </c>
      <c r="J101" s="76"/>
      <c r="K101" s="74"/>
      <c r="L101" s="75"/>
      <c r="M101" s="74"/>
      <c r="N101" s="74"/>
      <c r="O101" s="74"/>
      <c r="P101" s="74"/>
      <c r="Q101" s="74"/>
      <c r="R101" s="74"/>
      <c r="S101" s="74"/>
      <c r="T101" s="74"/>
      <c r="U101" s="74"/>
      <c r="V101" s="74"/>
      <c r="W101" s="74"/>
      <c r="X101" s="74"/>
      <c r="Y101" s="74"/>
    </row>
    <row r="102" spans="1:25" ht="84" outlineLevel="1">
      <c r="A102" s="74"/>
      <c r="B102" s="91" t="str">
        <f t="shared" si="17"/>
        <v/>
      </c>
      <c r="C102" s="94"/>
      <c r="D102" s="95"/>
      <c r="E102" s="94" t="s">
        <v>220</v>
      </c>
      <c r="F102" s="91" t="str">
        <f t="shared" si="18"/>
        <v/>
      </c>
      <c r="G102" s="91" t="str">
        <f t="shared" si="20"/>
        <v/>
      </c>
      <c r="H102" s="91" t="str">
        <f t="shared" ref="H102:H110" si="25">IF(AND(B102&lt;&gt;"",C102&lt;&gt;"",D102&lt;&gt;""),COUNTIF(I102:I585,B102),"")</f>
        <v/>
      </c>
      <c r="I102" s="79">
        <f t="shared" si="21"/>
        <v>17</v>
      </c>
      <c r="J102" s="76"/>
      <c r="K102" s="74"/>
      <c r="L102" s="75"/>
      <c r="M102" s="74"/>
      <c r="N102" s="74"/>
      <c r="O102" s="74"/>
      <c r="P102" s="74"/>
      <c r="Q102" s="74"/>
      <c r="R102" s="74"/>
      <c r="S102" s="74"/>
      <c r="T102" s="74"/>
      <c r="U102" s="74"/>
      <c r="V102" s="74"/>
      <c r="W102" s="74"/>
      <c r="X102" s="74"/>
      <c r="Y102" s="74"/>
    </row>
    <row r="103" spans="1:25" ht="84" outlineLevel="1">
      <c r="A103" s="74"/>
      <c r="B103" s="91" t="str">
        <f t="shared" si="17"/>
        <v/>
      </c>
      <c r="C103" s="94"/>
      <c r="D103" s="95"/>
      <c r="E103" s="94" t="s">
        <v>221</v>
      </c>
      <c r="F103" s="91" t="str">
        <f t="shared" si="18"/>
        <v/>
      </c>
      <c r="G103" s="91" t="str">
        <f t="shared" si="20"/>
        <v/>
      </c>
      <c r="H103" s="91" t="str">
        <f t="shared" si="25"/>
        <v/>
      </c>
      <c r="I103" s="79">
        <f t="shared" si="21"/>
        <v>17</v>
      </c>
      <c r="J103" s="76"/>
      <c r="K103" s="74"/>
      <c r="L103" s="75"/>
      <c r="M103" s="74"/>
      <c r="N103" s="74"/>
      <c r="O103" s="74"/>
      <c r="P103" s="74"/>
      <c r="Q103" s="74"/>
      <c r="R103" s="74"/>
      <c r="S103" s="74"/>
      <c r="T103" s="74"/>
      <c r="U103" s="74"/>
      <c r="V103" s="74"/>
      <c r="W103" s="74"/>
      <c r="X103" s="74"/>
      <c r="Y103" s="74"/>
    </row>
    <row r="104" spans="1:25" ht="84" outlineLevel="1">
      <c r="A104" s="74"/>
      <c r="B104" s="91" t="str">
        <f t="shared" si="17"/>
        <v/>
      </c>
      <c r="C104" s="94"/>
      <c r="D104" s="95"/>
      <c r="E104" s="94" t="s">
        <v>222</v>
      </c>
      <c r="F104" s="91" t="str">
        <f t="shared" si="18"/>
        <v/>
      </c>
      <c r="G104" s="91" t="str">
        <f t="shared" si="20"/>
        <v/>
      </c>
      <c r="H104" s="91" t="str">
        <f t="shared" si="25"/>
        <v/>
      </c>
      <c r="I104" s="79">
        <f t="shared" si="21"/>
        <v>17</v>
      </c>
      <c r="J104" s="76"/>
      <c r="K104" s="74"/>
      <c r="L104" s="75"/>
      <c r="M104" s="74"/>
      <c r="N104" s="74"/>
      <c r="O104" s="74"/>
      <c r="P104" s="74"/>
      <c r="Q104" s="74"/>
      <c r="R104" s="74"/>
      <c r="S104" s="74"/>
      <c r="T104" s="74"/>
      <c r="U104" s="74"/>
      <c r="V104" s="74"/>
      <c r="W104" s="74"/>
      <c r="X104" s="74"/>
      <c r="Y104" s="74"/>
    </row>
    <row r="105" spans="1:25" ht="18" outlineLevel="1">
      <c r="A105" s="74"/>
      <c r="B105" s="91">
        <f t="shared" si="17"/>
        <v>18</v>
      </c>
      <c r="C105" s="94" t="s">
        <v>223</v>
      </c>
      <c r="D105" s="95" t="s">
        <v>127</v>
      </c>
      <c r="E105" s="94"/>
      <c r="F105" s="91" t="str">
        <f t="shared" si="18"/>
        <v>B</v>
      </c>
      <c r="G105" s="91" t="str">
        <f t="shared" si="20"/>
        <v>Trung bình</v>
      </c>
      <c r="H105" s="91">
        <f t="shared" si="25"/>
        <v>4</v>
      </c>
      <c r="I105" s="79" t="str">
        <f t="shared" si="21"/>
        <v/>
      </c>
      <c r="J105" s="76"/>
      <c r="K105" s="74"/>
      <c r="L105" s="75"/>
      <c r="M105" s="74"/>
      <c r="N105" s="74"/>
      <c r="O105" s="74"/>
      <c r="P105" s="74"/>
      <c r="Q105" s="74"/>
      <c r="R105" s="74"/>
      <c r="S105" s="74"/>
      <c r="T105" s="74"/>
      <c r="U105" s="74"/>
      <c r="V105" s="74"/>
      <c r="W105" s="74"/>
      <c r="X105" s="74"/>
      <c r="Y105" s="74"/>
    </row>
    <row r="106" spans="1:25" ht="84" outlineLevel="1">
      <c r="A106" s="74"/>
      <c r="B106" s="91" t="str">
        <f t="shared" si="17"/>
        <v/>
      </c>
      <c r="C106" s="94"/>
      <c r="D106" s="95"/>
      <c r="E106" s="94" t="s">
        <v>224</v>
      </c>
      <c r="F106" s="91" t="str">
        <f t="shared" si="18"/>
        <v/>
      </c>
      <c r="G106" s="91" t="str">
        <f t="shared" si="20"/>
        <v/>
      </c>
      <c r="H106" s="91" t="str">
        <f t="shared" si="25"/>
        <v/>
      </c>
      <c r="I106" s="79">
        <f t="shared" si="21"/>
        <v>18</v>
      </c>
      <c r="J106" s="76"/>
      <c r="K106" s="74"/>
      <c r="L106" s="75"/>
      <c r="M106" s="74"/>
      <c r="N106" s="74"/>
      <c r="O106" s="74"/>
      <c r="P106" s="74"/>
      <c r="Q106" s="74"/>
      <c r="R106" s="74"/>
      <c r="S106" s="74"/>
      <c r="T106" s="74"/>
      <c r="U106" s="74"/>
      <c r="V106" s="74"/>
      <c r="W106" s="74"/>
      <c r="X106" s="74"/>
      <c r="Y106" s="74"/>
    </row>
    <row r="107" spans="1:25" ht="84" outlineLevel="1">
      <c r="A107" s="74"/>
      <c r="B107" s="91" t="str">
        <f t="shared" si="17"/>
        <v/>
      </c>
      <c r="C107" s="94"/>
      <c r="D107" s="95"/>
      <c r="E107" s="94" t="s">
        <v>225</v>
      </c>
      <c r="F107" s="91" t="str">
        <f t="shared" si="18"/>
        <v/>
      </c>
      <c r="G107" s="91" t="str">
        <f t="shared" si="20"/>
        <v/>
      </c>
      <c r="H107" s="91" t="str">
        <f t="shared" si="25"/>
        <v/>
      </c>
      <c r="I107" s="79">
        <f t="shared" si="21"/>
        <v>18</v>
      </c>
      <c r="J107" s="76"/>
      <c r="K107" s="74"/>
      <c r="L107" s="75"/>
      <c r="M107" s="74"/>
      <c r="N107" s="74"/>
      <c r="O107" s="74"/>
      <c r="P107" s="74"/>
      <c r="Q107" s="74"/>
      <c r="R107" s="74"/>
      <c r="S107" s="74"/>
      <c r="T107" s="74"/>
      <c r="U107" s="74"/>
      <c r="V107" s="74"/>
      <c r="W107" s="74"/>
      <c r="X107" s="74"/>
      <c r="Y107" s="74"/>
    </row>
    <row r="108" spans="1:25" ht="84" outlineLevel="1">
      <c r="A108" s="74"/>
      <c r="B108" s="91" t="str">
        <f t="shared" si="17"/>
        <v/>
      </c>
      <c r="C108" s="94"/>
      <c r="D108" s="95"/>
      <c r="E108" s="94" t="s">
        <v>226</v>
      </c>
      <c r="F108" s="91" t="str">
        <f t="shared" si="18"/>
        <v/>
      </c>
      <c r="G108" s="91" t="str">
        <f t="shared" si="20"/>
        <v/>
      </c>
      <c r="H108" s="91" t="str">
        <f t="shared" si="25"/>
        <v/>
      </c>
      <c r="I108" s="79">
        <f t="shared" si="21"/>
        <v>18</v>
      </c>
      <c r="J108" s="76"/>
      <c r="K108" s="74"/>
      <c r="L108" s="75"/>
      <c r="M108" s="74"/>
      <c r="N108" s="74"/>
      <c r="O108" s="74"/>
      <c r="P108" s="74"/>
      <c r="Q108" s="74"/>
      <c r="R108" s="74"/>
      <c r="S108" s="74"/>
      <c r="T108" s="74"/>
      <c r="U108" s="74"/>
      <c r="V108" s="74"/>
      <c r="W108" s="74"/>
      <c r="X108" s="74"/>
      <c r="Y108" s="74"/>
    </row>
    <row r="109" spans="1:25" ht="84" outlineLevel="1">
      <c r="A109" s="74"/>
      <c r="B109" s="91" t="str">
        <f t="shared" si="17"/>
        <v/>
      </c>
      <c r="C109" s="94"/>
      <c r="D109" s="95"/>
      <c r="E109" s="94" t="s">
        <v>227</v>
      </c>
      <c r="F109" s="91" t="str">
        <f t="shared" si="18"/>
        <v/>
      </c>
      <c r="G109" s="91" t="str">
        <f t="shared" si="20"/>
        <v/>
      </c>
      <c r="H109" s="91" t="str">
        <f t="shared" si="25"/>
        <v/>
      </c>
      <c r="I109" s="79">
        <f t="shared" si="21"/>
        <v>18</v>
      </c>
      <c r="J109" s="76"/>
      <c r="K109" s="74"/>
      <c r="L109" s="75"/>
      <c r="M109" s="74"/>
      <c r="N109" s="74"/>
      <c r="O109" s="74"/>
      <c r="P109" s="74"/>
      <c r="Q109" s="74"/>
      <c r="R109" s="74"/>
      <c r="S109" s="74"/>
      <c r="T109" s="74"/>
      <c r="U109" s="74"/>
      <c r="V109" s="74"/>
      <c r="W109" s="74"/>
      <c r="X109" s="74"/>
      <c r="Y109" s="74"/>
    </row>
    <row r="110" spans="1:25" ht="18" outlineLevel="1">
      <c r="A110" s="74"/>
      <c r="B110" s="91">
        <f t="shared" si="17"/>
        <v>19</v>
      </c>
      <c r="C110" s="94" t="s">
        <v>228</v>
      </c>
      <c r="D110" s="95" t="s">
        <v>127</v>
      </c>
      <c r="E110" s="94"/>
      <c r="F110" s="91" t="str">
        <f t="shared" si="18"/>
        <v>B</v>
      </c>
      <c r="G110" s="91" t="str">
        <f t="shared" si="20"/>
        <v>Đơn giản</v>
      </c>
      <c r="H110" s="91">
        <f t="shared" si="25"/>
        <v>2</v>
      </c>
      <c r="I110" s="79" t="str">
        <f t="shared" si="21"/>
        <v/>
      </c>
      <c r="J110" s="76"/>
      <c r="K110" s="74"/>
      <c r="L110" s="75"/>
      <c r="M110" s="74"/>
      <c r="N110" s="74"/>
      <c r="O110" s="74"/>
      <c r="P110" s="74"/>
      <c r="Q110" s="74"/>
      <c r="R110" s="74"/>
      <c r="S110" s="74"/>
      <c r="T110" s="74"/>
      <c r="U110" s="74"/>
      <c r="V110" s="74"/>
      <c r="W110" s="74"/>
      <c r="X110" s="74"/>
      <c r="Y110" s="74"/>
    </row>
    <row r="111" spans="1:25" ht="84" outlineLevel="1">
      <c r="A111" s="74"/>
      <c r="B111" s="91" t="str">
        <f t="shared" si="17"/>
        <v/>
      </c>
      <c r="C111" s="94"/>
      <c r="D111" s="95"/>
      <c r="E111" s="94" t="s">
        <v>229</v>
      </c>
      <c r="F111" s="91" t="str">
        <f t="shared" si="18"/>
        <v/>
      </c>
      <c r="G111" s="91" t="str">
        <f t="shared" si="20"/>
        <v/>
      </c>
      <c r="H111" s="91" t="str">
        <f t="shared" ref="H111:H140" si="26">IF(AND(B111&lt;&gt;"",C111&lt;&gt;"",D111&lt;&gt;""),COUNTIF(I111:I575,B111),"")</f>
        <v/>
      </c>
      <c r="I111" s="79">
        <f t="shared" si="21"/>
        <v>19</v>
      </c>
      <c r="J111" s="76"/>
      <c r="K111" s="74"/>
      <c r="L111" s="75"/>
      <c r="M111" s="74"/>
      <c r="N111" s="74"/>
      <c r="O111" s="74"/>
      <c r="P111" s="74"/>
      <c r="Q111" s="74"/>
      <c r="R111" s="74"/>
      <c r="S111" s="74"/>
      <c r="T111" s="74"/>
      <c r="U111" s="74"/>
      <c r="V111" s="74"/>
      <c r="W111" s="74"/>
      <c r="X111" s="74"/>
      <c r="Y111" s="74"/>
    </row>
    <row r="112" spans="1:25" ht="84" outlineLevel="1">
      <c r="A112" s="74"/>
      <c r="B112" s="91" t="str">
        <f t="shared" si="17"/>
        <v/>
      </c>
      <c r="C112" s="94"/>
      <c r="D112" s="95"/>
      <c r="E112" s="94" t="s">
        <v>229</v>
      </c>
      <c r="F112" s="91" t="str">
        <f t="shared" si="18"/>
        <v/>
      </c>
      <c r="G112" s="91" t="str">
        <f t="shared" si="20"/>
        <v/>
      </c>
      <c r="H112" s="91" t="str">
        <f t="shared" si="26"/>
        <v/>
      </c>
      <c r="I112" s="79">
        <f t="shared" si="21"/>
        <v>19</v>
      </c>
      <c r="J112" s="76"/>
      <c r="K112" s="74"/>
      <c r="L112" s="75"/>
      <c r="M112" s="74"/>
      <c r="N112" s="74"/>
      <c r="O112" s="74"/>
      <c r="P112" s="74"/>
      <c r="Q112" s="74"/>
      <c r="R112" s="74"/>
      <c r="S112" s="74"/>
      <c r="T112" s="74"/>
      <c r="U112" s="74"/>
      <c r="V112" s="74"/>
      <c r="W112" s="74"/>
      <c r="X112" s="74"/>
      <c r="Y112" s="74"/>
    </row>
    <row r="113" spans="1:25" ht="18" outlineLevel="1">
      <c r="A113" s="74"/>
      <c r="B113" s="91" t="s">
        <v>230</v>
      </c>
      <c r="C113" s="92" t="s">
        <v>231</v>
      </c>
      <c r="D113" s="93"/>
      <c r="E113" s="94"/>
      <c r="F113" s="91" t="str">
        <f t="shared" si="18"/>
        <v/>
      </c>
      <c r="G113" s="91" t="str">
        <f t="shared" si="20"/>
        <v/>
      </c>
      <c r="H113" s="91" t="str">
        <f t="shared" si="26"/>
        <v/>
      </c>
      <c r="I113" s="79" t="str">
        <f t="shared" si="21"/>
        <v/>
      </c>
      <c r="J113" s="76"/>
      <c r="K113" s="74"/>
      <c r="L113" s="75"/>
      <c r="M113" s="74"/>
      <c r="N113" s="74"/>
      <c r="O113" s="74"/>
      <c r="P113" s="74"/>
      <c r="Q113" s="74"/>
      <c r="R113" s="74"/>
      <c r="S113" s="74"/>
      <c r="T113" s="74"/>
      <c r="U113" s="74"/>
      <c r="V113" s="74"/>
      <c r="W113" s="74"/>
      <c r="X113" s="74"/>
      <c r="Y113" s="74"/>
    </row>
    <row r="114" spans="1:25" ht="18" outlineLevel="1">
      <c r="A114" s="74"/>
      <c r="B114" s="91">
        <f t="shared" ref="B114:B140" si="27">IF(C114="","",IF(F114="B",COUNTIF($F$6:F114,"B"),""))</f>
        <v>20</v>
      </c>
      <c r="C114" s="94" t="s">
        <v>232</v>
      </c>
      <c r="D114" s="95" t="s">
        <v>127</v>
      </c>
      <c r="E114" s="94"/>
      <c r="F114" s="91" t="str">
        <f t="shared" si="18"/>
        <v>B</v>
      </c>
      <c r="G114" s="91" t="str">
        <f t="shared" si="20"/>
        <v>Phức tạp</v>
      </c>
      <c r="H114" s="91">
        <f t="shared" si="26"/>
        <v>8</v>
      </c>
      <c r="I114" s="79" t="str">
        <f t="shared" si="21"/>
        <v/>
      </c>
      <c r="J114" s="76"/>
      <c r="K114" s="74"/>
      <c r="L114" s="75"/>
      <c r="M114" s="74"/>
      <c r="N114" s="74"/>
      <c r="O114" s="74"/>
      <c r="P114" s="74"/>
      <c r="Q114" s="74"/>
      <c r="R114" s="74"/>
      <c r="S114" s="74"/>
      <c r="T114" s="74"/>
      <c r="U114" s="74"/>
      <c r="V114" s="74"/>
      <c r="W114" s="74"/>
      <c r="X114" s="74"/>
      <c r="Y114" s="74"/>
    </row>
    <row r="115" spans="1:25" ht="67.150000000000006" outlineLevel="1">
      <c r="A115" s="74"/>
      <c r="B115" s="91" t="str">
        <f t="shared" si="27"/>
        <v/>
      </c>
      <c r="C115" s="94"/>
      <c r="D115" s="95"/>
      <c r="E115" s="94" t="s">
        <v>233</v>
      </c>
      <c r="F115" s="91" t="str">
        <f t="shared" si="18"/>
        <v/>
      </c>
      <c r="G115" s="91" t="str">
        <f t="shared" si="20"/>
        <v/>
      </c>
      <c r="H115" s="91" t="str">
        <f t="shared" si="26"/>
        <v/>
      </c>
      <c r="I115" s="79">
        <f t="shared" si="21"/>
        <v>20</v>
      </c>
      <c r="J115" s="76"/>
      <c r="K115" s="74"/>
      <c r="L115" s="75"/>
      <c r="M115" s="74"/>
      <c r="N115" s="74"/>
      <c r="O115" s="74"/>
      <c r="P115" s="74"/>
      <c r="Q115" s="74"/>
      <c r="R115" s="74"/>
      <c r="S115" s="74"/>
      <c r="T115" s="74"/>
      <c r="U115" s="74"/>
      <c r="V115" s="74"/>
      <c r="W115" s="74"/>
      <c r="X115" s="74"/>
      <c r="Y115" s="74"/>
    </row>
    <row r="116" spans="1:25" ht="67.150000000000006" outlineLevel="1">
      <c r="A116" s="74"/>
      <c r="B116" s="91" t="str">
        <f t="shared" si="27"/>
        <v/>
      </c>
      <c r="C116" s="94"/>
      <c r="D116" s="95"/>
      <c r="E116" s="94" t="s">
        <v>234</v>
      </c>
      <c r="F116" s="91" t="str">
        <f t="shared" si="18"/>
        <v/>
      </c>
      <c r="G116" s="91" t="str">
        <f t="shared" si="20"/>
        <v/>
      </c>
      <c r="H116" s="91" t="str">
        <f t="shared" si="26"/>
        <v/>
      </c>
      <c r="I116" s="79">
        <f t="shared" si="21"/>
        <v>20</v>
      </c>
      <c r="J116" s="76"/>
      <c r="K116" s="74"/>
      <c r="L116" s="75"/>
      <c r="M116" s="74"/>
      <c r="N116" s="74"/>
      <c r="O116" s="74"/>
      <c r="P116" s="74"/>
      <c r="Q116" s="74"/>
      <c r="R116" s="74"/>
      <c r="S116" s="74"/>
      <c r="T116" s="74"/>
      <c r="U116" s="74"/>
      <c r="V116" s="74"/>
      <c r="W116" s="74"/>
      <c r="X116" s="74"/>
      <c r="Y116" s="74"/>
    </row>
    <row r="117" spans="1:25" ht="67.150000000000006" outlineLevel="1">
      <c r="A117" s="74"/>
      <c r="B117" s="91" t="str">
        <f t="shared" si="27"/>
        <v/>
      </c>
      <c r="C117" s="94"/>
      <c r="D117" s="95"/>
      <c r="E117" s="94" t="s">
        <v>235</v>
      </c>
      <c r="F117" s="91" t="str">
        <f t="shared" si="18"/>
        <v/>
      </c>
      <c r="G117" s="91" t="str">
        <f t="shared" si="20"/>
        <v/>
      </c>
      <c r="H117" s="91" t="str">
        <f t="shared" si="26"/>
        <v/>
      </c>
      <c r="I117" s="79">
        <f t="shared" si="21"/>
        <v>20</v>
      </c>
      <c r="J117" s="76"/>
      <c r="K117" s="74"/>
      <c r="L117" s="75"/>
      <c r="M117" s="74"/>
      <c r="N117" s="74"/>
      <c r="O117" s="74"/>
      <c r="P117" s="74"/>
      <c r="Q117" s="74"/>
      <c r="R117" s="74"/>
      <c r="S117" s="74"/>
      <c r="T117" s="74"/>
      <c r="U117" s="74"/>
      <c r="V117" s="74"/>
      <c r="W117" s="74"/>
      <c r="X117" s="74"/>
      <c r="Y117" s="74"/>
    </row>
    <row r="118" spans="1:25" ht="84" outlineLevel="1">
      <c r="A118" s="74"/>
      <c r="B118" s="91" t="str">
        <f t="shared" si="27"/>
        <v/>
      </c>
      <c r="C118" s="94"/>
      <c r="D118" s="95"/>
      <c r="E118" s="94" t="s">
        <v>236</v>
      </c>
      <c r="F118" s="91" t="str">
        <f t="shared" si="18"/>
        <v/>
      </c>
      <c r="G118" s="91" t="str">
        <f t="shared" si="20"/>
        <v/>
      </c>
      <c r="H118" s="91" t="str">
        <f t="shared" si="26"/>
        <v/>
      </c>
      <c r="I118" s="79">
        <f t="shared" si="21"/>
        <v>20</v>
      </c>
      <c r="J118" s="76"/>
      <c r="K118" s="74"/>
      <c r="L118" s="75"/>
      <c r="M118" s="74"/>
      <c r="N118" s="74"/>
      <c r="O118" s="74"/>
      <c r="P118" s="74"/>
      <c r="Q118" s="74"/>
      <c r="R118" s="74"/>
      <c r="S118" s="74"/>
      <c r="T118" s="74"/>
      <c r="U118" s="74"/>
      <c r="V118" s="74"/>
      <c r="W118" s="74"/>
      <c r="X118" s="74"/>
      <c r="Y118" s="74"/>
    </row>
    <row r="119" spans="1:25" ht="84" outlineLevel="1">
      <c r="A119" s="74"/>
      <c r="B119" s="91" t="str">
        <f t="shared" si="27"/>
        <v/>
      </c>
      <c r="C119" s="94"/>
      <c r="D119" s="95"/>
      <c r="E119" s="94" t="s">
        <v>237</v>
      </c>
      <c r="F119" s="91" t="str">
        <f t="shared" si="18"/>
        <v/>
      </c>
      <c r="G119" s="91" t="str">
        <f t="shared" si="20"/>
        <v/>
      </c>
      <c r="H119" s="91" t="str">
        <f t="shared" si="26"/>
        <v/>
      </c>
      <c r="I119" s="79">
        <f t="shared" si="21"/>
        <v>20</v>
      </c>
      <c r="J119" s="76"/>
      <c r="K119" s="74"/>
      <c r="L119" s="75"/>
      <c r="M119" s="74"/>
      <c r="N119" s="74"/>
      <c r="O119" s="74"/>
      <c r="P119" s="74"/>
      <c r="Q119" s="74"/>
      <c r="R119" s="74"/>
      <c r="S119" s="74"/>
      <c r="T119" s="74"/>
      <c r="U119" s="74"/>
      <c r="V119" s="74"/>
      <c r="W119" s="74"/>
      <c r="X119" s="74"/>
      <c r="Y119" s="74"/>
    </row>
    <row r="120" spans="1:25" ht="84" outlineLevel="1">
      <c r="A120" s="74"/>
      <c r="B120" s="91" t="str">
        <f t="shared" si="27"/>
        <v/>
      </c>
      <c r="C120" s="94"/>
      <c r="D120" s="95"/>
      <c r="E120" s="94" t="s">
        <v>238</v>
      </c>
      <c r="F120" s="91" t="str">
        <f t="shared" si="18"/>
        <v/>
      </c>
      <c r="G120" s="91" t="str">
        <f t="shared" si="20"/>
        <v/>
      </c>
      <c r="H120" s="91" t="str">
        <f t="shared" si="26"/>
        <v/>
      </c>
      <c r="I120" s="79">
        <f t="shared" si="21"/>
        <v>20</v>
      </c>
      <c r="J120" s="76"/>
      <c r="K120" s="74"/>
      <c r="L120" s="75"/>
      <c r="M120" s="74"/>
      <c r="N120" s="74"/>
      <c r="O120" s="74"/>
      <c r="P120" s="74"/>
      <c r="Q120" s="74"/>
      <c r="R120" s="74"/>
      <c r="S120" s="74"/>
      <c r="T120" s="74"/>
      <c r="U120" s="74"/>
      <c r="V120" s="74"/>
      <c r="W120" s="74"/>
      <c r="X120" s="74"/>
      <c r="Y120" s="74"/>
    </row>
    <row r="121" spans="1:25" ht="84" outlineLevel="1">
      <c r="A121" s="74"/>
      <c r="B121" s="91" t="str">
        <f t="shared" si="27"/>
        <v/>
      </c>
      <c r="C121" s="94"/>
      <c r="D121" s="95"/>
      <c r="E121" s="94" t="s">
        <v>239</v>
      </c>
      <c r="F121" s="91" t="str">
        <f t="shared" si="18"/>
        <v/>
      </c>
      <c r="G121" s="91" t="str">
        <f t="shared" si="20"/>
        <v/>
      </c>
      <c r="H121" s="91" t="str">
        <f t="shared" si="26"/>
        <v/>
      </c>
      <c r="I121" s="79">
        <f t="shared" si="21"/>
        <v>20</v>
      </c>
      <c r="J121" s="76"/>
      <c r="K121" s="74"/>
      <c r="L121" s="75"/>
      <c r="M121" s="74"/>
      <c r="N121" s="74"/>
      <c r="O121" s="74"/>
      <c r="P121" s="74"/>
      <c r="Q121" s="74"/>
      <c r="R121" s="74"/>
      <c r="S121" s="74"/>
      <c r="T121" s="74"/>
      <c r="U121" s="74"/>
      <c r="V121" s="74"/>
      <c r="W121" s="74"/>
      <c r="X121" s="74"/>
      <c r="Y121" s="74"/>
    </row>
    <row r="122" spans="1:25" ht="84" outlineLevel="1">
      <c r="A122" s="74"/>
      <c r="B122" s="91" t="str">
        <f t="shared" si="27"/>
        <v/>
      </c>
      <c r="C122" s="94"/>
      <c r="D122" s="95"/>
      <c r="E122" s="94" t="s">
        <v>240</v>
      </c>
      <c r="F122" s="91" t="str">
        <f t="shared" si="18"/>
        <v/>
      </c>
      <c r="G122" s="91" t="str">
        <f t="shared" si="20"/>
        <v/>
      </c>
      <c r="H122" s="91" t="str">
        <f t="shared" si="26"/>
        <v/>
      </c>
      <c r="I122" s="79">
        <f t="shared" si="21"/>
        <v>20</v>
      </c>
      <c r="J122" s="76"/>
      <c r="K122" s="74"/>
      <c r="L122" s="75"/>
      <c r="M122" s="74"/>
      <c r="N122" s="74"/>
      <c r="O122" s="74"/>
      <c r="P122" s="74"/>
      <c r="Q122" s="74"/>
      <c r="R122" s="74"/>
      <c r="S122" s="74"/>
      <c r="T122" s="74"/>
      <c r="U122" s="74"/>
      <c r="V122" s="74"/>
      <c r="W122" s="74"/>
      <c r="X122" s="74"/>
      <c r="Y122" s="74"/>
    </row>
    <row r="123" spans="1:25" ht="18" outlineLevel="1">
      <c r="A123" s="74"/>
      <c r="B123" s="91">
        <f t="shared" si="27"/>
        <v>21</v>
      </c>
      <c r="C123" s="94" t="s">
        <v>241</v>
      </c>
      <c r="D123" s="95" t="s">
        <v>127</v>
      </c>
      <c r="E123" s="94"/>
      <c r="F123" s="91" t="str">
        <f t="shared" si="18"/>
        <v>B</v>
      </c>
      <c r="G123" s="91" t="str">
        <f t="shared" si="20"/>
        <v>Phức tạp</v>
      </c>
      <c r="H123" s="91">
        <f t="shared" si="26"/>
        <v>8</v>
      </c>
      <c r="I123" s="79" t="str">
        <f t="shared" si="21"/>
        <v/>
      </c>
      <c r="J123" s="76"/>
      <c r="K123" s="74"/>
      <c r="L123" s="75"/>
      <c r="M123" s="74"/>
      <c r="N123" s="74"/>
      <c r="O123" s="74"/>
      <c r="P123" s="74"/>
      <c r="Q123" s="74"/>
      <c r="R123" s="74"/>
      <c r="S123" s="74"/>
      <c r="T123" s="74"/>
      <c r="U123" s="74"/>
      <c r="V123" s="74"/>
      <c r="W123" s="74"/>
      <c r="X123" s="74"/>
      <c r="Y123" s="74"/>
    </row>
    <row r="124" spans="1:25" ht="84" outlineLevel="1">
      <c r="A124" s="74"/>
      <c r="B124" s="91" t="str">
        <f t="shared" si="27"/>
        <v/>
      </c>
      <c r="C124" s="94"/>
      <c r="D124" s="95"/>
      <c r="E124" s="94" t="s">
        <v>242</v>
      </c>
      <c r="F124" s="91" t="str">
        <f t="shared" si="18"/>
        <v/>
      </c>
      <c r="G124" s="91" t="str">
        <f t="shared" si="20"/>
        <v/>
      </c>
      <c r="H124" s="91" t="str">
        <f t="shared" si="26"/>
        <v/>
      </c>
      <c r="I124" s="79">
        <f t="shared" si="21"/>
        <v>21</v>
      </c>
      <c r="J124" s="76"/>
      <c r="K124" s="74"/>
      <c r="L124" s="75"/>
      <c r="M124" s="74"/>
      <c r="N124" s="74"/>
      <c r="O124" s="74"/>
      <c r="P124" s="74"/>
      <c r="Q124" s="74"/>
      <c r="R124" s="74"/>
      <c r="S124" s="74"/>
      <c r="T124" s="74"/>
      <c r="U124" s="74"/>
      <c r="V124" s="74"/>
      <c r="W124" s="74"/>
      <c r="X124" s="74"/>
      <c r="Y124" s="74"/>
    </row>
    <row r="125" spans="1:25" ht="84" outlineLevel="1">
      <c r="A125" s="74"/>
      <c r="B125" s="91" t="str">
        <f t="shared" si="27"/>
        <v/>
      </c>
      <c r="C125" s="94"/>
      <c r="D125" s="95"/>
      <c r="E125" s="94" t="s">
        <v>243</v>
      </c>
      <c r="F125" s="91" t="str">
        <f t="shared" si="18"/>
        <v/>
      </c>
      <c r="G125" s="91" t="str">
        <f t="shared" si="20"/>
        <v/>
      </c>
      <c r="H125" s="91" t="str">
        <f t="shared" si="26"/>
        <v/>
      </c>
      <c r="I125" s="79">
        <f t="shared" si="21"/>
        <v>21</v>
      </c>
      <c r="J125" s="76"/>
      <c r="K125" s="74"/>
      <c r="L125" s="75"/>
      <c r="M125" s="74"/>
      <c r="N125" s="74"/>
      <c r="O125" s="74"/>
      <c r="P125" s="74"/>
      <c r="Q125" s="74"/>
      <c r="R125" s="74"/>
      <c r="S125" s="74"/>
      <c r="T125" s="74"/>
      <c r="U125" s="74"/>
      <c r="V125" s="74"/>
      <c r="W125" s="74"/>
      <c r="X125" s="74"/>
      <c r="Y125" s="74"/>
    </row>
    <row r="126" spans="1:25" ht="84" outlineLevel="1">
      <c r="A126" s="74"/>
      <c r="B126" s="91" t="str">
        <f t="shared" si="27"/>
        <v/>
      </c>
      <c r="C126" s="94"/>
      <c r="D126" s="95"/>
      <c r="E126" s="94" t="s">
        <v>244</v>
      </c>
      <c r="F126" s="91" t="str">
        <f t="shared" si="18"/>
        <v/>
      </c>
      <c r="G126" s="91" t="str">
        <f t="shared" si="20"/>
        <v/>
      </c>
      <c r="H126" s="91" t="str">
        <f t="shared" si="26"/>
        <v/>
      </c>
      <c r="I126" s="79">
        <f t="shared" si="21"/>
        <v>21</v>
      </c>
      <c r="J126" s="76"/>
      <c r="K126" s="74"/>
      <c r="L126" s="75"/>
      <c r="M126" s="74"/>
      <c r="N126" s="74"/>
      <c r="O126" s="74"/>
      <c r="P126" s="74"/>
      <c r="Q126" s="74"/>
      <c r="R126" s="74"/>
      <c r="S126" s="74"/>
      <c r="T126" s="74"/>
      <c r="U126" s="74"/>
      <c r="V126" s="74"/>
      <c r="W126" s="74"/>
      <c r="X126" s="74"/>
      <c r="Y126" s="74"/>
    </row>
    <row r="127" spans="1:25" ht="84" outlineLevel="1">
      <c r="A127" s="74"/>
      <c r="B127" s="91" t="str">
        <f t="shared" si="27"/>
        <v/>
      </c>
      <c r="C127" s="94"/>
      <c r="D127" s="95"/>
      <c r="E127" s="94" t="s">
        <v>245</v>
      </c>
      <c r="F127" s="91" t="str">
        <f t="shared" si="18"/>
        <v/>
      </c>
      <c r="G127" s="91" t="str">
        <f t="shared" si="20"/>
        <v/>
      </c>
      <c r="H127" s="91" t="str">
        <f t="shared" si="26"/>
        <v/>
      </c>
      <c r="I127" s="79">
        <f t="shared" si="21"/>
        <v>21</v>
      </c>
      <c r="J127" s="76"/>
      <c r="K127" s="74"/>
      <c r="L127" s="75"/>
      <c r="M127" s="74"/>
      <c r="N127" s="74"/>
      <c r="O127" s="74"/>
      <c r="P127" s="74"/>
      <c r="Q127" s="74"/>
      <c r="R127" s="74"/>
      <c r="S127" s="74"/>
      <c r="T127" s="74"/>
      <c r="U127" s="74"/>
      <c r="V127" s="74"/>
      <c r="W127" s="74"/>
      <c r="X127" s="74"/>
      <c r="Y127" s="74"/>
    </row>
    <row r="128" spans="1:25" ht="84" outlineLevel="1">
      <c r="A128" s="74"/>
      <c r="B128" s="91" t="str">
        <f t="shared" si="27"/>
        <v/>
      </c>
      <c r="C128" s="94"/>
      <c r="D128" s="95"/>
      <c r="E128" s="94" t="s">
        <v>246</v>
      </c>
      <c r="F128" s="91" t="str">
        <f t="shared" si="18"/>
        <v/>
      </c>
      <c r="G128" s="91" t="str">
        <f t="shared" si="20"/>
        <v/>
      </c>
      <c r="H128" s="91" t="str">
        <f t="shared" si="26"/>
        <v/>
      </c>
      <c r="I128" s="79">
        <f t="shared" si="21"/>
        <v>21</v>
      </c>
      <c r="J128" s="76"/>
      <c r="K128" s="74"/>
      <c r="L128" s="75"/>
      <c r="M128" s="74"/>
      <c r="N128" s="74"/>
      <c r="O128" s="74"/>
      <c r="P128" s="74"/>
      <c r="Q128" s="74"/>
      <c r="R128" s="74"/>
      <c r="S128" s="74"/>
      <c r="T128" s="74"/>
      <c r="U128" s="74"/>
      <c r="V128" s="74"/>
      <c r="W128" s="74"/>
      <c r="X128" s="74"/>
      <c r="Y128" s="74"/>
    </row>
    <row r="129" spans="1:25" ht="84" outlineLevel="1">
      <c r="A129" s="74"/>
      <c r="B129" s="91" t="str">
        <f t="shared" si="27"/>
        <v/>
      </c>
      <c r="C129" s="94"/>
      <c r="D129" s="95"/>
      <c r="E129" s="94" t="s">
        <v>247</v>
      </c>
      <c r="F129" s="91" t="str">
        <f t="shared" si="18"/>
        <v/>
      </c>
      <c r="G129" s="91" t="str">
        <f t="shared" si="20"/>
        <v/>
      </c>
      <c r="H129" s="91" t="str">
        <f t="shared" si="26"/>
        <v/>
      </c>
      <c r="I129" s="79">
        <f t="shared" si="21"/>
        <v>21</v>
      </c>
      <c r="J129" s="76"/>
      <c r="K129" s="74"/>
      <c r="L129" s="75"/>
      <c r="M129" s="74"/>
      <c r="N129" s="74"/>
      <c r="O129" s="74"/>
      <c r="P129" s="74"/>
      <c r="Q129" s="74"/>
      <c r="R129" s="74"/>
      <c r="S129" s="74"/>
      <c r="T129" s="74"/>
      <c r="U129" s="74"/>
      <c r="V129" s="74"/>
      <c r="W129" s="74"/>
      <c r="X129" s="74"/>
      <c r="Y129" s="74"/>
    </row>
    <row r="130" spans="1:25" ht="84" outlineLevel="1">
      <c r="A130" s="74"/>
      <c r="B130" s="91" t="str">
        <f t="shared" si="27"/>
        <v/>
      </c>
      <c r="C130" s="94"/>
      <c r="D130" s="95"/>
      <c r="E130" s="94" t="s">
        <v>248</v>
      </c>
      <c r="F130" s="91" t="str">
        <f t="shared" si="18"/>
        <v/>
      </c>
      <c r="G130" s="91" t="str">
        <f t="shared" si="20"/>
        <v/>
      </c>
      <c r="H130" s="91" t="str">
        <f t="shared" si="26"/>
        <v/>
      </c>
      <c r="I130" s="79">
        <f t="shared" si="21"/>
        <v>21</v>
      </c>
      <c r="J130" s="76"/>
      <c r="K130" s="74"/>
      <c r="L130" s="75"/>
      <c r="M130" s="74"/>
      <c r="N130" s="74"/>
      <c r="O130" s="74"/>
      <c r="P130" s="74"/>
      <c r="Q130" s="74"/>
      <c r="R130" s="74"/>
      <c r="S130" s="74"/>
      <c r="T130" s="74"/>
      <c r="U130" s="74"/>
      <c r="V130" s="74"/>
      <c r="W130" s="74"/>
      <c r="X130" s="74"/>
      <c r="Y130" s="74"/>
    </row>
    <row r="131" spans="1:25" ht="84" outlineLevel="1">
      <c r="A131" s="74"/>
      <c r="B131" s="91" t="str">
        <f t="shared" si="27"/>
        <v/>
      </c>
      <c r="C131" s="94"/>
      <c r="D131" s="95"/>
      <c r="E131" s="94" t="s">
        <v>249</v>
      </c>
      <c r="F131" s="91" t="str">
        <f t="shared" si="18"/>
        <v/>
      </c>
      <c r="G131" s="91" t="str">
        <f t="shared" si="20"/>
        <v/>
      </c>
      <c r="H131" s="91" t="str">
        <f t="shared" si="26"/>
        <v/>
      </c>
      <c r="I131" s="79">
        <f t="shared" si="21"/>
        <v>21</v>
      </c>
      <c r="J131" s="76"/>
      <c r="K131" s="74"/>
      <c r="L131" s="75"/>
      <c r="M131" s="74"/>
      <c r="N131" s="74"/>
      <c r="O131" s="74"/>
      <c r="P131" s="74"/>
      <c r="Q131" s="74"/>
      <c r="R131" s="74"/>
      <c r="S131" s="74"/>
      <c r="T131" s="74"/>
      <c r="U131" s="74"/>
      <c r="V131" s="74"/>
      <c r="W131" s="74"/>
      <c r="X131" s="74"/>
      <c r="Y131" s="74"/>
    </row>
    <row r="132" spans="1:25" ht="18" outlineLevel="1">
      <c r="A132" s="74"/>
      <c r="B132" s="91">
        <f t="shared" si="27"/>
        <v>22</v>
      </c>
      <c r="C132" s="94" t="s">
        <v>250</v>
      </c>
      <c r="D132" s="95" t="s">
        <v>127</v>
      </c>
      <c r="E132" s="94"/>
      <c r="F132" s="91" t="str">
        <f t="shared" si="18"/>
        <v>B</v>
      </c>
      <c r="G132" s="91" t="str">
        <f t="shared" si="20"/>
        <v>Trung bình</v>
      </c>
      <c r="H132" s="91">
        <f t="shared" si="26"/>
        <v>5</v>
      </c>
      <c r="I132" s="79" t="str">
        <f t="shared" si="21"/>
        <v/>
      </c>
      <c r="J132" s="76"/>
      <c r="K132" s="74"/>
      <c r="L132" s="75"/>
      <c r="M132" s="74"/>
      <c r="N132" s="74"/>
      <c r="O132" s="74"/>
      <c r="P132" s="74"/>
      <c r="Q132" s="74"/>
      <c r="R132" s="74"/>
      <c r="S132" s="74"/>
      <c r="T132" s="74"/>
      <c r="U132" s="74"/>
      <c r="V132" s="74"/>
      <c r="W132" s="74"/>
      <c r="X132" s="74"/>
      <c r="Y132" s="74"/>
    </row>
    <row r="133" spans="1:25" ht="84" outlineLevel="1">
      <c r="A133" s="74"/>
      <c r="B133" s="91" t="str">
        <f t="shared" si="27"/>
        <v/>
      </c>
      <c r="C133" s="94"/>
      <c r="D133" s="95"/>
      <c r="E133" s="94" t="s">
        <v>251</v>
      </c>
      <c r="F133" s="91" t="str">
        <f t="shared" si="18"/>
        <v/>
      </c>
      <c r="G133" s="91" t="str">
        <f t="shared" si="20"/>
        <v/>
      </c>
      <c r="H133" s="91" t="str">
        <f t="shared" si="26"/>
        <v/>
      </c>
      <c r="I133" s="79">
        <f t="shared" si="21"/>
        <v>22</v>
      </c>
      <c r="J133" s="76"/>
      <c r="K133" s="74"/>
      <c r="L133" s="75"/>
      <c r="M133" s="74"/>
      <c r="N133" s="74"/>
      <c r="O133" s="74"/>
      <c r="P133" s="74"/>
      <c r="Q133" s="74"/>
      <c r="R133" s="74"/>
      <c r="S133" s="74"/>
      <c r="T133" s="74"/>
      <c r="U133" s="74"/>
      <c r="V133" s="74"/>
      <c r="W133" s="74"/>
      <c r="X133" s="74"/>
      <c r="Y133" s="74"/>
    </row>
    <row r="134" spans="1:25" ht="84" outlineLevel="1">
      <c r="A134" s="74"/>
      <c r="B134" s="91" t="str">
        <f t="shared" si="27"/>
        <v/>
      </c>
      <c r="C134" s="94"/>
      <c r="D134" s="95"/>
      <c r="E134" s="94" t="s">
        <v>252</v>
      </c>
      <c r="F134" s="91" t="str">
        <f t="shared" si="18"/>
        <v/>
      </c>
      <c r="G134" s="91" t="str">
        <f t="shared" si="20"/>
        <v/>
      </c>
      <c r="H134" s="91" t="str">
        <f t="shared" si="26"/>
        <v/>
      </c>
      <c r="I134" s="79">
        <f t="shared" si="21"/>
        <v>22</v>
      </c>
      <c r="J134" s="76"/>
      <c r="K134" s="74"/>
      <c r="L134" s="75"/>
      <c r="M134" s="74"/>
      <c r="N134" s="74"/>
      <c r="O134" s="74"/>
      <c r="P134" s="74"/>
      <c r="Q134" s="74"/>
      <c r="R134" s="74"/>
      <c r="S134" s="74"/>
      <c r="T134" s="74"/>
      <c r="U134" s="74"/>
      <c r="V134" s="74"/>
      <c r="W134" s="74"/>
      <c r="X134" s="74"/>
      <c r="Y134" s="74"/>
    </row>
    <row r="135" spans="1:25" ht="84" outlineLevel="1">
      <c r="A135" s="74"/>
      <c r="B135" s="91" t="str">
        <f t="shared" si="27"/>
        <v/>
      </c>
      <c r="C135" s="94"/>
      <c r="D135" s="95"/>
      <c r="E135" s="94" t="s">
        <v>253</v>
      </c>
      <c r="F135" s="91" t="str">
        <f t="shared" si="18"/>
        <v/>
      </c>
      <c r="G135" s="91" t="str">
        <f t="shared" si="20"/>
        <v/>
      </c>
      <c r="H135" s="91" t="str">
        <f t="shared" si="26"/>
        <v/>
      </c>
      <c r="I135" s="79">
        <f t="shared" si="21"/>
        <v>22</v>
      </c>
      <c r="J135" s="76"/>
      <c r="K135" s="74"/>
      <c r="L135" s="75"/>
      <c r="M135" s="74"/>
      <c r="N135" s="74"/>
      <c r="O135" s="74"/>
      <c r="P135" s="74"/>
      <c r="Q135" s="74"/>
      <c r="R135" s="74"/>
      <c r="S135" s="74"/>
      <c r="T135" s="74"/>
      <c r="U135" s="74"/>
      <c r="V135" s="74"/>
      <c r="W135" s="74"/>
      <c r="X135" s="74"/>
      <c r="Y135" s="74"/>
    </row>
    <row r="136" spans="1:25" ht="84" outlineLevel="1">
      <c r="A136" s="74"/>
      <c r="B136" s="91" t="str">
        <f t="shared" si="27"/>
        <v/>
      </c>
      <c r="C136" s="94"/>
      <c r="D136" s="95"/>
      <c r="E136" s="94" t="s">
        <v>254</v>
      </c>
      <c r="F136" s="91" t="str">
        <f t="shared" si="18"/>
        <v/>
      </c>
      <c r="G136" s="91" t="str">
        <f t="shared" si="20"/>
        <v/>
      </c>
      <c r="H136" s="91" t="str">
        <f t="shared" si="26"/>
        <v/>
      </c>
      <c r="I136" s="79">
        <f t="shared" si="21"/>
        <v>22</v>
      </c>
      <c r="J136" s="76"/>
      <c r="K136" s="74"/>
      <c r="L136" s="75"/>
      <c r="M136" s="74"/>
      <c r="N136" s="74"/>
      <c r="O136" s="74"/>
      <c r="P136" s="74"/>
      <c r="Q136" s="74"/>
      <c r="R136" s="74"/>
      <c r="S136" s="74"/>
      <c r="T136" s="74"/>
      <c r="U136" s="74"/>
      <c r="V136" s="74"/>
      <c r="W136" s="74"/>
      <c r="X136" s="74"/>
      <c r="Y136" s="74"/>
    </row>
    <row r="137" spans="1:25" ht="67.150000000000006" outlineLevel="1">
      <c r="A137" s="74"/>
      <c r="B137" s="91" t="str">
        <f t="shared" si="27"/>
        <v/>
      </c>
      <c r="C137" s="94"/>
      <c r="D137" s="95"/>
      <c r="E137" s="94" t="s">
        <v>255</v>
      </c>
      <c r="F137" s="91" t="str">
        <f t="shared" si="18"/>
        <v/>
      </c>
      <c r="G137" s="91" t="str">
        <f t="shared" si="20"/>
        <v/>
      </c>
      <c r="H137" s="91" t="str">
        <f t="shared" si="26"/>
        <v/>
      </c>
      <c r="I137" s="79">
        <f t="shared" si="21"/>
        <v>22</v>
      </c>
      <c r="J137" s="76"/>
      <c r="K137" s="74"/>
      <c r="L137" s="75"/>
      <c r="M137" s="74"/>
      <c r="N137" s="74"/>
      <c r="O137" s="74"/>
      <c r="P137" s="74"/>
      <c r="Q137" s="74"/>
      <c r="R137" s="74"/>
      <c r="S137" s="74"/>
      <c r="T137" s="74"/>
      <c r="U137" s="74"/>
      <c r="V137" s="74"/>
      <c r="W137" s="74"/>
      <c r="X137" s="74"/>
      <c r="Y137" s="74"/>
    </row>
    <row r="138" spans="1:25" ht="18" outlineLevel="1">
      <c r="A138" s="74"/>
      <c r="B138" s="91">
        <f t="shared" si="27"/>
        <v>23</v>
      </c>
      <c r="C138" s="94" t="s">
        <v>256</v>
      </c>
      <c r="D138" s="95" t="s">
        <v>127</v>
      </c>
      <c r="E138" s="94"/>
      <c r="F138" s="91" t="str">
        <f t="shared" si="18"/>
        <v>B</v>
      </c>
      <c r="G138" s="91" t="str">
        <f t="shared" si="20"/>
        <v>Trung bình</v>
      </c>
      <c r="H138" s="91">
        <f t="shared" si="26"/>
        <v>4</v>
      </c>
      <c r="I138" s="79" t="str">
        <f t="shared" si="21"/>
        <v/>
      </c>
      <c r="J138" s="76"/>
      <c r="K138" s="74"/>
      <c r="L138" s="75"/>
      <c r="M138" s="74"/>
      <c r="N138" s="74"/>
      <c r="O138" s="74"/>
      <c r="P138" s="74"/>
      <c r="Q138" s="74"/>
      <c r="R138" s="74"/>
      <c r="S138" s="74"/>
      <c r="T138" s="74"/>
      <c r="U138" s="74"/>
      <c r="V138" s="74"/>
      <c r="W138" s="74"/>
      <c r="X138" s="74"/>
      <c r="Y138" s="74"/>
    </row>
    <row r="139" spans="1:25" ht="84" outlineLevel="1">
      <c r="A139" s="74"/>
      <c r="B139" s="91" t="str">
        <f t="shared" si="27"/>
        <v/>
      </c>
      <c r="C139" s="94"/>
      <c r="D139" s="95"/>
      <c r="E139" s="94" t="s">
        <v>257</v>
      </c>
      <c r="F139" s="91" t="str">
        <f t="shared" si="18"/>
        <v/>
      </c>
      <c r="G139" s="91" t="str">
        <f t="shared" si="20"/>
        <v/>
      </c>
      <c r="H139" s="91" t="str">
        <f t="shared" si="26"/>
        <v/>
      </c>
      <c r="I139" s="79">
        <f t="shared" si="21"/>
        <v>23</v>
      </c>
      <c r="J139" s="76"/>
      <c r="K139" s="74"/>
      <c r="L139" s="75"/>
      <c r="M139" s="74"/>
      <c r="N139" s="74"/>
      <c r="O139" s="74"/>
      <c r="P139" s="74"/>
      <c r="Q139" s="74"/>
      <c r="R139" s="74"/>
      <c r="S139" s="74"/>
      <c r="T139" s="74"/>
      <c r="U139" s="74"/>
      <c r="V139" s="74"/>
      <c r="W139" s="74"/>
      <c r="X139" s="74"/>
      <c r="Y139" s="74"/>
    </row>
    <row r="140" spans="1:25" ht="84" outlineLevel="1">
      <c r="A140" s="74"/>
      <c r="B140" s="91" t="str">
        <f t="shared" si="27"/>
        <v/>
      </c>
      <c r="C140" s="94"/>
      <c r="D140" s="95"/>
      <c r="E140" s="94" t="s">
        <v>258</v>
      </c>
      <c r="F140" s="91" t="str">
        <f t="shared" si="18"/>
        <v/>
      </c>
      <c r="G140" s="91" t="str">
        <f t="shared" si="20"/>
        <v/>
      </c>
      <c r="H140" s="91" t="str">
        <f t="shared" si="26"/>
        <v/>
      </c>
      <c r="I140" s="79">
        <f t="shared" si="21"/>
        <v>23</v>
      </c>
      <c r="J140" s="76"/>
      <c r="K140" s="74"/>
      <c r="L140" s="75"/>
      <c r="M140" s="74"/>
      <c r="N140" s="74"/>
      <c r="O140" s="74"/>
      <c r="P140" s="74"/>
      <c r="Q140" s="74"/>
      <c r="R140" s="74"/>
      <c r="S140" s="74"/>
      <c r="T140" s="74"/>
      <c r="U140" s="74"/>
      <c r="V140" s="74"/>
      <c r="W140" s="74"/>
      <c r="X140" s="74"/>
      <c r="Y140" s="74"/>
    </row>
    <row r="141" spans="1:25" ht="67.150000000000006" outlineLevel="1">
      <c r="A141" s="74"/>
      <c r="B141" s="91"/>
      <c r="C141" s="94"/>
      <c r="D141" s="95"/>
      <c r="E141" s="94" t="s">
        <v>259</v>
      </c>
      <c r="F141" s="91"/>
      <c r="G141" s="91"/>
      <c r="H141" s="91"/>
      <c r="I141" s="79">
        <f t="shared" si="21"/>
        <v>23</v>
      </c>
      <c r="J141" s="76"/>
      <c r="K141" s="74"/>
      <c r="L141" s="75"/>
      <c r="M141" s="74"/>
      <c r="N141" s="74"/>
      <c r="O141" s="74"/>
      <c r="P141" s="74"/>
      <c r="Q141" s="74"/>
      <c r="R141" s="74"/>
      <c r="S141" s="74"/>
      <c r="T141" s="74"/>
      <c r="U141" s="74"/>
      <c r="V141" s="74"/>
      <c r="W141" s="74"/>
      <c r="X141" s="74"/>
      <c r="Y141" s="74"/>
    </row>
    <row r="142" spans="1:25" ht="84" outlineLevel="1">
      <c r="A142" s="74"/>
      <c r="B142" s="91"/>
      <c r="C142" s="94"/>
      <c r="D142" s="95"/>
      <c r="E142" s="94" t="s">
        <v>260</v>
      </c>
      <c r="F142" s="91"/>
      <c r="G142" s="91"/>
      <c r="H142" s="91"/>
      <c r="I142" s="79">
        <f t="shared" si="21"/>
        <v>23</v>
      </c>
      <c r="J142" s="76"/>
      <c r="K142" s="74"/>
      <c r="L142" s="75"/>
      <c r="M142" s="74"/>
      <c r="N142" s="74"/>
      <c r="O142" s="74"/>
      <c r="P142" s="74"/>
      <c r="Q142" s="74"/>
      <c r="R142" s="74"/>
      <c r="S142" s="74"/>
      <c r="T142" s="74"/>
      <c r="U142" s="74"/>
      <c r="V142" s="74"/>
      <c r="W142" s="74"/>
      <c r="X142" s="74"/>
      <c r="Y142" s="74"/>
    </row>
    <row r="143" spans="1:25" ht="18" outlineLevel="1">
      <c r="A143" s="74"/>
      <c r="B143" s="91">
        <f t="shared" ref="B143:B145" si="28">IF(C143="","",IF(F143="B",COUNTIF($F$6:F143,"B"),""))</f>
        <v>24</v>
      </c>
      <c r="C143" s="94" t="s">
        <v>261</v>
      </c>
      <c r="D143" s="95" t="s">
        <v>127</v>
      </c>
      <c r="E143" s="94"/>
      <c r="F143" s="91" t="str">
        <f t="shared" ref="F143:F323" si="29">IF(D143="","","B")</f>
        <v>B</v>
      </c>
      <c r="G143" s="91" t="str">
        <f t="shared" ref="G143:G323" si="30">IF(AND(B143&lt;&gt;"",C143&lt;&gt;"",D143&lt;&gt;""),IF(H143&lt;4,$K$1,IF(H143&lt;8,$K$2,$K$3)),"")</f>
        <v>Đơn giản</v>
      </c>
      <c r="H143" s="91">
        <f t="shared" ref="H143:H155" si="31">IF(AND(B143&lt;&gt;"",C143&lt;&gt;"",D143&lt;&gt;""),COUNTIF(I143:I605,B143),"")</f>
        <v>2</v>
      </c>
      <c r="I143" s="79" t="str">
        <f t="shared" si="21"/>
        <v/>
      </c>
      <c r="J143" s="76"/>
      <c r="K143" s="74"/>
      <c r="L143" s="75"/>
      <c r="M143" s="74"/>
      <c r="N143" s="74"/>
      <c r="O143" s="74"/>
      <c r="P143" s="74"/>
      <c r="Q143" s="74"/>
      <c r="R143" s="74"/>
      <c r="S143" s="74"/>
      <c r="T143" s="74"/>
      <c r="U143" s="74"/>
      <c r="V143" s="74"/>
      <c r="W143" s="74"/>
      <c r="X143" s="74"/>
      <c r="Y143" s="74"/>
    </row>
    <row r="144" spans="1:25" ht="67.150000000000006" outlineLevel="1">
      <c r="A144" s="74"/>
      <c r="B144" s="91" t="str">
        <f t="shared" si="28"/>
        <v/>
      </c>
      <c r="C144" s="94"/>
      <c r="D144" s="95"/>
      <c r="E144" s="94" t="s">
        <v>262</v>
      </c>
      <c r="F144" s="91" t="str">
        <f t="shared" si="29"/>
        <v/>
      </c>
      <c r="G144" s="91" t="str">
        <f t="shared" si="30"/>
        <v/>
      </c>
      <c r="H144" s="91" t="str">
        <f t="shared" si="31"/>
        <v/>
      </c>
      <c r="I144" s="79">
        <f t="shared" si="21"/>
        <v>24</v>
      </c>
      <c r="J144" s="76"/>
      <c r="K144" s="74"/>
      <c r="L144" s="75"/>
      <c r="M144" s="74"/>
      <c r="N144" s="74"/>
      <c r="O144" s="74"/>
      <c r="P144" s="74"/>
      <c r="Q144" s="74"/>
      <c r="R144" s="74"/>
      <c r="S144" s="74"/>
      <c r="T144" s="74"/>
      <c r="U144" s="74"/>
      <c r="V144" s="74"/>
      <c r="W144" s="74"/>
      <c r="X144" s="74"/>
      <c r="Y144" s="74"/>
    </row>
    <row r="145" spans="1:25" ht="84" outlineLevel="1">
      <c r="A145" s="74"/>
      <c r="B145" s="91" t="str">
        <f t="shared" si="28"/>
        <v/>
      </c>
      <c r="C145" s="94"/>
      <c r="D145" s="95"/>
      <c r="E145" s="94" t="s">
        <v>263</v>
      </c>
      <c r="F145" s="91" t="str">
        <f t="shared" si="29"/>
        <v/>
      </c>
      <c r="G145" s="91" t="str">
        <f t="shared" si="30"/>
        <v/>
      </c>
      <c r="H145" s="91" t="str">
        <f t="shared" si="31"/>
        <v/>
      </c>
      <c r="I145" s="79">
        <f t="shared" si="21"/>
        <v>24</v>
      </c>
      <c r="J145" s="76"/>
      <c r="K145" s="74"/>
      <c r="L145" s="75"/>
      <c r="M145" s="74"/>
      <c r="N145" s="74"/>
      <c r="O145" s="74"/>
      <c r="P145" s="74"/>
      <c r="Q145" s="74"/>
      <c r="R145" s="74"/>
      <c r="S145" s="74"/>
      <c r="T145" s="74"/>
      <c r="U145" s="74"/>
      <c r="V145" s="74"/>
      <c r="W145" s="74"/>
      <c r="X145" s="74"/>
      <c r="Y145" s="74"/>
    </row>
    <row r="146" spans="1:25" ht="18" outlineLevel="1">
      <c r="A146" s="74"/>
      <c r="B146" s="91" t="s">
        <v>264</v>
      </c>
      <c r="C146" s="92" t="s">
        <v>265</v>
      </c>
      <c r="D146" s="93"/>
      <c r="E146" s="94"/>
      <c r="F146" s="91" t="str">
        <f t="shared" si="29"/>
        <v/>
      </c>
      <c r="G146" s="91" t="str">
        <f t="shared" si="30"/>
        <v/>
      </c>
      <c r="H146" s="91" t="str">
        <f t="shared" si="31"/>
        <v/>
      </c>
      <c r="I146" s="79" t="str">
        <f t="shared" si="21"/>
        <v/>
      </c>
      <c r="J146" s="76"/>
      <c r="K146" s="74"/>
      <c r="L146" s="75"/>
      <c r="M146" s="74"/>
      <c r="N146" s="74"/>
      <c r="O146" s="74"/>
      <c r="P146" s="74"/>
      <c r="Q146" s="74"/>
      <c r="R146" s="74"/>
      <c r="S146" s="74"/>
      <c r="T146" s="74"/>
      <c r="U146" s="74"/>
      <c r="V146" s="74"/>
      <c r="W146" s="74"/>
      <c r="X146" s="74"/>
      <c r="Y146" s="74"/>
    </row>
    <row r="147" spans="1:25" ht="18" outlineLevel="1">
      <c r="A147" s="74"/>
      <c r="B147" s="91">
        <f t="shared" ref="B147:B156" si="32">IF(C147="","",IF(F147="B",COUNTIF($F$6:F147,"B"),""))</f>
        <v>25</v>
      </c>
      <c r="C147" s="94" t="s">
        <v>266</v>
      </c>
      <c r="D147" s="95" t="s">
        <v>127</v>
      </c>
      <c r="E147" s="94"/>
      <c r="F147" s="91" t="str">
        <f t="shared" si="29"/>
        <v>B</v>
      </c>
      <c r="G147" s="91" t="str">
        <f t="shared" si="30"/>
        <v>Trung bình</v>
      </c>
      <c r="H147" s="91">
        <f t="shared" si="31"/>
        <v>4</v>
      </c>
      <c r="I147" s="79" t="str">
        <f t="shared" si="21"/>
        <v/>
      </c>
      <c r="J147" s="76"/>
      <c r="K147" s="74"/>
      <c r="L147" s="75"/>
      <c r="M147" s="74"/>
      <c r="N147" s="74"/>
      <c r="O147" s="74"/>
      <c r="P147" s="74"/>
      <c r="Q147" s="74"/>
      <c r="R147" s="74"/>
      <c r="S147" s="74"/>
      <c r="T147" s="74"/>
      <c r="U147" s="74"/>
      <c r="V147" s="74"/>
      <c r="W147" s="74"/>
      <c r="X147" s="74"/>
      <c r="Y147" s="74"/>
    </row>
    <row r="148" spans="1:25" ht="50.45" outlineLevel="1">
      <c r="A148" s="74"/>
      <c r="B148" s="91" t="str">
        <f t="shared" si="32"/>
        <v/>
      </c>
      <c r="C148" s="94"/>
      <c r="D148" s="95"/>
      <c r="E148" s="94" t="s">
        <v>267</v>
      </c>
      <c r="F148" s="91" t="str">
        <f t="shared" si="29"/>
        <v/>
      </c>
      <c r="G148" s="91" t="str">
        <f t="shared" si="30"/>
        <v/>
      </c>
      <c r="H148" s="91" t="str">
        <f t="shared" si="31"/>
        <v/>
      </c>
      <c r="I148" s="79">
        <f t="shared" si="21"/>
        <v>25</v>
      </c>
      <c r="J148" s="76"/>
      <c r="K148" s="74"/>
      <c r="L148" s="75"/>
      <c r="M148" s="74"/>
      <c r="N148" s="74"/>
      <c r="O148" s="74"/>
      <c r="P148" s="74"/>
      <c r="Q148" s="74"/>
      <c r="R148" s="74"/>
      <c r="S148" s="74"/>
      <c r="T148" s="74"/>
      <c r="U148" s="74"/>
      <c r="V148" s="74"/>
      <c r="W148" s="74"/>
      <c r="X148" s="74"/>
      <c r="Y148" s="74"/>
    </row>
    <row r="149" spans="1:25" ht="50.45" outlineLevel="1">
      <c r="A149" s="74"/>
      <c r="B149" s="91" t="str">
        <f t="shared" si="32"/>
        <v/>
      </c>
      <c r="C149" s="94"/>
      <c r="D149" s="95"/>
      <c r="E149" s="94" t="s">
        <v>268</v>
      </c>
      <c r="F149" s="91" t="str">
        <f t="shared" si="29"/>
        <v/>
      </c>
      <c r="G149" s="91" t="str">
        <f t="shared" si="30"/>
        <v/>
      </c>
      <c r="H149" s="91" t="str">
        <f t="shared" si="31"/>
        <v/>
      </c>
      <c r="I149" s="79">
        <f t="shared" si="21"/>
        <v>25</v>
      </c>
      <c r="J149" s="76"/>
      <c r="K149" s="74"/>
      <c r="L149" s="75"/>
      <c r="M149" s="74"/>
      <c r="N149" s="74"/>
      <c r="O149" s="74"/>
      <c r="P149" s="74"/>
      <c r="Q149" s="74"/>
      <c r="R149" s="74"/>
      <c r="S149" s="74"/>
      <c r="T149" s="74"/>
      <c r="U149" s="74"/>
      <c r="V149" s="74"/>
      <c r="W149" s="74"/>
      <c r="X149" s="74"/>
      <c r="Y149" s="74"/>
    </row>
    <row r="150" spans="1:25" ht="50.45" outlineLevel="1">
      <c r="A150" s="74"/>
      <c r="B150" s="91" t="str">
        <f t="shared" si="32"/>
        <v/>
      </c>
      <c r="C150" s="94"/>
      <c r="D150" s="95"/>
      <c r="E150" s="94" t="s">
        <v>269</v>
      </c>
      <c r="F150" s="91" t="str">
        <f t="shared" si="29"/>
        <v/>
      </c>
      <c r="G150" s="91" t="str">
        <f t="shared" si="30"/>
        <v/>
      </c>
      <c r="H150" s="91" t="str">
        <f t="shared" si="31"/>
        <v/>
      </c>
      <c r="I150" s="79">
        <f t="shared" si="21"/>
        <v>25</v>
      </c>
      <c r="J150" s="76"/>
      <c r="K150" s="74"/>
      <c r="L150" s="75"/>
      <c r="M150" s="74"/>
      <c r="N150" s="74"/>
      <c r="O150" s="74"/>
      <c r="P150" s="74"/>
      <c r="Q150" s="74"/>
      <c r="R150" s="74"/>
      <c r="S150" s="74"/>
      <c r="T150" s="74"/>
      <c r="U150" s="74"/>
      <c r="V150" s="74"/>
      <c r="W150" s="74"/>
      <c r="X150" s="74"/>
      <c r="Y150" s="74"/>
    </row>
    <row r="151" spans="1:25" ht="50.45" outlineLevel="1">
      <c r="A151" s="74"/>
      <c r="B151" s="91" t="str">
        <f t="shared" si="32"/>
        <v/>
      </c>
      <c r="C151" s="94"/>
      <c r="D151" s="95"/>
      <c r="E151" s="94" t="s">
        <v>270</v>
      </c>
      <c r="F151" s="91" t="str">
        <f t="shared" si="29"/>
        <v/>
      </c>
      <c r="G151" s="91" t="str">
        <f t="shared" si="30"/>
        <v/>
      </c>
      <c r="H151" s="91" t="str">
        <f t="shared" si="31"/>
        <v/>
      </c>
      <c r="I151" s="79">
        <f t="shared" si="21"/>
        <v>25</v>
      </c>
      <c r="J151" s="76"/>
      <c r="K151" s="74"/>
      <c r="L151" s="75"/>
      <c r="M151" s="74"/>
      <c r="N151" s="74"/>
      <c r="O151" s="74"/>
      <c r="P151" s="74"/>
      <c r="Q151" s="74"/>
      <c r="R151" s="74"/>
      <c r="S151" s="74"/>
      <c r="T151" s="74"/>
      <c r="U151" s="74"/>
      <c r="V151" s="74"/>
      <c r="W151" s="74"/>
      <c r="X151" s="74"/>
      <c r="Y151" s="74"/>
    </row>
    <row r="152" spans="1:25" ht="18" outlineLevel="1">
      <c r="A152" s="74"/>
      <c r="B152" s="91">
        <f t="shared" si="32"/>
        <v>26</v>
      </c>
      <c r="C152" s="94" t="s">
        <v>271</v>
      </c>
      <c r="D152" s="95" t="s">
        <v>127</v>
      </c>
      <c r="E152" s="94"/>
      <c r="F152" s="91" t="str">
        <f t="shared" si="29"/>
        <v>B</v>
      </c>
      <c r="G152" s="91" t="str">
        <f t="shared" si="30"/>
        <v>Đơn giản</v>
      </c>
      <c r="H152" s="91">
        <f t="shared" si="31"/>
        <v>3</v>
      </c>
      <c r="I152" s="79" t="str">
        <f t="shared" si="21"/>
        <v/>
      </c>
      <c r="J152" s="76"/>
      <c r="K152" s="74"/>
      <c r="L152" s="75"/>
      <c r="M152" s="74"/>
      <c r="N152" s="74"/>
      <c r="O152" s="74"/>
      <c r="P152" s="74"/>
      <c r="Q152" s="74"/>
      <c r="R152" s="74"/>
      <c r="S152" s="74"/>
      <c r="T152" s="74"/>
      <c r="U152" s="74"/>
      <c r="V152" s="74"/>
      <c r="W152" s="74"/>
      <c r="X152" s="74"/>
      <c r="Y152" s="74"/>
    </row>
    <row r="153" spans="1:25" ht="33.6" outlineLevel="1">
      <c r="A153" s="74"/>
      <c r="B153" s="91" t="str">
        <f t="shared" si="32"/>
        <v/>
      </c>
      <c r="C153" s="94"/>
      <c r="D153" s="95"/>
      <c r="E153" s="94" t="s">
        <v>272</v>
      </c>
      <c r="F153" s="91" t="str">
        <f t="shared" si="29"/>
        <v/>
      </c>
      <c r="G153" s="91" t="str">
        <f t="shared" si="30"/>
        <v/>
      </c>
      <c r="H153" s="91" t="str">
        <f t="shared" si="31"/>
        <v/>
      </c>
      <c r="I153" s="79">
        <f t="shared" si="21"/>
        <v>26</v>
      </c>
      <c r="J153" s="76"/>
      <c r="K153" s="74"/>
      <c r="L153" s="75"/>
      <c r="M153" s="74"/>
      <c r="N153" s="74"/>
      <c r="O153" s="74"/>
      <c r="P153" s="74"/>
      <c r="Q153" s="74"/>
      <c r="R153" s="74"/>
      <c r="S153" s="74"/>
      <c r="T153" s="74"/>
      <c r="U153" s="74"/>
      <c r="V153" s="74"/>
      <c r="W153" s="74"/>
      <c r="X153" s="74"/>
      <c r="Y153" s="74"/>
    </row>
    <row r="154" spans="1:25" ht="50.45">
      <c r="A154" s="74"/>
      <c r="B154" s="91" t="str">
        <f t="shared" si="32"/>
        <v/>
      </c>
      <c r="C154" s="94"/>
      <c r="D154" s="95"/>
      <c r="E154" s="94" t="s">
        <v>273</v>
      </c>
      <c r="F154" s="91" t="str">
        <f t="shared" si="29"/>
        <v/>
      </c>
      <c r="G154" s="91" t="str">
        <f t="shared" si="30"/>
        <v/>
      </c>
      <c r="H154" s="91" t="str">
        <f t="shared" si="31"/>
        <v/>
      </c>
      <c r="I154" s="79">
        <f t="shared" si="21"/>
        <v>26</v>
      </c>
      <c r="J154" s="76"/>
      <c r="K154" s="74"/>
      <c r="L154" s="75"/>
      <c r="M154" s="74"/>
      <c r="N154" s="74"/>
      <c r="O154" s="74"/>
      <c r="P154" s="74"/>
      <c r="Q154" s="74"/>
      <c r="R154" s="74"/>
      <c r="S154" s="74"/>
      <c r="T154" s="74"/>
      <c r="U154" s="74"/>
      <c r="V154" s="74"/>
      <c r="W154" s="74"/>
      <c r="X154" s="74"/>
      <c r="Y154" s="74"/>
    </row>
    <row r="155" spans="1:25" ht="33.6" outlineLevel="1">
      <c r="A155" s="74"/>
      <c r="B155" s="91" t="str">
        <f t="shared" si="32"/>
        <v/>
      </c>
      <c r="C155" s="94"/>
      <c r="D155" s="95"/>
      <c r="E155" s="94" t="s">
        <v>274</v>
      </c>
      <c r="F155" s="91" t="str">
        <f t="shared" si="29"/>
        <v/>
      </c>
      <c r="G155" s="91" t="str">
        <f t="shared" si="30"/>
        <v/>
      </c>
      <c r="H155" s="91" t="str">
        <f t="shared" si="31"/>
        <v/>
      </c>
      <c r="I155" s="79">
        <f t="shared" si="21"/>
        <v>26</v>
      </c>
      <c r="J155" s="76"/>
      <c r="K155" s="74"/>
      <c r="L155" s="75"/>
      <c r="M155" s="74"/>
      <c r="N155" s="74"/>
      <c r="O155" s="74"/>
      <c r="P155" s="74"/>
      <c r="Q155" s="74"/>
      <c r="R155" s="74"/>
      <c r="S155" s="74"/>
      <c r="T155" s="74"/>
      <c r="U155" s="74"/>
      <c r="V155" s="74"/>
      <c r="W155" s="74"/>
      <c r="X155" s="74"/>
      <c r="Y155" s="74"/>
    </row>
    <row r="156" spans="1:25" ht="18" outlineLevel="1">
      <c r="A156" s="74"/>
      <c r="B156" s="91" t="str">
        <f t="shared" si="32"/>
        <v/>
      </c>
      <c r="C156" s="94"/>
      <c r="D156" s="95"/>
      <c r="E156" s="94"/>
      <c r="F156" s="91" t="str">
        <f t="shared" si="29"/>
        <v/>
      </c>
      <c r="G156" s="91" t="str">
        <f t="shared" si="30"/>
        <v/>
      </c>
      <c r="H156" s="91" t="str">
        <f t="shared" ref="H156:H196" si="33">IF(AND(B156&lt;&gt;"",C156&lt;&gt;"",D156&lt;&gt;""),COUNTIF(I156:I602,B156),"")</f>
        <v/>
      </c>
      <c r="I156" s="79" t="str">
        <f t="shared" si="21"/>
        <v/>
      </c>
      <c r="J156" s="76"/>
      <c r="K156" s="74"/>
      <c r="L156" s="75"/>
      <c r="M156" s="74"/>
      <c r="N156" s="74"/>
      <c r="O156" s="74"/>
      <c r="P156" s="74"/>
      <c r="Q156" s="74"/>
      <c r="R156" s="74"/>
      <c r="S156" s="74"/>
      <c r="T156" s="74"/>
      <c r="U156" s="74"/>
      <c r="V156" s="74"/>
      <c r="W156" s="74"/>
      <c r="X156" s="74"/>
      <c r="Y156" s="74"/>
    </row>
    <row r="157" spans="1:25" ht="18" outlineLevel="1">
      <c r="A157" s="74"/>
      <c r="B157" s="91" t="s">
        <v>275</v>
      </c>
      <c r="C157" s="92" t="s">
        <v>276</v>
      </c>
      <c r="D157" s="93"/>
      <c r="E157" s="94"/>
      <c r="F157" s="91" t="str">
        <f t="shared" si="29"/>
        <v/>
      </c>
      <c r="G157" s="91" t="str">
        <f t="shared" si="30"/>
        <v/>
      </c>
      <c r="H157" s="91" t="str">
        <f t="shared" si="33"/>
        <v/>
      </c>
      <c r="I157" s="79" t="str">
        <f t="shared" si="21"/>
        <v/>
      </c>
      <c r="J157" s="76"/>
      <c r="K157" s="74"/>
      <c r="L157" s="75"/>
      <c r="M157" s="74"/>
      <c r="N157" s="74"/>
      <c r="O157" s="74"/>
      <c r="P157" s="74"/>
      <c r="Q157" s="74"/>
      <c r="R157" s="74"/>
      <c r="S157" s="74"/>
      <c r="T157" s="74"/>
      <c r="U157" s="74"/>
      <c r="V157" s="74"/>
      <c r="W157" s="74"/>
      <c r="X157" s="74"/>
      <c r="Y157" s="74"/>
    </row>
    <row r="158" spans="1:25" ht="18" outlineLevel="1">
      <c r="A158" s="74"/>
      <c r="B158" s="79">
        <f t="shared" ref="B158:B194" si="34">IF(C158="","",IF(F158="B",COUNTIF($F$6:F158,"B"),""))</f>
        <v>27</v>
      </c>
      <c r="C158" s="94" t="s">
        <v>277</v>
      </c>
      <c r="D158" s="95" t="s">
        <v>127</v>
      </c>
      <c r="E158" s="94"/>
      <c r="F158" s="91" t="str">
        <f t="shared" si="29"/>
        <v>B</v>
      </c>
      <c r="G158" s="91" t="str">
        <f t="shared" si="30"/>
        <v>Trung bình</v>
      </c>
      <c r="H158" s="91">
        <f t="shared" si="33"/>
        <v>4</v>
      </c>
      <c r="I158" s="79" t="str">
        <f t="shared" si="21"/>
        <v/>
      </c>
      <c r="J158" s="76"/>
      <c r="K158" s="74"/>
      <c r="L158" s="75"/>
      <c r="M158" s="74"/>
      <c r="N158" s="74"/>
      <c r="O158" s="74"/>
      <c r="P158" s="74"/>
      <c r="Q158" s="74"/>
      <c r="R158" s="74"/>
      <c r="S158" s="74"/>
      <c r="T158" s="74"/>
      <c r="U158" s="74"/>
      <c r="V158" s="74"/>
      <c r="W158" s="74"/>
      <c r="X158" s="74"/>
      <c r="Y158" s="74"/>
    </row>
    <row r="159" spans="1:25" ht="50.45" outlineLevel="1">
      <c r="A159" s="74"/>
      <c r="B159" s="91" t="str">
        <f t="shared" si="34"/>
        <v/>
      </c>
      <c r="C159" s="94"/>
      <c r="D159" s="95"/>
      <c r="E159" s="94" t="s">
        <v>278</v>
      </c>
      <c r="F159" s="91" t="str">
        <f t="shared" si="29"/>
        <v/>
      </c>
      <c r="G159" s="91" t="str">
        <f t="shared" si="30"/>
        <v/>
      </c>
      <c r="H159" s="91" t="str">
        <f t="shared" si="33"/>
        <v/>
      </c>
      <c r="I159" s="79">
        <f t="shared" si="21"/>
        <v>27</v>
      </c>
      <c r="J159" s="76"/>
      <c r="K159" s="74"/>
      <c r="L159" s="75"/>
      <c r="M159" s="74"/>
      <c r="N159" s="74"/>
      <c r="O159" s="74"/>
      <c r="P159" s="74"/>
      <c r="Q159" s="74"/>
      <c r="R159" s="74"/>
      <c r="S159" s="74"/>
      <c r="T159" s="74"/>
      <c r="U159" s="74"/>
      <c r="V159" s="74"/>
      <c r="W159" s="74"/>
      <c r="X159" s="74"/>
      <c r="Y159" s="74"/>
    </row>
    <row r="160" spans="1:25" ht="50.45" outlineLevel="1">
      <c r="A160" s="74"/>
      <c r="B160" s="91" t="str">
        <f t="shared" si="34"/>
        <v/>
      </c>
      <c r="C160" s="94"/>
      <c r="D160" s="95"/>
      <c r="E160" s="94" t="s">
        <v>279</v>
      </c>
      <c r="F160" s="91" t="str">
        <f t="shared" si="29"/>
        <v/>
      </c>
      <c r="G160" s="91" t="str">
        <f t="shared" si="30"/>
        <v/>
      </c>
      <c r="H160" s="91" t="str">
        <f t="shared" si="33"/>
        <v/>
      </c>
      <c r="I160" s="79">
        <f t="shared" si="21"/>
        <v>27</v>
      </c>
      <c r="J160" s="76"/>
      <c r="K160" s="74"/>
      <c r="L160" s="75"/>
      <c r="M160" s="74"/>
      <c r="N160" s="74"/>
      <c r="O160" s="74"/>
      <c r="P160" s="74"/>
      <c r="Q160" s="74"/>
      <c r="R160" s="74"/>
      <c r="S160" s="74"/>
      <c r="T160" s="74"/>
      <c r="U160" s="74"/>
      <c r="V160" s="74"/>
      <c r="W160" s="74"/>
      <c r="X160" s="74"/>
      <c r="Y160" s="74"/>
    </row>
    <row r="161" spans="1:25" ht="50.45" outlineLevel="1">
      <c r="A161" s="74"/>
      <c r="B161" s="91" t="str">
        <f t="shared" si="34"/>
        <v/>
      </c>
      <c r="C161" s="94"/>
      <c r="D161" s="95"/>
      <c r="E161" s="94" t="s">
        <v>280</v>
      </c>
      <c r="F161" s="91" t="str">
        <f t="shared" si="29"/>
        <v/>
      </c>
      <c r="G161" s="91" t="str">
        <f t="shared" si="30"/>
        <v/>
      </c>
      <c r="H161" s="91" t="str">
        <f t="shared" si="33"/>
        <v/>
      </c>
      <c r="I161" s="79">
        <f t="shared" si="21"/>
        <v>27</v>
      </c>
      <c r="J161" s="76"/>
      <c r="K161" s="74"/>
      <c r="L161" s="75"/>
      <c r="M161" s="74"/>
      <c r="N161" s="74"/>
      <c r="O161" s="74"/>
      <c r="P161" s="74"/>
      <c r="Q161" s="74"/>
      <c r="R161" s="74"/>
      <c r="S161" s="74"/>
      <c r="T161" s="74"/>
      <c r="U161" s="74"/>
      <c r="V161" s="74"/>
      <c r="W161" s="74"/>
      <c r="X161" s="74"/>
      <c r="Y161" s="74"/>
    </row>
    <row r="162" spans="1:25" ht="50.45" outlineLevel="1">
      <c r="A162" s="74"/>
      <c r="B162" s="91" t="str">
        <f t="shared" si="34"/>
        <v/>
      </c>
      <c r="C162" s="94"/>
      <c r="D162" s="95"/>
      <c r="E162" s="94" t="s">
        <v>281</v>
      </c>
      <c r="F162" s="91" t="str">
        <f t="shared" si="29"/>
        <v/>
      </c>
      <c r="G162" s="91" t="str">
        <f t="shared" si="30"/>
        <v/>
      </c>
      <c r="H162" s="91" t="str">
        <f t="shared" si="33"/>
        <v/>
      </c>
      <c r="I162" s="79">
        <f t="shared" si="21"/>
        <v>27</v>
      </c>
      <c r="J162" s="76"/>
      <c r="K162" s="74"/>
      <c r="L162" s="75"/>
      <c r="M162" s="74"/>
      <c r="N162" s="74"/>
      <c r="O162" s="74"/>
      <c r="P162" s="74"/>
      <c r="Q162" s="74"/>
      <c r="R162" s="74"/>
      <c r="S162" s="74"/>
      <c r="T162" s="74"/>
      <c r="U162" s="74"/>
      <c r="V162" s="74"/>
      <c r="W162" s="74"/>
      <c r="X162" s="74"/>
      <c r="Y162" s="74"/>
    </row>
    <row r="163" spans="1:25" ht="18" outlineLevel="1">
      <c r="A163" s="74"/>
      <c r="B163" s="79">
        <f t="shared" si="34"/>
        <v>28</v>
      </c>
      <c r="C163" s="94" t="s">
        <v>282</v>
      </c>
      <c r="D163" s="95" t="s">
        <v>127</v>
      </c>
      <c r="E163" s="94"/>
      <c r="F163" s="91" t="str">
        <f t="shared" si="29"/>
        <v>B</v>
      </c>
      <c r="G163" s="91" t="str">
        <f t="shared" si="30"/>
        <v>Đơn giản</v>
      </c>
      <c r="H163" s="91">
        <f t="shared" si="33"/>
        <v>2</v>
      </c>
      <c r="I163" s="79" t="str">
        <f t="shared" si="21"/>
        <v/>
      </c>
      <c r="J163" s="76"/>
      <c r="K163" s="74"/>
      <c r="L163" s="75"/>
      <c r="M163" s="74"/>
      <c r="N163" s="74"/>
      <c r="O163" s="74"/>
      <c r="P163" s="74"/>
      <c r="Q163" s="74"/>
      <c r="R163" s="74"/>
      <c r="S163" s="74"/>
      <c r="T163" s="74"/>
      <c r="U163" s="74"/>
      <c r="V163" s="74"/>
      <c r="W163" s="74"/>
      <c r="X163" s="74"/>
      <c r="Y163" s="74"/>
    </row>
    <row r="164" spans="1:25" ht="50.45" outlineLevel="1">
      <c r="A164" s="74"/>
      <c r="B164" s="91" t="str">
        <f t="shared" si="34"/>
        <v/>
      </c>
      <c r="C164" s="94"/>
      <c r="D164" s="95"/>
      <c r="E164" s="94" t="s">
        <v>283</v>
      </c>
      <c r="F164" s="91" t="str">
        <f t="shared" si="29"/>
        <v/>
      </c>
      <c r="G164" s="91" t="str">
        <f t="shared" si="30"/>
        <v/>
      </c>
      <c r="H164" s="91" t="str">
        <f t="shared" si="33"/>
        <v/>
      </c>
      <c r="I164" s="79">
        <f t="shared" si="21"/>
        <v>28</v>
      </c>
      <c r="J164" s="76"/>
      <c r="K164" s="74"/>
      <c r="L164" s="75"/>
      <c r="M164" s="74"/>
      <c r="N164" s="74"/>
      <c r="O164" s="74"/>
      <c r="P164" s="74"/>
      <c r="Q164" s="74"/>
      <c r="R164" s="74"/>
      <c r="S164" s="74"/>
      <c r="T164" s="74"/>
      <c r="U164" s="74"/>
      <c r="V164" s="74"/>
      <c r="W164" s="74"/>
      <c r="X164" s="74"/>
      <c r="Y164" s="74"/>
    </row>
    <row r="165" spans="1:25" ht="50.45" outlineLevel="1">
      <c r="A165" s="74"/>
      <c r="B165" s="91" t="str">
        <f t="shared" si="34"/>
        <v/>
      </c>
      <c r="C165" s="94"/>
      <c r="D165" s="95"/>
      <c r="E165" s="94" t="s">
        <v>284</v>
      </c>
      <c r="F165" s="91" t="str">
        <f t="shared" si="29"/>
        <v/>
      </c>
      <c r="G165" s="91" t="str">
        <f t="shared" si="30"/>
        <v/>
      </c>
      <c r="H165" s="91" t="str">
        <f t="shared" si="33"/>
        <v/>
      </c>
      <c r="I165" s="79">
        <f t="shared" si="21"/>
        <v>28</v>
      </c>
      <c r="J165" s="76"/>
      <c r="K165" s="74"/>
      <c r="L165" s="75"/>
      <c r="M165" s="74"/>
      <c r="N165" s="74"/>
      <c r="O165" s="74"/>
      <c r="P165" s="74"/>
      <c r="Q165" s="74"/>
      <c r="R165" s="74"/>
      <c r="S165" s="74"/>
      <c r="T165" s="74"/>
      <c r="U165" s="74"/>
      <c r="V165" s="74"/>
      <c r="W165" s="74"/>
      <c r="X165" s="74"/>
      <c r="Y165" s="74"/>
    </row>
    <row r="166" spans="1:25" ht="18" outlineLevel="1">
      <c r="A166" s="74"/>
      <c r="B166" s="79">
        <f t="shared" si="34"/>
        <v>29</v>
      </c>
      <c r="C166" s="94" t="s">
        <v>285</v>
      </c>
      <c r="D166" s="95" t="s">
        <v>127</v>
      </c>
      <c r="E166" s="94"/>
      <c r="F166" s="91" t="str">
        <f t="shared" si="29"/>
        <v>B</v>
      </c>
      <c r="G166" s="91" t="str">
        <f t="shared" si="30"/>
        <v>Trung bình</v>
      </c>
      <c r="H166" s="91">
        <f t="shared" si="33"/>
        <v>4</v>
      </c>
      <c r="I166" s="79" t="str">
        <f t="shared" si="21"/>
        <v/>
      </c>
      <c r="J166" s="76"/>
      <c r="K166" s="74"/>
      <c r="L166" s="75"/>
      <c r="M166" s="74"/>
      <c r="N166" s="74"/>
      <c r="O166" s="74"/>
      <c r="P166" s="74"/>
      <c r="Q166" s="74"/>
      <c r="R166" s="74"/>
      <c r="S166" s="74"/>
      <c r="T166" s="74"/>
      <c r="U166" s="74"/>
      <c r="V166" s="74"/>
      <c r="W166" s="74"/>
      <c r="X166" s="74"/>
      <c r="Y166" s="74"/>
    </row>
    <row r="167" spans="1:25" ht="33.6" outlineLevel="1">
      <c r="A167" s="74"/>
      <c r="B167" s="91" t="str">
        <f t="shared" si="34"/>
        <v/>
      </c>
      <c r="C167" s="94"/>
      <c r="D167" s="95"/>
      <c r="E167" s="94" t="s">
        <v>286</v>
      </c>
      <c r="F167" s="91" t="str">
        <f t="shared" si="29"/>
        <v/>
      </c>
      <c r="G167" s="91" t="str">
        <f t="shared" si="30"/>
        <v/>
      </c>
      <c r="H167" s="91" t="str">
        <f t="shared" si="33"/>
        <v/>
      </c>
      <c r="I167" s="79">
        <f t="shared" si="21"/>
        <v>29</v>
      </c>
      <c r="J167" s="76"/>
      <c r="K167" s="74"/>
      <c r="L167" s="75"/>
      <c r="M167" s="74"/>
      <c r="N167" s="74"/>
      <c r="O167" s="74"/>
      <c r="P167" s="74"/>
      <c r="Q167" s="74"/>
      <c r="R167" s="74"/>
      <c r="S167" s="74"/>
      <c r="T167" s="74"/>
      <c r="U167" s="74"/>
      <c r="V167" s="74"/>
      <c r="W167" s="74"/>
      <c r="X167" s="74"/>
      <c r="Y167" s="74"/>
    </row>
    <row r="168" spans="1:25" ht="33.6" outlineLevel="1">
      <c r="A168" s="74"/>
      <c r="B168" s="91" t="str">
        <f t="shared" si="34"/>
        <v/>
      </c>
      <c r="C168" s="94"/>
      <c r="D168" s="95"/>
      <c r="E168" s="94" t="s">
        <v>287</v>
      </c>
      <c r="F168" s="91" t="str">
        <f t="shared" si="29"/>
        <v/>
      </c>
      <c r="G168" s="91" t="str">
        <f t="shared" si="30"/>
        <v/>
      </c>
      <c r="H168" s="91" t="str">
        <f t="shared" si="33"/>
        <v/>
      </c>
      <c r="I168" s="79">
        <f t="shared" si="21"/>
        <v>29</v>
      </c>
      <c r="J168" s="76"/>
      <c r="K168" s="74"/>
      <c r="L168" s="75"/>
      <c r="M168" s="74"/>
      <c r="N168" s="74"/>
      <c r="O168" s="74"/>
      <c r="P168" s="74"/>
      <c r="Q168" s="74"/>
      <c r="R168" s="74"/>
      <c r="S168" s="74"/>
      <c r="T168" s="74"/>
      <c r="U168" s="74"/>
      <c r="V168" s="74"/>
      <c r="W168" s="74"/>
      <c r="X168" s="74"/>
      <c r="Y168" s="74"/>
    </row>
    <row r="169" spans="1:25" ht="33.6" outlineLevel="1">
      <c r="A169" s="74"/>
      <c r="B169" s="91" t="str">
        <f t="shared" si="34"/>
        <v/>
      </c>
      <c r="C169" s="94"/>
      <c r="D169" s="95"/>
      <c r="E169" s="94" t="s">
        <v>288</v>
      </c>
      <c r="F169" s="91" t="str">
        <f t="shared" si="29"/>
        <v/>
      </c>
      <c r="G169" s="91" t="str">
        <f t="shared" si="30"/>
        <v/>
      </c>
      <c r="H169" s="91" t="str">
        <f t="shared" si="33"/>
        <v/>
      </c>
      <c r="I169" s="79">
        <f t="shared" si="21"/>
        <v>29</v>
      </c>
      <c r="J169" s="76"/>
      <c r="K169" s="74"/>
      <c r="L169" s="75"/>
      <c r="M169" s="74"/>
      <c r="N169" s="74"/>
      <c r="O169" s="74"/>
      <c r="P169" s="74"/>
      <c r="Q169" s="74"/>
      <c r="R169" s="74"/>
      <c r="S169" s="74"/>
      <c r="T169" s="74"/>
      <c r="U169" s="74"/>
      <c r="V169" s="74"/>
      <c r="W169" s="74"/>
      <c r="X169" s="74"/>
      <c r="Y169" s="74"/>
    </row>
    <row r="170" spans="1:25" ht="33.6" outlineLevel="1">
      <c r="A170" s="74"/>
      <c r="B170" s="91" t="str">
        <f t="shared" si="34"/>
        <v/>
      </c>
      <c r="C170" s="94"/>
      <c r="D170" s="95"/>
      <c r="E170" s="94" t="s">
        <v>289</v>
      </c>
      <c r="F170" s="91" t="str">
        <f t="shared" si="29"/>
        <v/>
      </c>
      <c r="G170" s="91" t="str">
        <f t="shared" si="30"/>
        <v/>
      </c>
      <c r="H170" s="91" t="str">
        <f t="shared" si="33"/>
        <v/>
      </c>
      <c r="I170" s="79">
        <f t="shared" si="21"/>
        <v>29</v>
      </c>
      <c r="J170" s="76"/>
      <c r="K170" s="74"/>
      <c r="L170" s="75"/>
      <c r="M170" s="74"/>
      <c r="N170" s="74"/>
      <c r="O170" s="74"/>
      <c r="P170" s="74"/>
      <c r="Q170" s="74"/>
      <c r="R170" s="74"/>
      <c r="S170" s="74"/>
      <c r="T170" s="74"/>
      <c r="U170" s="74"/>
      <c r="V170" s="74"/>
      <c r="W170" s="74"/>
      <c r="X170" s="74"/>
      <c r="Y170" s="74"/>
    </row>
    <row r="171" spans="1:25" ht="33.6" outlineLevel="1">
      <c r="A171" s="74"/>
      <c r="B171" s="79">
        <f t="shared" si="34"/>
        <v>30</v>
      </c>
      <c r="C171" s="94" t="s">
        <v>290</v>
      </c>
      <c r="D171" s="95" t="s">
        <v>127</v>
      </c>
      <c r="E171" s="94"/>
      <c r="F171" s="91" t="str">
        <f t="shared" si="29"/>
        <v>B</v>
      </c>
      <c r="G171" s="91" t="str">
        <f t="shared" si="30"/>
        <v>Trung bình</v>
      </c>
      <c r="H171" s="91">
        <f t="shared" si="33"/>
        <v>4</v>
      </c>
      <c r="I171" s="79" t="str">
        <f t="shared" si="21"/>
        <v/>
      </c>
      <c r="J171" s="76"/>
      <c r="K171" s="74"/>
      <c r="L171" s="75"/>
      <c r="M171" s="74"/>
      <c r="N171" s="74"/>
      <c r="O171" s="74"/>
      <c r="P171" s="74"/>
      <c r="Q171" s="74"/>
      <c r="R171" s="74"/>
      <c r="S171" s="74"/>
      <c r="T171" s="74"/>
      <c r="U171" s="74"/>
      <c r="V171" s="74"/>
      <c r="W171" s="74"/>
      <c r="X171" s="74"/>
      <c r="Y171" s="74"/>
    </row>
    <row r="172" spans="1:25" ht="33.6" outlineLevel="1">
      <c r="A172" s="74"/>
      <c r="B172" s="91" t="str">
        <f t="shared" si="34"/>
        <v/>
      </c>
      <c r="C172" s="94"/>
      <c r="D172" s="95"/>
      <c r="E172" s="94" t="s">
        <v>291</v>
      </c>
      <c r="F172" s="91" t="str">
        <f t="shared" si="29"/>
        <v/>
      </c>
      <c r="G172" s="91" t="str">
        <f t="shared" si="30"/>
        <v/>
      </c>
      <c r="H172" s="91" t="str">
        <f t="shared" si="33"/>
        <v/>
      </c>
      <c r="I172" s="79">
        <f t="shared" si="21"/>
        <v>30</v>
      </c>
      <c r="J172" s="76"/>
      <c r="K172" s="74"/>
      <c r="L172" s="75"/>
      <c r="M172" s="74"/>
      <c r="N172" s="74"/>
      <c r="O172" s="74"/>
      <c r="P172" s="74"/>
      <c r="Q172" s="74"/>
      <c r="R172" s="74"/>
      <c r="S172" s="74"/>
      <c r="T172" s="74"/>
      <c r="U172" s="74"/>
      <c r="V172" s="74"/>
      <c r="W172" s="74"/>
      <c r="X172" s="74"/>
      <c r="Y172" s="74"/>
    </row>
    <row r="173" spans="1:25" ht="33.6" outlineLevel="1">
      <c r="A173" s="74"/>
      <c r="B173" s="91" t="str">
        <f t="shared" si="34"/>
        <v/>
      </c>
      <c r="C173" s="94"/>
      <c r="D173" s="95"/>
      <c r="E173" s="94" t="s">
        <v>292</v>
      </c>
      <c r="F173" s="91" t="str">
        <f t="shared" si="29"/>
        <v/>
      </c>
      <c r="G173" s="91" t="str">
        <f t="shared" si="30"/>
        <v/>
      </c>
      <c r="H173" s="91" t="str">
        <f t="shared" si="33"/>
        <v/>
      </c>
      <c r="I173" s="79">
        <f t="shared" si="21"/>
        <v>30</v>
      </c>
      <c r="J173" s="76"/>
      <c r="K173" s="74"/>
      <c r="L173" s="75"/>
      <c r="M173" s="74"/>
      <c r="N173" s="74"/>
      <c r="O173" s="74"/>
      <c r="P173" s="74"/>
      <c r="Q173" s="74"/>
      <c r="R173" s="74"/>
      <c r="S173" s="74"/>
      <c r="T173" s="74"/>
      <c r="U173" s="74"/>
      <c r="V173" s="74"/>
      <c r="W173" s="74"/>
      <c r="X173" s="74"/>
      <c r="Y173" s="74"/>
    </row>
    <row r="174" spans="1:25" ht="33.6" outlineLevel="1">
      <c r="A174" s="74"/>
      <c r="B174" s="91" t="str">
        <f t="shared" si="34"/>
        <v/>
      </c>
      <c r="C174" s="94"/>
      <c r="D174" s="95"/>
      <c r="E174" s="94" t="s">
        <v>293</v>
      </c>
      <c r="F174" s="91" t="str">
        <f t="shared" si="29"/>
        <v/>
      </c>
      <c r="G174" s="91" t="str">
        <f t="shared" si="30"/>
        <v/>
      </c>
      <c r="H174" s="91" t="str">
        <f t="shared" si="33"/>
        <v/>
      </c>
      <c r="I174" s="79">
        <f t="shared" si="21"/>
        <v>30</v>
      </c>
      <c r="J174" s="76"/>
      <c r="K174" s="74"/>
      <c r="L174" s="75"/>
      <c r="M174" s="74"/>
      <c r="N174" s="74"/>
      <c r="O174" s="74"/>
      <c r="P174" s="74"/>
      <c r="Q174" s="74"/>
      <c r="R174" s="74"/>
      <c r="S174" s="74"/>
      <c r="T174" s="74"/>
      <c r="U174" s="74"/>
      <c r="V174" s="74"/>
      <c r="W174" s="74"/>
      <c r="X174" s="74"/>
      <c r="Y174" s="74"/>
    </row>
    <row r="175" spans="1:25" ht="33.6" outlineLevel="1">
      <c r="A175" s="74"/>
      <c r="B175" s="91" t="str">
        <f t="shared" si="34"/>
        <v/>
      </c>
      <c r="C175" s="94"/>
      <c r="D175" s="95"/>
      <c r="E175" s="94" t="s">
        <v>294</v>
      </c>
      <c r="F175" s="91" t="str">
        <f t="shared" si="29"/>
        <v/>
      </c>
      <c r="G175" s="91" t="str">
        <f t="shared" si="30"/>
        <v/>
      </c>
      <c r="H175" s="91" t="str">
        <f t="shared" si="33"/>
        <v/>
      </c>
      <c r="I175" s="79">
        <f t="shared" si="21"/>
        <v>30</v>
      </c>
      <c r="J175" s="76"/>
      <c r="K175" s="74"/>
      <c r="L175" s="75"/>
      <c r="M175" s="74"/>
      <c r="N175" s="74"/>
      <c r="O175" s="74"/>
      <c r="P175" s="74"/>
      <c r="Q175" s="74"/>
      <c r="R175" s="74"/>
      <c r="S175" s="74"/>
      <c r="T175" s="74"/>
      <c r="U175" s="74"/>
      <c r="V175" s="74"/>
      <c r="W175" s="74"/>
      <c r="X175" s="74"/>
      <c r="Y175" s="74"/>
    </row>
    <row r="176" spans="1:25" ht="18" outlineLevel="1">
      <c r="A176" s="74"/>
      <c r="B176" s="79">
        <f t="shared" si="34"/>
        <v>31</v>
      </c>
      <c r="C176" s="94" t="s">
        <v>295</v>
      </c>
      <c r="D176" s="95" t="s">
        <v>127</v>
      </c>
      <c r="E176" s="94"/>
      <c r="F176" s="91" t="str">
        <f t="shared" si="29"/>
        <v>B</v>
      </c>
      <c r="G176" s="91" t="str">
        <f t="shared" si="30"/>
        <v>Trung bình</v>
      </c>
      <c r="H176" s="91">
        <f t="shared" si="33"/>
        <v>4</v>
      </c>
      <c r="I176" s="79" t="str">
        <f t="shared" si="21"/>
        <v/>
      </c>
      <c r="J176" s="76"/>
      <c r="K176" s="74"/>
      <c r="L176" s="75"/>
      <c r="M176" s="74"/>
      <c r="N176" s="74"/>
      <c r="O176" s="74"/>
      <c r="P176" s="74"/>
      <c r="Q176" s="74"/>
      <c r="R176" s="74"/>
      <c r="S176" s="74"/>
      <c r="T176" s="74"/>
      <c r="U176" s="74"/>
      <c r="V176" s="74"/>
      <c r="W176" s="74"/>
      <c r="X176" s="74"/>
      <c r="Y176" s="74"/>
    </row>
    <row r="177" spans="1:25" ht="33.6" outlineLevel="1">
      <c r="A177" s="74"/>
      <c r="B177" s="91" t="str">
        <f t="shared" si="34"/>
        <v/>
      </c>
      <c r="C177" s="94"/>
      <c r="D177" s="95"/>
      <c r="E177" s="94" t="s">
        <v>296</v>
      </c>
      <c r="F177" s="91" t="str">
        <f t="shared" si="29"/>
        <v/>
      </c>
      <c r="G177" s="91" t="str">
        <f t="shared" si="30"/>
        <v/>
      </c>
      <c r="H177" s="91" t="str">
        <f t="shared" si="33"/>
        <v/>
      </c>
      <c r="I177" s="79">
        <f t="shared" si="21"/>
        <v>31</v>
      </c>
      <c r="J177" s="76"/>
      <c r="K177" s="74"/>
      <c r="L177" s="75"/>
      <c r="M177" s="74"/>
      <c r="N177" s="74"/>
      <c r="O177" s="74"/>
      <c r="P177" s="74"/>
      <c r="Q177" s="74"/>
      <c r="R177" s="74"/>
      <c r="S177" s="74"/>
      <c r="T177" s="74"/>
      <c r="U177" s="74"/>
      <c r="V177" s="74"/>
      <c r="W177" s="74"/>
      <c r="X177" s="74"/>
      <c r="Y177" s="74"/>
    </row>
    <row r="178" spans="1:25" ht="33.6" outlineLevel="1">
      <c r="A178" s="74"/>
      <c r="B178" s="91" t="str">
        <f t="shared" si="34"/>
        <v/>
      </c>
      <c r="C178" s="94"/>
      <c r="D178" s="95"/>
      <c r="E178" s="94" t="s">
        <v>297</v>
      </c>
      <c r="F178" s="91" t="str">
        <f t="shared" si="29"/>
        <v/>
      </c>
      <c r="G178" s="91" t="str">
        <f t="shared" si="30"/>
        <v/>
      </c>
      <c r="H178" s="91" t="str">
        <f t="shared" si="33"/>
        <v/>
      </c>
      <c r="I178" s="79">
        <f t="shared" si="21"/>
        <v>31</v>
      </c>
      <c r="J178" s="76"/>
      <c r="K178" s="74"/>
      <c r="L178" s="75"/>
      <c r="M178" s="74"/>
      <c r="N178" s="74"/>
      <c r="O178" s="74"/>
      <c r="P178" s="74"/>
      <c r="Q178" s="74"/>
      <c r="R178" s="74"/>
      <c r="S178" s="74"/>
      <c r="T178" s="74"/>
      <c r="U178" s="74"/>
      <c r="V178" s="74"/>
      <c r="W178" s="74"/>
      <c r="X178" s="74"/>
      <c r="Y178" s="74"/>
    </row>
    <row r="179" spans="1:25" ht="50.45" outlineLevel="1">
      <c r="A179" s="74"/>
      <c r="B179" s="91" t="str">
        <f t="shared" si="34"/>
        <v/>
      </c>
      <c r="C179" s="94"/>
      <c r="D179" s="95"/>
      <c r="E179" s="94" t="s">
        <v>298</v>
      </c>
      <c r="F179" s="91" t="str">
        <f t="shared" si="29"/>
        <v/>
      </c>
      <c r="G179" s="91" t="str">
        <f t="shared" si="30"/>
        <v/>
      </c>
      <c r="H179" s="91" t="str">
        <f t="shared" si="33"/>
        <v/>
      </c>
      <c r="I179" s="79">
        <f t="shared" si="21"/>
        <v>31</v>
      </c>
      <c r="J179" s="76"/>
      <c r="K179" s="74"/>
      <c r="L179" s="75"/>
      <c r="M179" s="74"/>
      <c r="N179" s="74"/>
      <c r="O179" s="74"/>
      <c r="P179" s="74"/>
      <c r="Q179" s="74"/>
      <c r="R179" s="74"/>
      <c r="S179" s="74"/>
      <c r="T179" s="74"/>
      <c r="U179" s="74"/>
      <c r="V179" s="74"/>
      <c r="W179" s="74"/>
      <c r="X179" s="74"/>
      <c r="Y179" s="74"/>
    </row>
    <row r="180" spans="1:25" ht="50.45" outlineLevel="1">
      <c r="A180" s="74"/>
      <c r="B180" s="91" t="str">
        <f t="shared" si="34"/>
        <v/>
      </c>
      <c r="C180" s="94"/>
      <c r="D180" s="95"/>
      <c r="E180" s="94" t="s">
        <v>299</v>
      </c>
      <c r="F180" s="91" t="str">
        <f t="shared" si="29"/>
        <v/>
      </c>
      <c r="G180" s="91" t="str">
        <f t="shared" si="30"/>
        <v/>
      </c>
      <c r="H180" s="91" t="str">
        <f t="shared" si="33"/>
        <v/>
      </c>
      <c r="I180" s="79">
        <f t="shared" si="21"/>
        <v>31</v>
      </c>
      <c r="J180" s="76"/>
      <c r="K180" s="74"/>
      <c r="L180" s="75"/>
      <c r="M180" s="74"/>
      <c r="N180" s="74"/>
      <c r="O180" s="74"/>
      <c r="P180" s="74"/>
      <c r="Q180" s="74"/>
      <c r="R180" s="74"/>
      <c r="S180" s="74"/>
      <c r="T180" s="74"/>
      <c r="U180" s="74"/>
      <c r="V180" s="74"/>
      <c r="W180" s="74"/>
      <c r="X180" s="74"/>
      <c r="Y180" s="74"/>
    </row>
    <row r="181" spans="1:25" ht="18" outlineLevel="1">
      <c r="A181" s="74"/>
      <c r="B181" s="91" t="str">
        <f t="shared" si="34"/>
        <v/>
      </c>
      <c r="C181" s="94"/>
      <c r="D181" s="95"/>
      <c r="E181" s="94"/>
      <c r="F181" s="91" t="str">
        <f t="shared" si="29"/>
        <v/>
      </c>
      <c r="G181" s="91" t="str">
        <f t="shared" si="30"/>
        <v/>
      </c>
      <c r="H181" s="91" t="str">
        <f t="shared" si="33"/>
        <v/>
      </c>
      <c r="I181" s="79" t="str">
        <f t="shared" si="21"/>
        <v/>
      </c>
      <c r="J181" s="76"/>
      <c r="K181" s="74"/>
      <c r="L181" s="75"/>
      <c r="M181" s="74"/>
      <c r="N181" s="74"/>
      <c r="O181" s="74"/>
      <c r="P181" s="74"/>
      <c r="Q181" s="74"/>
      <c r="R181" s="74"/>
      <c r="S181" s="74"/>
      <c r="T181" s="74"/>
      <c r="U181" s="74"/>
      <c r="V181" s="74"/>
      <c r="W181" s="74"/>
      <c r="X181" s="74"/>
      <c r="Y181" s="74"/>
    </row>
    <row r="182" spans="1:25" ht="18" outlineLevel="1">
      <c r="A182" s="74"/>
      <c r="B182" s="79">
        <f t="shared" si="34"/>
        <v>32</v>
      </c>
      <c r="C182" s="94" t="s">
        <v>300</v>
      </c>
      <c r="D182" s="95" t="s">
        <v>127</v>
      </c>
      <c r="E182" s="94"/>
      <c r="F182" s="91" t="str">
        <f t="shared" si="29"/>
        <v>B</v>
      </c>
      <c r="G182" s="91" t="str">
        <f t="shared" si="30"/>
        <v>Đơn giản</v>
      </c>
      <c r="H182" s="91">
        <f t="shared" si="33"/>
        <v>2</v>
      </c>
      <c r="I182" s="79" t="str">
        <f t="shared" si="21"/>
        <v/>
      </c>
      <c r="J182" s="76"/>
      <c r="K182" s="74"/>
      <c r="L182" s="75"/>
      <c r="M182" s="74"/>
      <c r="N182" s="74"/>
      <c r="O182" s="74"/>
      <c r="P182" s="74"/>
      <c r="Q182" s="74"/>
      <c r="R182" s="74"/>
      <c r="S182" s="74"/>
      <c r="T182" s="74"/>
      <c r="U182" s="74"/>
      <c r="V182" s="74"/>
      <c r="W182" s="74"/>
      <c r="X182" s="74"/>
      <c r="Y182" s="74"/>
    </row>
    <row r="183" spans="1:25" ht="50.45" outlineLevel="1">
      <c r="A183" s="74"/>
      <c r="B183" s="91" t="str">
        <f t="shared" si="34"/>
        <v/>
      </c>
      <c r="C183" s="94"/>
      <c r="D183" s="95"/>
      <c r="E183" s="94" t="s">
        <v>301</v>
      </c>
      <c r="F183" s="91" t="str">
        <f t="shared" si="29"/>
        <v/>
      </c>
      <c r="G183" s="91" t="str">
        <f t="shared" si="30"/>
        <v/>
      </c>
      <c r="H183" s="91" t="str">
        <f t="shared" si="33"/>
        <v/>
      </c>
      <c r="I183" s="79">
        <f t="shared" si="21"/>
        <v>32</v>
      </c>
      <c r="J183" s="76"/>
      <c r="K183" s="74"/>
      <c r="L183" s="75"/>
      <c r="M183" s="74"/>
      <c r="N183" s="74"/>
      <c r="O183" s="74"/>
      <c r="P183" s="74"/>
      <c r="Q183" s="74"/>
      <c r="R183" s="74"/>
      <c r="S183" s="74"/>
      <c r="T183" s="74"/>
      <c r="U183" s="74"/>
      <c r="V183" s="74"/>
      <c r="W183" s="74"/>
      <c r="X183" s="74"/>
      <c r="Y183" s="74"/>
    </row>
    <row r="184" spans="1:25" ht="50.45" outlineLevel="1">
      <c r="A184" s="74"/>
      <c r="B184" s="91" t="str">
        <f t="shared" si="34"/>
        <v/>
      </c>
      <c r="C184" s="94"/>
      <c r="D184" s="95"/>
      <c r="E184" s="94" t="s">
        <v>302</v>
      </c>
      <c r="F184" s="91" t="str">
        <f t="shared" si="29"/>
        <v/>
      </c>
      <c r="G184" s="91" t="str">
        <f t="shared" si="30"/>
        <v/>
      </c>
      <c r="H184" s="91" t="str">
        <f t="shared" si="33"/>
        <v/>
      </c>
      <c r="I184" s="79">
        <f t="shared" si="21"/>
        <v>32</v>
      </c>
      <c r="J184" s="76"/>
      <c r="K184" s="74"/>
      <c r="L184" s="75"/>
      <c r="M184" s="74"/>
      <c r="N184" s="74"/>
      <c r="O184" s="74"/>
      <c r="P184" s="74"/>
      <c r="Q184" s="74"/>
      <c r="R184" s="74"/>
      <c r="S184" s="74"/>
      <c r="T184" s="74"/>
      <c r="U184" s="74"/>
      <c r="V184" s="74"/>
      <c r="W184" s="74"/>
      <c r="X184" s="74"/>
      <c r="Y184" s="74"/>
    </row>
    <row r="185" spans="1:25" ht="18" outlineLevel="1">
      <c r="A185" s="74"/>
      <c r="B185" s="91" t="str">
        <f t="shared" si="34"/>
        <v/>
      </c>
      <c r="C185" s="94"/>
      <c r="D185" s="95"/>
      <c r="E185" s="94"/>
      <c r="F185" s="91" t="str">
        <f t="shared" si="29"/>
        <v/>
      </c>
      <c r="G185" s="91" t="str">
        <f t="shared" si="30"/>
        <v/>
      </c>
      <c r="H185" s="91" t="str">
        <f t="shared" si="33"/>
        <v/>
      </c>
      <c r="I185" s="79" t="str">
        <f t="shared" si="21"/>
        <v/>
      </c>
      <c r="J185" s="76"/>
      <c r="K185" s="74"/>
      <c r="L185" s="75"/>
      <c r="M185" s="74"/>
      <c r="N185" s="74"/>
      <c r="O185" s="74"/>
      <c r="P185" s="74"/>
      <c r="Q185" s="74"/>
      <c r="R185" s="74"/>
      <c r="S185" s="74"/>
      <c r="T185" s="74"/>
      <c r="U185" s="74"/>
      <c r="V185" s="74"/>
      <c r="W185" s="74"/>
      <c r="X185" s="74"/>
      <c r="Y185" s="74"/>
    </row>
    <row r="186" spans="1:25" ht="18" outlineLevel="1">
      <c r="A186" s="74"/>
      <c r="B186" s="79">
        <f t="shared" si="34"/>
        <v>33</v>
      </c>
      <c r="C186" s="94" t="s">
        <v>303</v>
      </c>
      <c r="D186" s="95" t="s">
        <v>127</v>
      </c>
      <c r="E186" s="94"/>
      <c r="F186" s="91" t="str">
        <f t="shared" si="29"/>
        <v>B</v>
      </c>
      <c r="G186" s="91" t="str">
        <f t="shared" si="30"/>
        <v>Đơn giản</v>
      </c>
      <c r="H186" s="91">
        <f t="shared" si="33"/>
        <v>3</v>
      </c>
      <c r="I186" s="79" t="str">
        <f t="shared" si="21"/>
        <v/>
      </c>
      <c r="J186" s="76"/>
      <c r="K186" s="74"/>
      <c r="L186" s="75"/>
      <c r="M186" s="74"/>
      <c r="N186" s="74"/>
      <c r="O186" s="74"/>
      <c r="P186" s="74"/>
      <c r="Q186" s="74"/>
      <c r="R186" s="74"/>
      <c r="S186" s="74"/>
      <c r="T186" s="74"/>
      <c r="U186" s="74"/>
      <c r="V186" s="74"/>
      <c r="W186" s="74"/>
      <c r="X186" s="74"/>
      <c r="Y186" s="74"/>
    </row>
    <row r="187" spans="1:25" ht="33.6" outlineLevel="1">
      <c r="A187" s="74"/>
      <c r="B187" s="91" t="str">
        <f t="shared" si="34"/>
        <v/>
      </c>
      <c r="C187" s="94"/>
      <c r="D187" s="95"/>
      <c r="E187" s="94" t="s">
        <v>304</v>
      </c>
      <c r="F187" s="91" t="str">
        <f t="shared" si="29"/>
        <v/>
      </c>
      <c r="G187" s="91" t="str">
        <f t="shared" si="30"/>
        <v/>
      </c>
      <c r="H187" s="91" t="str">
        <f t="shared" si="33"/>
        <v/>
      </c>
      <c r="I187" s="79">
        <f t="shared" si="21"/>
        <v>33</v>
      </c>
      <c r="J187" s="76"/>
      <c r="K187" s="74"/>
      <c r="L187" s="75"/>
      <c r="M187" s="74"/>
      <c r="N187" s="74"/>
      <c r="O187" s="74"/>
      <c r="P187" s="74"/>
      <c r="Q187" s="74"/>
      <c r="R187" s="74"/>
      <c r="S187" s="74"/>
      <c r="T187" s="74"/>
      <c r="U187" s="74"/>
      <c r="V187" s="74"/>
      <c r="W187" s="74"/>
      <c r="X187" s="74"/>
      <c r="Y187" s="74"/>
    </row>
    <row r="188" spans="1:25" ht="33.6" outlineLevel="1">
      <c r="A188" s="74"/>
      <c r="B188" s="91" t="str">
        <f t="shared" si="34"/>
        <v/>
      </c>
      <c r="C188" s="94"/>
      <c r="D188" s="95"/>
      <c r="E188" s="94" t="s">
        <v>305</v>
      </c>
      <c r="F188" s="91" t="str">
        <f t="shared" si="29"/>
        <v/>
      </c>
      <c r="G188" s="91" t="str">
        <f t="shared" si="30"/>
        <v/>
      </c>
      <c r="H188" s="91" t="str">
        <f t="shared" si="33"/>
        <v/>
      </c>
      <c r="I188" s="79">
        <f t="shared" si="21"/>
        <v>33</v>
      </c>
      <c r="J188" s="76"/>
      <c r="K188" s="74"/>
      <c r="L188" s="75"/>
      <c r="M188" s="74"/>
      <c r="N188" s="74"/>
      <c r="O188" s="74"/>
      <c r="P188" s="74"/>
      <c r="Q188" s="74"/>
      <c r="R188" s="74"/>
      <c r="S188" s="74"/>
      <c r="T188" s="74"/>
      <c r="U188" s="74"/>
      <c r="V188" s="74"/>
      <c r="W188" s="74"/>
      <c r="X188" s="74"/>
      <c r="Y188" s="74"/>
    </row>
    <row r="189" spans="1:25" ht="33.6" outlineLevel="1">
      <c r="A189" s="74"/>
      <c r="B189" s="91" t="str">
        <f t="shared" si="34"/>
        <v/>
      </c>
      <c r="C189" s="94"/>
      <c r="D189" s="95"/>
      <c r="E189" s="94" t="s">
        <v>306</v>
      </c>
      <c r="F189" s="91" t="str">
        <f t="shared" si="29"/>
        <v/>
      </c>
      <c r="G189" s="91" t="str">
        <f t="shared" si="30"/>
        <v/>
      </c>
      <c r="H189" s="91" t="str">
        <f t="shared" si="33"/>
        <v/>
      </c>
      <c r="I189" s="79">
        <f t="shared" si="21"/>
        <v>33</v>
      </c>
      <c r="J189" s="76"/>
      <c r="K189" s="74"/>
      <c r="L189" s="75"/>
      <c r="M189" s="74"/>
      <c r="N189" s="74"/>
      <c r="O189" s="74"/>
      <c r="P189" s="74"/>
      <c r="Q189" s="74"/>
      <c r="R189" s="74"/>
      <c r="S189" s="74"/>
      <c r="T189" s="74"/>
      <c r="U189" s="74"/>
      <c r="V189" s="74"/>
      <c r="W189" s="74"/>
      <c r="X189" s="74"/>
      <c r="Y189" s="74"/>
    </row>
    <row r="190" spans="1:25" ht="33.6" outlineLevel="1">
      <c r="A190" s="74"/>
      <c r="B190" s="79">
        <f t="shared" si="34"/>
        <v>34</v>
      </c>
      <c r="C190" s="94" t="s">
        <v>307</v>
      </c>
      <c r="D190" s="95" t="s">
        <v>127</v>
      </c>
      <c r="E190" s="94"/>
      <c r="F190" s="91" t="str">
        <f t="shared" si="29"/>
        <v>B</v>
      </c>
      <c r="G190" s="91" t="str">
        <f t="shared" si="30"/>
        <v>Trung bình</v>
      </c>
      <c r="H190" s="91">
        <f t="shared" si="33"/>
        <v>4</v>
      </c>
      <c r="I190" s="79" t="str">
        <f t="shared" si="21"/>
        <v/>
      </c>
      <c r="J190" s="76"/>
      <c r="K190" s="74"/>
      <c r="L190" s="75"/>
      <c r="M190" s="74"/>
      <c r="N190" s="74"/>
      <c r="O190" s="74"/>
      <c r="P190" s="74"/>
      <c r="Q190" s="74"/>
      <c r="R190" s="74"/>
      <c r="S190" s="74"/>
      <c r="T190" s="74"/>
      <c r="U190" s="74"/>
      <c r="V190" s="74"/>
      <c r="W190" s="74"/>
      <c r="X190" s="74"/>
      <c r="Y190" s="74"/>
    </row>
    <row r="191" spans="1:25" ht="33.6" outlineLevel="1">
      <c r="A191" s="74"/>
      <c r="B191" s="91" t="str">
        <f t="shared" si="34"/>
        <v/>
      </c>
      <c r="C191" s="94"/>
      <c r="D191" s="95"/>
      <c r="E191" s="94" t="s">
        <v>308</v>
      </c>
      <c r="F191" s="91" t="str">
        <f t="shared" si="29"/>
        <v/>
      </c>
      <c r="G191" s="91" t="str">
        <f t="shared" si="30"/>
        <v/>
      </c>
      <c r="H191" s="91" t="str">
        <f t="shared" si="33"/>
        <v/>
      </c>
      <c r="I191" s="79">
        <f t="shared" si="21"/>
        <v>34</v>
      </c>
      <c r="J191" s="76"/>
      <c r="K191" s="74"/>
      <c r="L191" s="75"/>
      <c r="M191" s="74"/>
      <c r="N191" s="74"/>
      <c r="O191" s="74"/>
      <c r="P191" s="74"/>
      <c r="Q191" s="74"/>
      <c r="R191" s="74"/>
      <c r="S191" s="74"/>
      <c r="T191" s="74"/>
      <c r="U191" s="74"/>
      <c r="V191" s="74"/>
      <c r="W191" s="74"/>
      <c r="X191" s="74"/>
      <c r="Y191" s="74"/>
    </row>
    <row r="192" spans="1:25" ht="33.6" outlineLevel="1">
      <c r="A192" s="74"/>
      <c r="B192" s="91" t="str">
        <f t="shared" si="34"/>
        <v/>
      </c>
      <c r="C192" s="94"/>
      <c r="D192" s="95"/>
      <c r="E192" s="94" t="s">
        <v>309</v>
      </c>
      <c r="F192" s="91" t="str">
        <f t="shared" si="29"/>
        <v/>
      </c>
      <c r="G192" s="91" t="str">
        <f t="shared" si="30"/>
        <v/>
      </c>
      <c r="H192" s="91" t="str">
        <f t="shared" si="33"/>
        <v/>
      </c>
      <c r="I192" s="79">
        <f t="shared" si="21"/>
        <v>34</v>
      </c>
      <c r="J192" s="76"/>
      <c r="K192" s="74"/>
      <c r="L192" s="75"/>
      <c r="M192" s="74"/>
      <c r="N192" s="74"/>
      <c r="O192" s="74"/>
      <c r="P192" s="74"/>
      <c r="Q192" s="74"/>
      <c r="R192" s="74"/>
      <c r="S192" s="74"/>
      <c r="T192" s="74"/>
      <c r="U192" s="74"/>
      <c r="V192" s="74"/>
      <c r="W192" s="74"/>
      <c r="X192" s="74"/>
      <c r="Y192" s="74"/>
    </row>
    <row r="193" spans="1:25" ht="33.6" outlineLevel="1">
      <c r="A193" s="74"/>
      <c r="B193" s="91" t="str">
        <f t="shared" si="34"/>
        <v/>
      </c>
      <c r="C193" s="94"/>
      <c r="D193" s="95"/>
      <c r="E193" s="94" t="s">
        <v>310</v>
      </c>
      <c r="F193" s="91" t="str">
        <f t="shared" si="29"/>
        <v/>
      </c>
      <c r="G193" s="91" t="str">
        <f t="shared" si="30"/>
        <v/>
      </c>
      <c r="H193" s="91" t="str">
        <f t="shared" si="33"/>
        <v/>
      </c>
      <c r="I193" s="79">
        <f t="shared" si="21"/>
        <v>34</v>
      </c>
      <c r="J193" s="76"/>
      <c r="K193" s="74"/>
      <c r="L193" s="75"/>
      <c r="M193" s="74"/>
      <c r="N193" s="74"/>
      <c r="O193" s="74"/>
      <c r="P193" s="74"/>
      <c r="Q193" s="74"/>
      <c r="R193" s="74"/>
      <c r="S193" s="74"/>
      <c r="T193" s="74"/>
      <c r="U193" s="74"/>
      <c r="V193" s="74"/>
      <c r="W193" s="74"/>
      <c r="X193" s="74"/>
      <c r="Y193" s="74"/>
    </row>
    <row r="194" spans="1:25" ht="33.6" outlineLevel="1">
      <c r="A194" s="74"/>
      <c r="B194" s="91" t="str">
        <f t="shared" si="34"/>
        <v/>
      </c>
      <c r="C194" s="94"/>
      <c r="D194" s="95"/>
      <c r="E194" s="94" t="s">
        <v>311</v>
      </c>
      <c r="F194" s="91" t="str">
        <f t="shared" si="29"/>
        <v/>
      </c>
      <c r="G194" s="91" t="str">
        <f t="shared" si="30"/>
        <v/>
      </c>
      <c r="H194" s="91" t="str">
        <f t="shared" si="33"/>
        <v/>
      </c>
      <c r="I194" s="79">
        <f t="shared" si="21"/>
        <v>34</v>
      </c>
      <c r="J194" s="76"/>
      <c r="K194" s="74"/>
      <c r="L194" s="75"/>
      <c r="M194" s="74"/>
      <c r="N194" s="74"/>
      <c r="O194" s="74"/>
      <c r="P194" s="74"/>
      <c r="Q194" s="74"/>
      <c r="R194" s="74"/>
      <c r="S194" s="74"/>
      <c r="T194" s="74"/>
      <c r="U194" s="74"/>
      <c r="V194" s="74"/>
      <c r="W194" s="74"/>
      <c r="X194" s="74"/>
      <c r="Y194" s="74"/>
    </row>
    <row r="195" spans="1:25" ht="18" outlineLevel="1">
      <c r="A195" s="74"/>
      <c r="B195" s="91" t="s">
        <v>312</v>
      </c>
      <c r="C195" s="92" t="s">
        <v>313</v>
      </c>
      <c r="D195" s="93"/>
      <c r="E195" s="94"/>
      <c r="F195" s="91" t="str">
        <f t="shared" si="29"/>
        <v/>
      </c>
      <c r="G195" s="91" t="str">
        <f t="shared" si="30"/>
        <v/>
      </c>
      <c r="H195" s="91" t="str">
        <f t="shared" si="33"/>
        <v/>
      </c>
      <c r="I195" s="79" t="str">
        <f t="shared" si="21"/>
        <v/>
      </c>
      <c r="J195" s="76"/>
      <c r="K195" s="74"/>
      <c r="L195" s="75"/>
      <c r="M195" s="74"/>
      <c r="N195" s="74"/>
      <c r="O195" s="74"/>
      <c r="P195" s="74"/>
      <c r="Q195" s="74"/>
      <c r="R195" s="74"/>
      <c r="S195" s="74"/>
      <c r="T195" s="74"/>
      <c r="U195" s="74"/>
      <c r="V195" s="74"/>
      <c r="W195" s="74"/>
      <c r="X195" s="74"/>
      <c r="Y195" s="74"/>
    </row>
    <row r="196" spans="1:25" ht="33.6" outlineLevel="1">
      <c r="A196" s="74"/>
      <c r="B196" s="79">
        <f t="shared" ref="B196:B218" si="35">IF(C196="","",IF(F196="B",COUNTIF($F$6:F196,"B"),""))</f>
        <v>35</v>
      </c>
      <c r="C196" s="94" t="s">
        <v>314</v>
      </c>
      <c r="D196" s="95" t="s">
        <v>127</v>
      </c>
      <c r="E196" s="94"/>
      <c r="F196" s="91" t="str">
        <f t="shared" si="29"/>
        <v>B</v>
      </c>
      <c r="G196" s="91" t="str">
        <f t="shared" si="30"/>
        <v>Trung bình</v>
      </c>
      <c r="H196" s="91">
        <f t="shared" si="33"/>
        <v>4</v>
      </c>
      <c r="I196" s="79" t="str">
        <f t="shared" si="21"/>
        <v/>
      </c>
      <c r="J196" s="76"/>
      <c r="K196" s="74"/>
      <c r="L196" s="75"/>
      <c r="M196" s="74"/>
      <c r="N196" s="74"/>
      <c r="O196" s="74"/>
      <c r="P196" s="74"/>
      <c r="Q196" s="74"/>
      <c r="R196" s="74"/>
      <c r="S196" s="74"/>
      <c r="T196" s="74"/>
      <c r="U196" s="74"/>
      <c r="V196" s="74"/>
      <c r="W196" s="74"/>
      <c r="X196" s="74"/>
      <c r="Y196" s="74"/>
    </row>
    <row r="197" spans="1:25" ht="50.45" outlineLevel="1">
      <c r="A197" s="74"/>
      <c r="B197" s="91" t="str">
        <f t="shared" si="35"/>
        <v/>
      </c>
      <c r="C197" s="94"/>
      <c r="D197" s="95"/>
      <c r="E197" s="94" t="s">
        <v>315</v>
      </c>
      <c r="F197" s="91" t="str">
        <f t="shared" si="29"/>
        <v/>
      </c>
      <c r="G197" s="91" t="str">
        <f t="shared" si="30"/>
        <v/>
      </c>
      <c r="H197" s="91" t="str">
        <f t="shared" ref="H197:H213" si="36">IF(AND(B197&lt;&gt;"",C197&lt;&gt;"",D197&lt;&gt;""),COUNTIF(I197:I627,B197),"")</f>
        <v/>
      </c>
      <c r="I197" s="79">
        <f t="shared" si="21"/>
        <v>35</v>
      </c>
      <c r="J197" s="76"/>
      <c r="K197" s="74"/>
      <c r="L197" s="75"/>
      <c r="M197" s="74"/>
      <c r="N197" s="74"/>
      <c r="O197" s="74"/>
      <c r="P197" s="74"/>
      <c r="Q197" s="74"/>
      <c r="R197" s="74"/>
      <c r="S197" s="74"/>
      <c r="T197" s="74"/>
      <c r="U197" s="74"/>
      <c r="V197" s="74"/>
      <c r="W197" s="74"/>
      <c r="X197" s="74"/>
      <c r="Y197" s="74"/>
    </row>
    <row r="198" spans="1:25" ht="50.45" outlineLevel="1">
      <c r="A198" s="74"/>
      <c r="B198" s="91" t="str">
        <f t="shared" si="35"/>
        <v/>
      </c>
      <c r="C198" s="94"/>
      <c r="D198" s="95"/>
      <c r="E198" s="94" t="s">
        <v>316</v>
      </c>
      <c r="F198" s="91" t="str">
        <f t="shared" si="29"/>
        <v/>
      </c>
      <c r="G198" s="91" t="str">
        <f t="shared" si="30"/>
        <v/>
      </c>
      <c r="H198" s="91" t="str">
        <f t="shared" si="36"/>
        <v/>
      </c>
      <c r="I198" s="79">
        <f t="shared" si="21"/>
        <v>35</v>
      </c>
      <c r="J198" s="76"/>
      <c r="K198" s="74"/>
      <c r="L198" s="75"/>
      <c r="M198" s="74"/>
      <c r="N198" s="74"/>
      <c r="O198" s="74"/>
      <c r="P198" s="74"/>
      <c r="Q198" s="74"/>
      <c r="R198" s="74"/>
      <c r="S198" s="74"/>
      <c r="T198" s="74"/>
      <c r="U198" s="74"/>
      <c r="V198" s="74"/>
      <c r="W198" s="74"/>
      <c r="X198" s="74"/>
      <c r="Y198" s="74"/>
    </row>
    <row r="199" spans="1:25" ht="50.45" outlineLevel="1">
      <c r="A199" s="74"/>
      <c r="B199" s="91" t="str">
        <f t="shared" si="35"/>
        <v/>
      </c>
      <c r="C199" s="94"/>
      <c r="D199" s="95"/>
      <c r="E199" s="94" t="s">
        <v>317</v>
      </c>
      <c r="F199" s="91" t="str">
        <f t="shared" si="29"/>
        <v/>
      </c>
      <c r="G199" s="91" t="str">
        <f t="shared" si="30"/>
        <v/>
      </c>
      <c r="H199" s="91" t="str">
        <f t="shared" si="36"/>
        <v/>
      </c>
      <c r="I199" s="79">
        <f t="shared" si="21"/>
        <v>35</v>
      </c>
      <c r="J199" s="76"/>
      <c r="K199" s="74"/>
      <c r="L199" s="75"/>
      <c r="M199" s="74"/>
      <c r="N199" s="74"/>
      <c r="O199" s="74"/>
      <c r="P199" s="74"/>
      <c r="Q199" s="74"/>
      <c r="R199" s="74"/>
      <c r="S199" s="74"/>
      <c r="T199" s="74"/>
      <c r="U199" s="74"/>
      <c r="V199" s="74"/>
      <c r="W199" s="74"/>
      <c r="X199" s="74"/>
      <c r="Y199" s="74"/>
    </row>
    <row r="200" spans="1:25" ht="50.45" outlineLevel="1">
      <c r="A200" s="74"/>
      <c r="B200" s="91" t="str">
        <f t="shared" si="35"/>
        <v/>
      </c>
      <c r="C200" s="94"/>
      <c r="D200" s="95"/>
      <c r="E200" s="94" t="s">
        <v>318</v>
      </c>
      <c r="F200" s="91" t="str">
        <f t="shared" si="29"/>
        <v/>
      </c>
      <c r="G200" s="91" t="str">
        <f t="shared" si="30"/>
        <v/>
      </c>
      <c r="H200" s="91" t="str">
        <f t="shared" si="36"/>
        <v/>
      </c>
      <c r="I200" s="79">
        <f t="shared" si="21"/>
        <v>35</v>
      </c>
      <c r="J200" s="76"/>
      <c r="K200" s="74"/>
      <c r="L200" s="75"/>
      <c r="M200" s="74"/>
      <c r="N200" s="74"/>
      <c r="O200" s="74"/>
      <c r="P200" s="74"/>
      <c r="Q200" s="74"/>
      <c r="R200" s="74"/>
      <c r="S200" s="74"/>
      <c r="T200" s="74"/>
      <c r="U200" s="74"/>
      <c r="V200" s="74"/>
      <c r="W200" s="74"/>
      <c r="X200" s="74"/>
      <c r="Y200" s="74"/>
    </row>
    <row r="201" spans="1:25" ht="18" outlineLevel="1">
      <c r="A201" s="74"/>
      <c r="B201" s="79">
        <f t="shared" si="35"/>
        <v>36</v>
      </c>
      <c r="C201" s="94" t="s">
        <v>319</v>
      </c>
      <c r="D201" s="95" t="s">
        <v>127</v>
      </c>
      <c r="E201" s="94"/>
      <c r="F201" s="91" t="str">
        <f t="shared" si="29"/>
        <v>B</v>
      </c>
      <c r="G201" s="91" t="str">
        <f t="shared" si="30"/>
        <v>Trung bình</v>
      </c>
      <c r="H201" s="91">
        <f t="shared" si="36"/>
        <v>4</v>
      </c>
      <c r="I201" s="79" t="str">
        <f t="shared" si="21"/>
        <v/>
      </c>
      <c r="J201" s="76"/>
      <c r="K201" s="74"/>
      <c r="L201" s="75"/>
      <c r="M201" s="74"/>
      <c r="N201" s="74"/>
      <c r="O201" s="74"/>
      <c r="P201" s="74"/>
      <c r="Q201" s="74"/>
      <c r="R201" s="74"/>
      <c r="S201" s="74"/>
      <c r="T201" s="74"/>
      <c r="U201" s="74"/>
      <c r="V201" s="74"/>
      <c r="W201" s="74"/>
      <c r="X201" s="74"/>
      <c r="Y201" s="74"/>
    </row>
    <row r="202" spans="1:25" ht="50.45" outlineLevel="1">
      <c r="A202" s="74"/>
      <c r="B202" s="91" t="str">
        <f t="shared" si="35"/>
        <v/>
      </c>
      <c r="C202" s="94"/>
      <c r="D202" s="95"/>
      <c r="E202" s="94" t="s">
        <v>320</v>
      </c>
      <c r="F202" s="91" t="str">
        <f t="shared" si="29"/>
        <v/>
      </c>
      <c r="G202" s="91" t="str">
        <f t="shared" si="30"/>
        <v/>
      </c>
      <c r="H202" s="91" t="str">
        <f t="shared" si="36"/>
        <v/>
      </c>
      <c r="I202" s="79">
        <f t="shared" si="21"/>
        <v>36</v>
      </c>
      <c r="J202" s="76"/>
      <c r="K202" s="74"/>
      <c r="L202" s="75"/>
      <c r="M202" s="74"/>
      <c r="N202" s="74"/>
      <c r="O202" s="74"/>
      <c r="P202" s="74"/>
      <c r="Q202" s="74"/>
      <c r="R202" s="74"/>
      <c r="S202" s="74"/>
      <c r="T202" s="74"/>
      <c r="U202" s="74"/>
      <c r="V202" s="74"/>
      <c r="W202" s="74"/>
      <c r="X202" s="74"/>
      <c r="Y202" s="74"/>
    </row>
    <row r="203" spans="1:25" ht="50.45" outlineLevel="1">
      <c r="A203" s="74"/>
      <c r="B203" s="91" t="str">
        <f t="shared" si="35"/>
        <v/>
      </c>
      <c r="C203" s="94"/>
      <c r="D203" s="95"/>
      <c r="E203" s="94" t="s">
        <v>321</v>
      </c>
      <c r="F203" s="91" t="str">
        <f t="shared" si="29"/>
        <v/>
      </c>
      <c r="G203" s="91" t="str">
        <f t="shared" si="30"/>
        <v/>
      </c>
      <c r="H203" s="91" t="str">
        <f t="shared" si="36"/>
        <v/>
      </c>
      <c r="I203" s="79">
        <f t="shared" si="21"/>
        <v>36</v>
      </c>
      <c r="J203" s="76"/>
      <c r="K203" s="74"/>
      <c r="L203" s="75"/>
      <c r="M203" s="74"/>
      <c r="N203" s="74"/>
      <c r="O203" s="74"/>
      <c r="P203" s="74"/>
      <c r="Q203" s="74"/>
      <c r="R203" s="74"/>
      <c r="S203" s="74"/>
      <c r="T203" s="74"/>
      <c r="U203" s="74"/>
      <c r="V203" s="74"/>
      <c r="W203" s="74"/>
      <c r="X203" s="74"/>
      <c r="Y203" s="74"/>
    </row>
    <row r="204" spans="1:25" ht="50.45" outlineLevel="1">
      <c r="A204" s="74"/>
      <c r="B204" s="91" t="str">
        <f t="shared" si="35"/>
        <v/>
      </c>
      <c r="C204" s="94"/>
      <c r="D204" s="95"/>
      <c r="E204" s="94" t="s">
        <v>322</v>
      </c>
      <c r="F204" s="91" t="str">
        <f t="shared" si="29"/>
        <v/>
      </c>
      <c r="G204" s="91" t="str">
        <f t="shared" si="30"/>
        <v/>
      </c>
      <c r="H204" s="91" t="str">
        <f t="shared" si="36"/>
        <v/>
      </c>
      <c r="I204" s="79">
        <f t="shared" si="21"/>
        <v>36</v>
      </c>
      <c r="J204" s="76"/>
      <c r="K204" s="74"/>
      <c r="L204" s="75"/>
      <c r="M204" s="74"/>
      <c r="N204" s="74"/>
      <c r="O204" s="74"/>
      <c r="P204" s="74"/>
      <c r="Q204" s="74"/>
      <c r="R204" s="74"/>
      <c r="S204" s="74"/>
      <c r="T204" s="74"/>
      <c r="U204" s="74"/>
      <c r="V204" s="74"/>
      <c r="W204" s="74"/>
      <c r="X204" s="74"/>
      <c r="Y204" s="74"/>
    </row>
    <row r="205" spans="1:25" ht="50.45" outlineLevel="1">
      <c r="A205" s="74"/>
      <c r="B205" s="91" t="str">
        <f t="shared" si="35"/>
        <v/>
      </c>
      <c r="C205" s="94"/>
      <c r="D205" s="95"/>
      <c r="E205" s="94" t="s">
        <v>323</v>
      </c>
      <c r="F205" s="91" t="str">
        <f t="shared" si="29"/>
        <v/>
      </c>
      <c r="G205" s="91" t="str">
        <f t="shared" si="30"/>
        <v/>
      </c>
      <c r="H205" s="91" t="str">
        <f t="shared" si="36"/>
        <v/>
      </c>
      <c r="I205" s="79">
        <f t="shared" si="21"/>
        <v>36</v>
      </c>
      <c r="J205" s="76"/>
      <c r="K205" s="74"/>
      <c r="L205" s="75"/>
      <c r="M205" s="74"/>
      <c r="N205" s="74"/>
      <c r="O205" s="74"/>
      <c r="P205" s="74"/>
      <c r="Q205" s="74"/>
      <c r="R205" s="74"/>
      <c r="S205" s="74"/>
      <c r="T205" s="74"/>
      <c r="U205" s="74"/>
      <c r="V205" s="74"/>
      <c r="W205" s="74"/>
      <c r="X205" s="74"/>
      <c r="Y205" s="74"/>
    </row>
    <row r="206" spans="1:25" ht="33.6" outlineLevel="1">
      <c r="A206" s="74"/>
      <c r="B206" s="79">
        <f t="shared" si="35"/>
        <v>37</v>
      </c>
      <c r="C206" s="94" t="s">
        <v>324</v>
      </c>
      <c r="D206" s="95" t="s">
        <v>127</v>
      </c>
      <c r="E206" s="94"/>
      <c r="F206" s="91" t="str">
        <f t="shared" si="29"/>
        <v>B</v>
      </c>
      <c r="G206" s="91" t="str">
        <f t="shared" si="30"/>
        <v>Đơn giản</v>
      </c>
      <c r="H206" s="91">
        <f t="shared" si="36"/>
        <v>2</v>
      </c>
      <c r="I206" s="79" t="str">
        <f t="shared" si="21"/>
        <v/>
      </c>
      <c r="J206" s="76"/>
      <c r="K206" s="74"/>
      <c r="L206" s="75"/>
      <c r="M206" s="74"/>
      <c r="N206" s="74"/>
      <c r="O206" s="74"/>
      <c r="P206" s="74"/>
      <c r="Q206" s="74"/>
      <c r="R206" s="74"/>
      <c r="S206" s="74"/>
      <c r="T206" s="74"/>
      <c r="U206" s="74"/>
      <c r="V206" s="74"/>
      <c r="W206" s="74"/>
      <c r="X206" s="74"/>
      <c r="Y206" s="74"/>
    </row>
    <row r="207" spans="1:25" ht="50.45" outlineLevel="1">
      <c r="A207" s="74"/>
      <c r="B207" s="91" t="str">
        <f t="shared" si="35"/>
        <v/>
      </c>
      <c r="C207" s="94"/>
      <c r="D207" s="95"/>
      <c r="E207" s="94" t="s">
        <v>325</v>
      </c>
      <c r="F207" s="91" t="str">
        <f t="shared" si="29"/>
        <v/>
      </c>
      <c r="G207" s="91" t="str">
        <f t="shared" si="30"/>
        <v/>
      </c>
      <c r="H207" s="91" t="str">
        <f t="shared" si="36"/>
        <v/>
      </c>
      <c r="I207" s="79">
        <f t="shared" si="21"/>
        <v>37</v>
      </c>
      <c r="J207" s="76"/>
      <c r="K207" s="74"/>
      <c r="L207" s="75"/>
      <c r="M207" s="74"/>
      <c r="N207" s="74"/>
      <c r="O207" s="74"/>
      <c r="P207" s="74"/>
      <c r="Q207" s="74"/>
      <c r="R207" s="74"/>
      <c r="S207" s="74"/>
      <c r="T207" s="74"/>
      <c r="U207" s="74"/>
      <c r="V207" s="74"/>
      <c r="W207" s="74"/>
      <c r="X207" s="74"/>
      <c r="Y207" s="74"/>
    </row>
    <row r="208" spans="1:25" ht="50.45" outlineLevel="1">
      <c r="A208" s="74"/>
      <c r="B208" s="91" t="str">
        <f t="shared" si="35"/>
        <v/>
      </c>
      <c r="C208" s="94"/>
      <c r="D208" s="95"/>
      <c r="E208" s="94" t="s">
        <v>326</v>
      </c>
      <c r="F208" s="91" t="str">
        <f t="shared" si="29"/>
        <v/>
      </c>
      <c r="G208" s="91" t="str">
        <f t="shared" si="30"/>
        <v/>
      </c>
      <c r="H208" s="91" t="str">
        <f t="shared" si="36"/>
        <v/>
      </c>
      <c r="I208" s="79">
        <f t="shared" si="21"/>
        <v>37</v>
      </c>
      <c r="J208" s="76"/>
      <c r="K208" s="74"/>
      <c r="L208" s="75"/>
      <c r="M208" s="74"/>
      <c r="N208" s="74"/>
      <c r="O208" s="74"/>
      <c r="P208" s="74"/>
      <c r="Q208" s="74"/>
      <c r="R208" s="74"/>
      <c r="S208" s="74"/>
      <c r="T208" s="74"/>
      <c r="U208" s="74"/>
      <c r="V208" s="74"/>
      <c r="W208" s="74"/>
      <c r="X208" s="74"/>
      <c r="Y208" s="74"/>
    </row>
    <row r="209" spans="1:25" ht="33.6" outlineLevel="1">
      <c r="A209" s="74"/>
      <c r="B209" s="79">
        <f t="shared" si="35"/>
        <v>38</v>
      </c>
      <c r="C209" s="94" t="s">
        <v>327</v>
      </c>
      <c r="D209" s="95" t="s">
        <v>127</v>
      </c>
      <c r="E209" s="94"/>
      <c r="F209" s="91" t="str">
        <f t="shared" si="29"/>
        <v>B</v>
      </c>
      <c r="G209" s="91" t="str">
        <f t="shared" si="30"/>
        <v>Trung bình</v>
      </c>
      <c r="H209" s="91">
        <f t="shared" si="36"/>
        <v>4</v>
      </c>
      <c r="I209" s="79" t="str">
        <f t="shared" si="21"/>
        <v/>
      </c>
      <c r="J209" s="76"/>
      <c r="K209" s="74"/>
      <c r="L209" s="75"/>
      <c r="M209" s="74"/>
      <c r="N209" s="74"/>
      <c r="O209" s="74"/>
      <c r="P209" s="74"/>
      <c r="Q209" s="74"/>
      <c r="R209" s="74"/>
      <c r="S209" s="74"/>
      <c r="T209" s="74"/>
      <c r="U209" s="74"/>
      <c r="V209" s="74"/>
      <c r="W209" s="74"/>
      <c r="X209" s="74"/>
      <c r="Y209" s="74"/>
    </row>
    <row r="210" spans="1:25" ht="50.45" outlineLevel="1">
      <c r="A210" s="74"/>
      <c r="B210" s="91" t="str">
        <f t="shared" si="35"/>
        <v/>
      </c>
      <c r="C210" s="94"/>
      <c r="D210" s="95"/>
      <c r="E210" s="94" t="s">
        <v>328</v>
      </c>
      <c r="F210" s="91" t="str">
        <f t="shared" si="29"/>
        <v/>
      </c>
      <c r="G210" s="91" t="str">
        <f t="shared" si="30"/>
        <v/>
      </c>
      <c r="H210" s="91" t="str">
        <f t="shared" si="36"/>
        <v/>
      </c>
      <c r="I210" s="79">
        <f t="shared" si="21"/>
        <v>38</v>
      </c>
      <c r="J210" s="76"/>
      <c r="K210" s="74"/>
      <c r="L210" s="75"/>
      <c r="M210" s="74"/>
      <c r="N210" s="74"/>
      <c r="O210" s="74"/>
      <c r="P210" s="74"/>
      <c r="Q210" s="74"/>
      <c r="R210" s="74"/>
      <c r="S210" s="74"/>
      <c r="T210" s="74"/>
      <c r="U210" s="74"/>
      <c r="V210" s="74"/>
      <c r="W210" s="74"/>
      <c r="X210" s="74"/>
      <c r="Y210" s="74"/>
    </row>
    <row r="211" spans="1:25" ht="50.45" outlineLevel="1">
      <c r="A211" s="74"/>
      <c r="B211" s="91" t="str">
        <f t="shared" si="35"/>
        <v/>
      </c>
      <c r="C211" s="94"/>
      <c r="D211" s="95"/>
      <c r="E211" s="94" t="s">
        <v>329</v>
      </c>
      <c r="F211" s="91" t="str">
        <f t="shared" si="29"/>
        <v/>
      </c>
      <c r="G211" s="91" t="str">
        <f t="shared" si="30"/>
        <v/>
      </c>
      <c r="H211" s="91" t="str">
        <f t="shared" si="36"/>
        <v/>
      </c>
      <c r="I211" s="79">
        <f t="shared" si="21"/>
        <v>38</v>
      </c>
      <c r="J211" s="76"/>
      <c r="K211" s="74"/>
      <c r="L211" s="75"/>
      <c r="M211" s="74"/>
      <c r="N211" s="74"/>
      <c r="O211" s="74"/>
      <c r="P211" s="74"/>
      <c r="Q211" s="74"/>
      <c r="R211" s="74"/>
      <c r="S211" s="74"/>
      <c r="T211" s="74"/>
      <c r="U211" s="74"/>
      <c r="V211" s="74"/>
      <c r="W211" s="74"/>
      <c r="X211" s="74"/>
      <c r="Y211" s="74"/>
    </row>
    <row r="212" spans="1:25" ht="50.45" outlineLevel="1">
      <c r="A212" s="74"/>
      <c r="B212" s="91" t="str">
        <f t="shared" si="35"/>
        <v/>
      </c>
      <c r="C212" s="94"/>
      <c r="D212" s="95"/>
      <c r="E212" s="94" t="s">
        <v>330</v>
      </c>
      <c r="F212" s="91" t="str">
        <f t="shared" si="29"/>
        <v/>
      </c>
      <c r="G212" s="91" t="str">
        <f t="shared" si="30"/>
        <v/>
      </c>
      <c r="H212" s="91" t="str">
        <f t="shared" si="36"/>
        <v/>
      </c>
      <c r="I212" s="79">
        <f t="shared" si="21"/>
        <v>38</v>
      </c>
      <c r="J212" s="76"/>
      <c r="K212" s="74"/>
      <c r="L212" s="75"/>
      <c r="M212" s="74"/>
      <c r="N212" s="74"/>
      <c r="O212" s="74"/>
      <c r="P212" s="74"/>
      <c r="Q212" s="74"/>
      <c r="R212" s="74"/>
      <c r="S212" s="74"/>
      <c r="T212" s="74"/>
      <c r="U212" s="74"/>
      <c r="V212" s="74"/>
      <c r="W212" s="74"/>
      <c r="X212" s="74"/>
      <c r="Y212" s="74"/>
    </row>
    <row r="213" spans="1:25" ht="50.45" outlineLevel="1">
      <c r="A213" s="74"/>
      <c r="B213" s="91" t="str">
        <f t="shared" si="35"/>
        <v/>
      </c>
      <c r="C213" s="94"/>
      <c r="D213" s="95"/>
      <c r="E213" s="94" t="s">
        <v>331</v>
      </c>
      <c r="F213" s="91" t="str">
        <f t="shared" si="29"/>
        <v/>
      </c>
      <c r="G213" s="91" t="str">
        <f t="shared" si="30"/>
        <v/>
      </c>
      <c r="H213" s="91" t="str">
        <f t="shared" si="36"/>
        <v/>
      </c>
      <c r="I213" s="79">
        <f t="shared" si="21"/>
        <v>38</v>
      </c>
      <c r="J213" s="76"/>
      <c r="K213" s="74"/>
      <c r="L213" s="75"/>
      <c r="M213" s="74"/>
      <c r="N213" s="74"/>
      <c r="O213" s="74"/>
      <c r="P213" s="74"/>
      <c r="Q213" s="74"/>
      <c r="R213" s="74"/>
      <c r="S213" s="74"/>
      <c r="T213" s="74"/>
      <c r="U213" s="74"/>
      <c r="V213" s="74"/>
      <c r="W213" s="74"/>
      <c r="X213" s="74"/>
      <c r="Y213" s="74"/>
    </row>
    <row r="214" spans="1:25" ht="33.6" outlineLevel="1">
      <c r="A214" s="74"/>
      <c r="B214" s="79">
        <f t="shared" si="35"/>
        <v>39</v>
      </c>
      <c r="C214" s="94" t="s">
        <v>332</v>
      </c>
      <c r="D214" s="95" t="s">
        <v>127</v>
      </c>
      <c r="E214" s="94"/>
      <c r="F214" s="91" t="str">
        <f t="shared" si="29"/>
        <v>B</v>
      </c>
      <c r="G214" s="91" t="str">
        <f t="shared" si="30"/>
        <v>Trung bình</v>
      </c>
      <c r="H214" s="91">
        <f>IF(AND(B214&lt;&gt;"",C214&lt;&gt;"",D214&lt;&gt;""),COUNTIF(I214:I643,B214),"")</f>
        <v>4</v>
      </c>
      <c r="I214" s="79" t="str">
        <f t="shared" si="21"/>
        <v/>
      </c>
      <c r="J214" s="76"/>
      <c r="K214" s="74"/>
      <c r="L214" s="75"/>
      <c r="M214" s="74"/>
      <c r="N214" s="74"/>
      <c r="O214" s="74"/>
      <c r="P214" s="74"/>
      <c r="Q214" s="74"/>
      <c r="R214" s="74"/>
      <c r="S214" s="74"/>
      <c r="T214" s="74"/>
      <c r="U214" s="74"/>
      <c r="V214" s="74"/>
      <c r="W214" s="74"/>
      <c r="X214" s="74"/>
      <c r="Y214" s="74"/>
    </row>
    <row r="215" spans="1:25" ht="33.6" outlineLevel="1">
      <c r="A215" s="74"/>
      <c r="B215" s="91" t="str">
        <f t="shared" si="35"/>
        <v/>
      </c>
      <c r="C215" s="94"/>
      <c r="D215" s="95"/>
      <c r="E215" s="94" t="s">
        <v>333</v>
      </c>
      <c r="F215" s="91" t="str">
        <f t="shared" si="29"/>
        <v/>
      </c>
      <c r="G215" s="91" t="str">
        <f t="shared" si="30"/>
        <v/>
      </c>
      <c r="H215" s="91" t="str">
        <f>IF(AND(B215&lt;&gt;"",C215&lt;&gt;"",D215&lt;&gt;""),COUNTIF(I215:I643,B215),"")</f>
        <v/>
      </c>
      <c r="I215" s="79">
        <f t="shared" si="21"/>
        <v>39</v>
      </c>
      <c r="J215" s="76"/>
      <c r="K215" s="74"/>
      <c r="L215" s="75"/>
      <c r="M215" s="74"/>
      <c r="N215" s="74"/>
      <c r="O215" s="74"/>
      <c r="P215" s="74"/>
      <c r="Q215" s="74"/>
      <c r="R215" s="74"/>
      <c r="S215" s="74"/>
      <c r="T215" s="74"/>
      <c r="U215" s="74"/>
      <c r="V215" s="74"/>
      <c r="W215" s="74"/>
      <c r="X215" s="74"/>
      <c r="Y215" s="74"/>
    </row>
    <row r="216" spans="1:25" ht="50.45" outlineLevel="1">
      <c r="A216" s="74"/>
      <c r="B216" s="91" t="str">
        <f t="shared" si="35"/>
        <v/>
      </c>
      <c r="C216" s="94"/>
      <c r="D216" s="95"/>
      <c r="E216" s="94" t="s">
        <v>334</v>
      </c>
      <c r="F216" s="91" t="str">
        <f t="shared" si="29"/>
        <v/>
      </c>
      <c r="G216" s="91" t="str">
        <f t="shared" si="30"/>
        <v/>
      </c>
      <c r="H216" s="91" t="str">
        <f>IF(AND(B216&lt;&gt;"",C216&lt;&gt;"",D216&lt;&gt;""),COUNTIF(I216:I643,B216),"")</f>
        <v/>
      </c>
      <c r="I216" s="79">
        <f t="shared" si="21"/>
        <v>39</v>
      </c>
      <c r="J216" s="76"/>
      <c r="K216" s="74"/>
      <c r="L216" s="75"/>
      <c r="M216" s="74"/>
      <c r="N216" s="74"/>
      <c r="O216" s="74"/>
      <c r="P216" s="74"/>
      <c r="Q216" s="74"/>
      <c r="R216" s="74"/>
      <c r="S216" s="74"/>
      <c r="T216" s="74"/>
      <c r="U216" s="74"/>
      <c r="V216" s="74"/>
      <c r="W216" s="74"/>
      <c r="X216" s="74"/>
      <c r="Y216" s="74"/>
    </row>
    <row r="217" spans="1:25" ht="33.6" outlineLevel="1">
      <c r="A217" s="74"/>
      <c r="B217" s="91" t="str">
        <f t="shared" si="35"/>
        <v/>
      </c>
      <c r="C217" s="94"/>
      <c r="D217" s="95"/>
      <c r="E217" s="94" t="s">
        <v>335</v>
      </c>
      <c r="F217" s="91" t="str">
        <f t="shared" si="29"/>
        <v/>
      </c>
      <c r="G217" s="91" t="str">
        <f t="shared" si="30"/>
        <v/>
      </c>
      <c r="H217" s="91" t="str">
        <f t="shared" ref="H217:H220" si="37">IF(AND(B217&lt;&gt;"",C217&lt;&gt;"",D217&lt;&gt;""),COUNTIF(I217:I643,B217),"")</f>
        <v/>
      </c>
      <c r="I217" s="79">
        <f t="shared" si="21"/>
        <v>39</v>
      </c>
      <c r="J217" s="76"/>
      <c r="K217" s="74"/>
      <c r="L217" s="75"/>
      <c r="M217" s="74"/>
      <c r="N217" s="74"/>
      <c r="O217" s="74"/>
      <c r="P217" s="74"/>
      <c r="Q217" s="74"/>
      <c r="R217" s="74"/>
      <c r="S217" s="74"/>
      <c r="T217" s="74"/>
      <c r="U217" s="74"/>
      <c r="V217" s="74"/>
      <c r="W217" s="74"/>
      <c r="X217" s="74"/>
      <c r="Y217" s="74"/>
    </row>
    <row r="218" spans="1:25" ht="33.6" outlineLevel="1">
      <c r="A218" s="74"/>
      <c r="B218" s="91" t="str">
        <f t="shared" si="35"/>
        <v/>
      </c>
      <c r="C218" s="94"/>
      <c r="D218" s="95"/>
      <c r="E218" s="94" t="s">
        <v>336</v>
      </c>
      <c r="F218" s="91" t="str">
        <f t="shared" si="29"/>
        <v/>
      </c>
      <c r="G218" s="91" t="str">
        <f t="shared" si="30"/>
        <v/>
      </c>
      <c r="H218" s="91" t="str">
        <f t="shared" si="37"/>
        <v/>
      </c>
      <c r="I218" s="79">
        <f t="shared" si="21"/>
        <v>39</v>
      </c>
      <c r="J218" s="76"/>
      <c r="K218" s="74"/>
      <c r="L218" s="75"/>
      <c r="M218" s="74"/>
      <c r="N218" s="74"/>
      <c r="O218" s="74"/>
      <c r="P218" s="74"/>
      <c r="Q218" s="74"/>
      <c r="R218" s="74"/>
      <c r="S218" s="74"/>
      <c r="T218" s="74"/>
      <c r="U218" s="74"/>
      <c r="V218" s="74"/>
      <c r="W218" s="74"/>
      <c r="X218" s="74"/>
      <c r="Y218" s="74"/>
    </row>
    <row r="219" spans="1:25" ht="18" outlineLevel="1">
      <c r="A219" s="74"/>
      <c r="B219" s="91" t="s">
        <v>337</v>
      </c>
      <c r="C219" s="92" t="s">
        <v>338</v>
      </c>
      <c r="D219" s="93"/>
      <c r="E219" s="94"/>
      <c r="F219" s="91" t="str">
        <f t="shared" si="29"/>
        <v/>
      </c>
      <c r="G219" s="91" t="str">
        <f t="shared" si="30"/>
        <v/>
      </c>
      <c r="H219" s="91" t="str">
        <f t="shared" si="37"/>
        <v/>
      </c>
      <c r="I219" s="79" t="str">
        <f t="shared" si="21"/>
        <v/>
      </c>
      <c r="J219" s="76"/>
      <c r="K219" s="74"/>
      <c r="L219" s="75"/>
      <c r="M219" s="74"/>
      <c r="N219" s="74"/>
      <c r="O219" s="74"/>
      <c r="P219" s="74"/>
      <c r="Q219" s="74"/>
      <c r="R219" s="74"/>
      <c r="S219" s="74"/>
      <c r="T219" s="74"/>
      <c r="U219" s="74"/>
      <c r="V219" s="74"/>
      <c r="W219" s="74"/>
      <c r="X219" s="74"/>
      <c r="Y219" s="74"/>
    </row>
    <row r="220" spans="1:25" ht="33.6" outlineLevel="1">
      <c r="A220" s="74"/>
      <c r="B220" s="79">
        <f t="shared" ref="B220:B256" si="38">IF(C220="","",IF(F220="B",COUNTIF($F$6:F220,"B"),""))</f>
        <v>40</v>
      </c>
      <c r="C220" s="94" t="s">
        <v>339</v>
      </c>
      <c r="D220" s="95" t="s">
        <v>127</v>
      </c>
      <c r="E220" s="94"/>
      <c r="F220" s="91" t="str">
        <f t="shared" si="29"/>
        <v>B</v>
      </c>
      <c r="G220" s="91" t="str">
        <f t="shared" si="30"/>
        <v>Trung bình</v>
      </c>
      <c r="H220" s="91">
        <f t="shared" si="37"/>
        <v>5</v>
      </c>
      <c r="I220" s="79" t="str">
        <f t="shared" si="21"/>
        <v/>
      </c>
      <c r="J220" s="76"/>
      <c r="K220" s="74"/>
      <c r="L220" s="75"/>
      <c r="M220" s="74"/>
      <c r="N220" s="74"/>
      <c r="O220" s="74"/>
      <c r="P220" s="74"/>
      <c r="Q220" s="74"/>
      <c r="R220" s="74"/>
      <c r="S220" s="74"/>
      <c r="T220" s="74"/>
      <c r="U220" s="74"/>
      <c r="V220" s="74"/>
      <c r="W220" s="74"/>
      <c r="X220" s="74"/>
      <c r="Y220" s="74"/>
    </row>
    <row r="221" spans="1:25" ht="50.45" outlineLevel="1">
      <c r="A221" s="74"/>
      <c r="B221" s="91" t="str">
        <f t="shared" si="38"/>
        <v/>
      </c>
      <c r="C221" s="94"/>
      <c r="D221" s="95"/>
      <c r="E221" s="94" t="s">
        <v>340</v>
      </c>
      <c r="F221" s="91" t="str">
        <f t="shared" si="29"/>
        <v/>
      </c>
      <c r="G221" s="91" t="str">
        <f t="shared" si="30"/>
        <v/>
      </c>
      <c r="H221" s="91" t="str">
        <f>IF(AND(B221&lt;&gt;"",C221&lt;&gt;"",D221&lt;&gt;""),COUNTIF(I221:I646,B221),"")</f>
        <v/>
      </c>
      <c r="I221" s="79">
        <f t="shared" si="21"/>
        <v>40</v>
      </c>
      <c r="J221" s="76"/>
      <c r="K221" s="74"/>
      <c r="L221" s="75"/>
      <c r="M221" s="74"/>
      <c r="N221" s="74"/>
      <c r="O221" s="74"/>
      <c r="P221" s="74"/>
      <c r="Q221" s="74"/>
      <c r="R221" s="74"/>
      <c r="S221" s="74"/>
      <c r="T221" s="74"/>
      <c r="U221" s="74"/>
      <c r="V221" s="74"/>
      <c r="W221" s="74"/>
      <c r="X221" s="74"/>
      <c r="Y221" s="74"/>
    </row>
    <row r="222" spans="1:25" ht="50.45" outlineLevel="1">
      <c r="A222" s="74"/>
      <c r="B222" s="91" t="str">
        <f t="shared" si="38"/>
        <v/>
      </c>
      <c r="C222" s="94"/>
      <c r="D222" s="95"/>
      <c r="E222" s="94" t="s">
        <v>341</v>
      </c>
      <c r="F222" s="91" t="str">
        <f t="shared" si="29"/>
        <v/>
      </c>
      <c r="G222" s="91" t="str">
        <f t="shared" si="30"/>
        <v/>
      </c>
      <c r="H222" s="91" t="str">
        <f>IF(AND(B222&lt;&gt;"",C222&lt;&gt;"",D222&lt;&gt;""),COUNTIF(I222:I646,B222),"")</f>
        <v/>
      </c>
      <c r="I222" s="79">
        <f t="shared" si="21"/>
        <v>40</v>
      </c>
      <c r="J222" s="76"/>
      <c r="K222" s="74"/>
      <c r="L222" s="75"/>
      <c r="M222" s="74"/>
      <c r="N222" s="74"/>
      <c r="O222" s="74"/>
      <c r="P222" s="74"/>
      <c r="Q222" s="74"/>
      <c r="R222" s="74"/>
      <c r="S222" s="74"/>
      <c r="T222" s="74"/>
      <c r="U222" s="74"/>
      <c r="V222" s="74"/>
      <c r="W222" s="74"/>
      <c r="X222" s="74"/>
      <c r="Y222" s="74"/>
    </row>
    <row r="223" spans="1:25" ht="50.45" outlineLevel="1">
      <c r="A223" s="74"/>
      <c r="B223" s="91" t="str">
        <f t="shared" si="38"/>
        <v/>
      </c>
      <c r="C223" s="94"/>
      <c r="D223" s="95"/>
      <c r="E223" s="94" t="s">
        <v>342</v>
      </c>
      <c r="F223" s="91" t="str">
        <f t="shared" si="29"/>
        <v/>
      </c>
      <c r="G223" s="91" t="str">
        <f t="shared" si="30"/>
        <v/>
      </c>
      <c r="H223" s="91" t="str">
        <f>IF(AND(B223&lt;&gt;"",C223&lt;&gt;"",D223&lt;&gt;""),COUNTIF(I223:I646,B223),"")</f>
        <v/>
      </c>
      <c r="I223" s="79">
        <f t="shared" si="21"/>
        <v>40</v>
      </c>
      <c r="J223" s="76"/>
      <c r="K223" s="74"/>
      <c r="L223" s="75"/>
      <c r="M223" s="74"/>
      <c r="N223" s="74"/>
      <c r="O223" s="74"/>
      <c r="P223" s="74"/>
      <c r="Q223" s="74"/>
      <c r="R223" s="74"/>
      <c r="S223" s="74"/>
      <c r="T223" s="74"/>
      <c r="U223" s="74"/>
      <c r="V223" s="74"/>
      <c r="W223" s="74"/>
      <c r="X223" s="74"/>
      <c r="Y223" s="74"/>
    </row>
    <row r="224" spans="1:25" ht="50.45" outlineLevel="1">
      <c r="A224" s="74"/>
      <c r="B224" s="91" t="str">
        <f t="shared" si="38"/>
        <v/>
      </c>
      <c r="C224" s="94"/>
      <c r="D224" s="95"/>
      <c r="E224" s="94" t="s">
        <v>343</v>
      </c>
      <c r="F224" s="91" t="str">
        <f t="shared" si="29"/>
        <v/>
      </c>
      <c r="G224" s="91" t="str">
        <f t="shared" si="30"/>
        <v/>
      </c>
      <c r="H224" s="91" t="str">
        <f t="shared" ref="H224:H307" si="39">IF(AND(B224&lt;&gt;"",C224&lt;&gt;"",D224&lt;&gt;""),COUNTIF(I224:I646,B224),"")</f>
        <v/>
      </c>
      <c r="I224" s="79">
        <f t="shared" si="21"/>
        <v>40</v>
      </c>
      <c r="J224" s="76"/>
      <c r="K224" s="74"/>
      <c r="L224" s="75"/>
      <c r="M224" s="74"/>
      <c r="N224" s="74"/>
      <c r="O224" s="74"/>
      <c r="P224" s="74"/>
      <c r="Q224" s="74"/>
      <c r="R224" s="74"/>
      <c r="S224" s="74"/>
      <c r="T224" s="74"/>
      <c r="U224" s="74"/>
      <c r="V224" s="74"/>
      <c r="W224" s="74"/>
      <c r="X224" s="74"/>
      <c r="Y224" s="74"/>
    </row>
    <row r="225" spans="1:25" ht="50.45" outlineLevel="1">
      <c r="A225" s="74"/>
      <c r="B225" s="91" t="str">
        <f t="shared" si="38"/>
        <v/>
      </c>
      <c r="C225" s="94"/>
      <c r="D225" s="95"/>
      <c r="E225" s="94" t="s">
        <v>344</v>
      </c>
      <c r="F225" s="91" t="str">
        <f t="shared" si="29"/>
        <v/>
      </c>
      <c r="G225" s="91" t="str">
        <f t="shared" si="30"/>
        <v/>
      </c>
      <c r="H225" s="91" t="str">
        <f t="shared" si="39"/>
        <v/>
      </c>
      <c r="I225" s="79">
        <f t="shared" si="21"/>
        <v>40</v>
      </c>
      <c r="J225" s="76"/>
      <c r="K225" s="74"/>
      <c r="L225" s="75"/>
      <c r="M225" s="74"/>
      <c r="N225" s="74"/>
      <c r="O225" s="74"/>
      <c r="P225" s="74"/>
      <c r="Q225" s="74"/>
      <c r="R225" s="74"/>
      <c r="S225" s="74"/>
      <c r="T225" s="74"/>
      <c r="U225" s="74"/>
      <c r="V225" s="74"/>
      <c r="W225" s="74"/>
      <c r="X225" s="74"/>
      <c r="Y225" s="74"/>
    </row>
    <row r="226" spans="1:25" ht="33.6" outlineLevel="1">
      <c r="A226" s="74"/>
      <c r="B226" s="79">
        <f t="shared" si="38"/>
        <v>41</v>
      </c>
      <c r="C226" s="94" t="s">
        <v>345</v>
      </c>
      <c r="D226" s="95" t="s">
        <v>127</v>
      </c>
      <c r="E226" s="94"/>
      <c r="F226" s="91" t="str">
        <f t="shared" si="29"/>
        <v>B</v>
      </c>
      <c r="G226" s="91" t="str">
        <f t="shared" si="30"/>
        <v>Trung bình</v>
      </c>
      <c r="H226" s="91">
        <f t="shared" si="39"/>
        <v>5</v>
      </c>
      <c r="I226" s="79" t="str">
        <f t="shared" si="21"/>
        <v/>
      </c>
      <c r="J226" s="76"/>
      <c r="K226" s="74"/>
      <c r="L226" s="75"/>
      <c r="M226" s="74"/>
      <c r="N226" s="74"/>
      <c r="O226" s="74"/>
      <c r="P226" s="74"/>
      <c r="Q226" s="74"/>
      <c r="R226" s="74"/>
      <c r="S226" s="74"/>
      <c r="T226" s="74"/>
      <c r="U226" s="74"/>
      <c r="V226" s="74"/>
      <c r="W226" s="74"/>
      <c r="X226" s="74"/>
      <c r="Y226" s="74"/>
    </row>
    <row r="227" spans="1:25" ht="50.45" outlineLevel="1">
      <c r="A227" s="74"/>
      <c r="B227" s="91" t="str">
        <f t="shared" si="38"/>
        <v/>
      </c>
      <c r="C227" s="94"/>
      <c r="D227" s="95"/>
      <c r="E227" s="94" t="s">
        <v>346</v>
      </c>
      <c r="F227" s="91" t="str">
        <f t="shared" si="29"/>
        <v/>
      </c>
      <c r="G227" s="91" t="str">
        <f t="shared" si="30"/>
        <v/>
      </c>
      <c r="H227" s="91" t="str">
        <f t="shared" si="39"/>
        <v/>
      </c>
      <c r="I227" s="79">
        <f t="shared" si="21"/>
        <v>41</v>
      </c>
      <c r="J227" s="76"/>
      <c r="K227" s="74"/>
      <c r="L227" s="75"/>
      <c r="M227" s="74"/>
      <c r="N227" s="74"/>
      <c r="O227" s="74"/>
      <c r="P227" s="74"/>
      <c r="Q227" s="74"/>
      <c r="R227" s="74"/>
      <c r="S227" s="74"/>
      <c r="T227" s="74"/>
      <c r="U227" s="74"/>
      <c r="V227" s="74"/>
      <c r="W227" s="74"/>
      <c r="X227" s="74"/>
      <c r="Y227" s="74"/>
    </row>
    <row r="228" spans="1:25" ht="50.45" outlineLevel="1">
      <c r="A228" s="74"/>
      <c r="B228" s="91" t="str">
        <f t="shared" si="38"/>
        <v/>
      </c>
      <c r="C228" s="94"/>
      <c r="D228" s="95"/>
      <c r="E228" s="94" t="s">
        <v>347</v>
      </c>
      <c r="F228" s="91" t="str">
        <f t="shared" si="29"/>
        <v/>
      </c>
      <c r="G228" s="91" t="str">
        <f t="shared" si="30"/>
        <v/>
      </c>
      <c r="H228" s="91" t="str">
        <f t="shared" si="39"/>
        <v/>
      </c>
      <c r="I228" s="79">
        <f t="shared" si="21"/>
        <v>41</v>
      </c>
      <c r="J228" s="76"/>
      <c r="K228" s="74"/>
      <c r="L228" s="75"/>
      <c r="M228" s="74"/>
      <c r="N228" s="74"/>
      <c r="O228" s="74"/>
      <c r="P228" s="74"/>
      <c r="Q228" s="74"/>
      <c r="R228" s="74"/>
      <c r="S228" s="74"/>
      <c r="T228" s="74"/>
      <c r="U228" s="74"/>
      <c r="V228" s="74"/>
      <c r="W228" s="74"/>
      <c r="X228" s="74"/>
      <c r="Y228" s="74"/>
    </row>
    <row r="229" spans="1:25" ht="50.45" outlineLevel="1">
      <c r="A229" s="74"/>
      <c r="B229" s="91" t="str">
        <f t="shared" si="38"/>
        <v/>
      </c>
      <c r="C229" s="94"/>
      <c r="D229" s="95"/>
      <c r="E229" s="94" t="s">
        <v>348</v>
      </c>
      <c r="F229" s="91" t="str">
        <f t="shared" si="29"/>
        <v/>
      </c>
      <c r="G229" s="91" t="str">
        <f t="shared" si="30"/>
        <v/>
      </c>
      <c r="H229" s="91" t="str">
        <f t="shared" si="39"/>
        <v/>
      </c>
      <c r="I229" s="79">
        <f t="shared" si="21"/>
        <v>41</v>
      </c>
      <c r="J229" s="76"/>
      <c r="K229" s="74"/>
      <c r="L229" s="75"/>
      <c r="M229" s="74"/>
      <c r="N229" s="74"/>
      <c r="O229" s="74"/>
      <c r="P229" s="74"/>
      <c r="Q229" s="74"/>
      <c r="R229" s="74"/>
      <c r="S229" s="74"/>
      <c r="T229" s="74"/>
      <c r="U229" s="74"/>
      <c r="V229" s="74"/>
      <c r="W229" s="74"/>
      <c r="X229" s="74"/>
      <c r="Y229" s="74"/>
    </row>
    <row r="230" spans="1:25" ht="50.45" outlineLevel="1">
      <c r="A230" s="74"/>
      <c r="B230" s="91" t="str">
        <f t="shared" si="38"/>
        <v/>
      </c>
      <c r="C230" s="94"/>
      <c r="D230" s="95"/>
      <c r="E230" s="94" t="s">
        <v>349</v>
      </c>
      <c r="F230" s="91" t="str">
        <f t="shared" si="29"/>
        <v/>
      </c>
      <c r="G230" s="91" t="str">
        <f t="shared" si="30"/>
        <v/>
      </c>
      <c r="H230" s="91" t="str">
        <f t="shared" si="39"/>
        <v/>
      </c>
      <c r="I230" s="79">
        <f t="shared" si="21"/>
        <v>41</v>
      </c>
      <c r="J230" s="76"/>
      <c r="K230" s="74"/>
      <c r="L230" s="75"/>
      <c r="M230" s="74"/>
      <c r="N230" s="74"/>
      <c r="O230" s="74"/>
      <c r="P230" s="74"/>
      <c r="Q230" s="74"/>
      <c r="R230" s="74"/>
      <c r="S230" s="74"/>
      <c r="T230" s="74"/>
      <c r="U230" s="74"/>
      <c r="V230" s="74"/>
      <c r="W230" s="74"/>
      <c r="X230" s="74"/>
      <c r="Y230" s="74"/>
    </row>
    <row r="231" spans="1:25" ht="50.45" outlineLevel="1">
      <c r="A231" s="74"/>
      <c r="B231" s="91" t="str">
        <f t="shared" si="38"/>
        <v/>
      </c>
      <c r="C231" s="94"/>
      <c r="D231" s="95"/>
      <c r="E231" s="94" t="s">
        <v>350</v>
      </c>
      <c r="F231" s="91" t="str">
        <f t="shared" si="29"/>
        <v/>
      </c>
      <c r="G231" s="91" t="str">
        <f t="shared" si="30"/>
        <v/>
      </c>
      <c r="H231" s="91" t="str">
        <f t="shared" si="39"/>
        <v/>
      </c>
      <c r="I231" s="79">
        <f t="shared" si="21"/>
        <v>41</v>
      </c>
      <c r="J231" s="76"/>
      <c r="K231" s="74"/>
      <c r="L231" s="75"/>
      <c r="M231" s="74"/>
      <c r="N231" s="74"/>
      <c r="O231" s="74"/>
      <c r="P231" s="74"/>
      <c r="Q231" s="74"/>
      <c r="R231" s="74"/>
      <c r="S231" s="74"/>
      <c r="T231" s="74"/>
      <c r="U231" s="74"/>
      <c r="V231" s="74"/>
      <c r="W231" s="74"/>
      <c r="X231" s="74"/>
      <c r="Y231" s="74"/>
    </row>
    <row r="232" spans="1:25" ht="18" outlineLevel="1">
      <c r="A232" s="74"/>
      <c r="B232" s="79">
        <f t="shared" si="38"/>
        <v>42</v>
      </c>
      <c r="C232" s="94" t="s">
        <v>351</v>
      </c>
      <c r="D232" s="95" t="s">
        <v>127</v>
      </c>
      <c r="E232" s="94"/>
      <c r="F232" s="91" t="str">
        <f t="shared" si="29"/>
        <v>B</v>
      </c>
      <c r="G232" s="91" t="str">
        <f t="shared" si="30"/>
        <v>Trung bình</v>
      </c>
      <c r="H232" s="91">
        <f t="shared" si="39"/>
        <v>6</v>
      </c>
      <c r="I232" s="79" t="str">
        <f t="shared" si="21"/>
        <v/>
      </c>
      <c r="J232" s="76"/>
      <c r="K232" s="74"/>
      <c r="L232" s="75"/>
      <c r="M232" s="74"/>
      <c r="N232" s="74"/>
      <c r="O232" s="74"/>
      <c r="P232" s="74"/>
      <c r="Q232" s="74"/>
      <c r="R232" s="74"/>
      <c r="S232" s="74"/>
      <c r="T232" s="74"/>
      <c r="U232" s="74"/>
      <c r="V232" s="74"/>
      <c r="W232" s="74"/>
      <c r="X232" s="74"/>
      <c r="Y232" s="74"/>
    </row>
    <row r="233" spans="1:25" ht="33.6" outlineLevel="1">
      <c r="A233" s="74"/>
      <c r="B233" s="91" t="str">
        <f t="shared" si="38"/>
        <v/>
      </c>
      <c r="C233" s="94"/>
      <c r="D233" s="95"/>
      <c r="E233" s="94" t="s">
        <v>352</v>
      </c>
      <c r="F233" s="91" t="str">
        <f t="shared" si="29"/>
        <v/>
      </c>
      <c r="G233" s="91" t="str">
        <f t="shared" si="30"/>
        <v/>
      </c>
      <c r="H233" s="91" t="str">
        <f t="shared" si="39"/>
        <v/>
      </c>
      <c r="I233" s="79">
        <f t="shared" si="21"/>
        <v>42</v>
      </c>
      <c r="J233" s="76"/>
      <c r="K233" s="74"/>
      <c r="L233" s="75"/>
      <c r="M233" s="74"/>
      <c r="N233" s="74"/>
      <c r="O233" s="74"/>
      <c r="P233" s="74"/>
      <c r="Q233" s="74"/>
      <c r="R233" s="74"/>
      <c r="S233" s="74"/>
      <c r="T233" s="74"/>
      <c r="U233" s="74"/>
      <c r="V233" s="74"/>
      <c r="W233" s="74"/>
      <c r="X233" s="74"/>
      <c r="Y233" s="74"/>
    </row>
    <row r="234" spans="1:25" ht="50.45" outlineLevel="1">
      <c r="A234" s="74"/>
      <c r="B234" s="91" t="str">
        <f t="shared" si="38"/>
        <v/>
      </c>
      <c r="C234" s="94"/>
      <c r="D234" s="95"/>
      <c r="E234" s="94" t="s">
        <v>353</v>
      </c>
      <c r="F234" s="91" t="str">
        <f t="shared" si="29"/>
        <v/>
      </c>
      <c r="G234" s="91" t="str">
        <f t="shared" si="30"/>
        <v/>
      </c>
      <c r="H234" s="91" t="str">
        <f t="shared" si="39"/>
        <v/>
      </c>
      <c r="I234" s="79">
        <f t="shared" si="21"/>
        <v>42</v>
      </c>
      <c r="J234" s="76"/>
      <c r="K234" s="74"/>
      <c r="L234" s="75"/>
      <c r="M234" s="74"/>
      <c r="N234" s="74"/>
      <c r="O234" s="74"/>
      <c r="P234" s="74"/>
      <c r="Q234" s="74"/>
      <c r="R234" s="74"/>
      <c r="S234" s="74"/>
      <c r="T234" s="74"/>
      <c r="U234" s="74"/>
      <c r="V234" s="74"/>
      <c r="W234" s="74"/>
      <c r="X234" s="74"/>
      <c r="Y234" s="74"/>
    </row>
    <row r="235" spans="1:25" ht="33.6" outlineLevel="1">
      <c r="A235" s="74"/>
      <c r="B235" s="91" t="str">
        <f t="shared" si="38"/>
        <v/>
      </c>
      <c r="C235" s="94"/>
      <c r="D235" s="95"/>
      <c r="E235" s="94" t="s">
        <v>354</v>
      </c>
      <c r="F235" s="91" t="str">
        <f t="shared" si="29"/>
        <v/>
      </c>
      <c r="G235" s="91" t="str">
        <f t="shared" si="30"/>
        <v/>
      </c>
      <c r="H235" s="91" t="str">
        <f t="shared" si="39"/>
        <v/>
      </c>
      <c r="I235" s="79">
        <f t="shared" si="21"/>
        <v>42</v>
      </c>
      <c r="J235" s="76"/>
      <c r="K235" s="74"/>
      <c r="L235" s="75"/>
      <c r="M235" s="74"/>
      <c r="N235" s="74"/>
      <c r="O235" s="74"/>
      <c r="P235" s="74"/>
      <c r="Q235" s="74"/>
      <c r="R235" s="74"/>
      <c r="S235" s="74"/>
      <c r="T235" s="74"/>
      <c r="U235" s="74"/>
      <c r="V235" s="74"/>
      <c r="W235" s="74"/>
      <c r="X235" s="74"/>
      <c r="Y235" s="74"/>
    </row>
    <row r="236" spans="1:25" ht="33.6" outlineLevel="1">
      <c r="A236" s="74"/>
      <c r="B236" s="91" t="str">
        <f t="shared" si="38"/>
        <v/>
      </c>
      <c r="C236" s="94"/>
      <c r="D236" s="95"/>
      <c r="E236" s="94" t="s">
        <v>355</v>
      </c>
      <c r="F236" s="91" t="str">
        <f t="shared" si="29"/>
        <v/>
      </c>
      <c r="G236" s="91" t="str">
        <f t="shared" si="30"/>
        <v/>
      </c>
      <c r="H236" s="91" t="str">
        <f t="shared" si="39"/>
        <v/>
      </c>
      <c r="I236" s="79">
        <f t="shared" si="21"/>
        <v>42</v>
      </c>
      <c r="J236" s="76"/>
      <c r="K236" s="74"/>
      <c r="L236" s="75"/>
      <c r="M236" s="74"/>
      <c r="N236" s="74"/>
      <c r="O236" s="74"/>
      <c r="P236" s="74"/>
      <c r="Q236" s="74"/>
      <c r="R236" s="74"/>
      <c r="S236" s="74"/>
      <c r="T236" s="74"/>
      <c r="U236" s="74"/>
      <c r="V236" s="74"/>
      <c r="W236" s="74"/>
      <c r="X236" s="74"/>
      <c r="Y236" s="74"/>
    </row>
    <row r="237" spans="1:25" ht="33.6" outlineLevel="1">
      <c r="A237" s="74"/>
      <c r="B237" s="91" t="str">
        <f t="shared" si="38"/>
        <v/>
      </c>
      <c r="C237" s="94"/>
      <c r="D237" s="95"/>
      <c r="E237" s="94" t="s">
        <v>356</v>
      </c>
      <c r="F237" s="91" t="str">
        <f t="shared" si="29"/>
        <v/>
      </c>
      <c r="G237" s="91" t="str">
        <f t="shared" si="30"/>
        <v/>
      </c>
      <c r="H237" s="91" t="str">
        <f t="shared" si="39"/>
        <v/>
      </c>
      <c r="I237" s="79">
        <f t="shared" si="21"/>
        <v>42</v>
      </c>
      <c r="J237" s="76"/>
      <c r="K237" s="74"/>
      <c r="L237" s="75"/>
      <c r="M237" s="74"/>
      <c r="N237" s="74"/>
      <c r="O237" s="74"/>
      <c r="P237" s="74"/>
      <c r="Q237" s="74"/>
      <c r="R237" s="74"/>
      <c r="S237" s="74"/>
      <c r="T237" s="74"/>
      <c r="U237" s="74"/>
      <c r="V237" s="74"/>
      <c r="W237" s="74"/>
      <c r="X237" s="74"/>
      <c r="Y237" s="74"/>
    </row>
    <row r="238" spans="1:25" ht="33.6" outlineLevel="1">
      <c r="A238" s="74"/>
      <c r="B238" s="91" t="str">
        <f t="shared" si="38"/>
        <v/>
      </c>
      <c r="C238" s="94"/>
      <c r="D238" s="95"/>
      <c r="E238" s="94" t="s">
        <v>357</v>
      </c>
      <c r="F238" s="91" t="str">
        <f t="shared" si="29"/>
        <v/>
      </c>
      <c r="G238" s="91" t="str">
        <f t="shared" si="30"/>
        <v/>
      </c>
      <c r="H238" s="91" t="str">
        <f t="shared" si="39"/>
        <v/>
      </c>
      <c r="I238" s="79">
        <f t="shared" si="21"/>
        <v>42</v>
      </c>
      <c r="J238" s="76"/>
      <c r="K238" s="74"/>
      <c r="L238" s="75"/>
      <c r="M238" s="74"/>
      <c r="N238" s="74"/>
      <c r="O238" s="74"/>
      <c r="P238" s="74"/>
      <c r="Q238" s="74"/>
      <c r="R238" s="74"/>
      <c r="S238" s="74"/>
      <c r="T238" s="74"/>
      <c r="U238" s="74"/>
      <c r="V238" s="74"/>
      <c r="W238" s="74"/>
      <c r="X238" s="74"/>
      <c r="Y238" s="74"/>
    </row>
    <row r="239" spans="1:25" ht="33.6" outlineLevel="1">
      <c r="A239" s="74"/>
      <c r="B239" s="79">
        <f t="shared" si="38"/>
        <v>43</v>
      </c>
      <c r="C239" s="94" t="s">
        <v>358</v>
      </c>
      <c r="D239" s="95" t="s">
        <v>127</v>
      </c>
      <c r="E239" s="94"/>
      <c r="F239" s="91" t="str">
        <f t="shared" si="29"/>
        <v>B</v>
      </c>
      <c r="G239" s="91" t="str">
        <f t="shared" si="30"/>
        <v>Phức tạp</v>
      </c>
      <c r="H239" s="91">
        <f t="shared" si="39"/>
        <v>8</v>
      </c>
      <c r="I239" s="79" t="str">
        <f t="shared" si="21"/>
        <v/>
      </c>
      <c r="J239" s="76"/>
      <c r="K239" s="74"/>
      <c r="L239" s="75"/>
      <c r="M239" s="74"/>
      <c r="N239" s="74"/>
      <c r="O239" s="74"/>
      <c r="P239" s="74"/>
      <c r="Q239" s="74"/>
      <c r="R239" s="74"/>
      <c r="S239" s="74"/>
      <c r="T239" s="74"/>
      <c r="U239" s="74"/>
      <c r="V239" s="74"/>
      <c r="W239" s="74"/>
      <c r="X239" s="74"/>
      <c r="Y239" s="74"/>
    </row>
    <row r="240" spans="1:25" ht="33.6" outlineLevel="1">
      <c r="A240" s="74"/>
      <c r="B240" s="91" t="str">
        <f t="shared" si="38"/>
        <v/>
      </c>
      <c r="C240" s="94"/>
      <c r="D240" s="95"/>
      <c r="E240" s="94" t="s">
        <v>359</v>
      </c>
      <c r="F240" s="91" t="str">
        <f t="shared" si="29"/>
        <v/>
      </c>
      <c r="G240" s="91" t="str">
        <f t="shared" si="30"/>
        <v/>
      </c>
      <c r="H240" s="91" t="str">
        <f t="shared" si="39"/>
        <v/>
      </c>
      <c r="I240" s="79">
        <f t="shared" si="21"/>
        <v>43</v>
      </c>
      <c r="J240" s="76"/>
      <c r="K240" s="74"/>
      <c r="L240" s="75"/>
      <c r="M240" s="74"/>
      <c r="N240" s="74"/>
      <c r="O240" s="74"/>
      <c r="P240" s="74"/>
      <c r="Q240" s="74"/>
      <c r="R240" s="74"/>
      <c r="S240" s="74"/>
      <c r="T240" s="74"/>
      <c r="U240" s="74"/>
      <c r="V240" s="74"/>
      <c r="W240" s="74"/>
      <c r="X240" s="74"/>
      <c r="Y240" s="74"/>
    </row>
    <row r="241" spans="1:25" ht="50.45" outlineLevel="1">
      <c r="A241" s="74"/>
      <c r="B241" s="91" t="str">
        <f t="shared" si="38"/>
        <v/>
      </c>
      <c r="C241" s="94"/>
      <c r="D241" s="95"/>
      <c r="E241" s="94" t="s">
        <v>360</v>
      </c>
      <c r="F241" s="91" t="str">
        <f t="shared" si="29"/>
        <v/>
      </c>
      <c r="G241" s="91" t="str">
        <f t="shared" si="30"/>
        <v/>
      </c>
      <c r="H241" s="91" t="str">
        <f t="shared" si="39"/>
        <v/>
      </c>
      <c r="I241" s="79">
        <f t="shared" si="21"/>
        <v>43</v>
      </c>
      <c r="J241" s="76"/>
      <c r="K241" s="74"/>
      <c r="L241" s="75"/>
      <c r="M241" s="74"/>
      <c r="N241" s="74"/>
      <c r="O241" s="74"/>
      <c r="P241" s="74"/>
      <c r="Q241" s="74"/>
      <c r="R241" s="74"/>
      <c r="S241" s="74"/>
      <c r="T241" s="74"/>
      <c r="U241" s="74"/>
      <c r="V241" s="74"/>
      <c r="W241" s="74"/>
      <c r="X241" s="74"/>
      <c r="Y241" s="74"/>
    </row>
    <row r="242" spans="1:25" ht="33.6" outlineLevel="1">
      <c r="A242" s="74"/>
      <c r="B242" s="91" t="str">
        <f t="shared" si="38"/>
        <v/>
      </c>
      <c r="C242" s="94"/>
      <c r="D242" s="95"/>
      <c r="E242" s="94" t="s">
        <v>361</v>
      </c>
      <c r="F242" s="91" t="str">
        <f t="shared" si="29"/>
        <v/>
      </c>
      <c r="G242" s="91" t="str">
        <f t="shared" si="30"/>
        <v/>
      </c>
      <c r="H242" s="91" t="str">
        <f t="shared" si="39"/>
        <v/>
      </c>
      <c r="I242" s="79">
        <f t="shared" si="21"/>
        <v>43</v>
      </c>
      <c r="J242" s="76"/>
      <c r="K242" s="74"/>
      <c r="L242" s="75"/>
      <c r="M242" s="74"/>
      <c r="N242" s="74"/>
      <c r="O242" s="74"/>
      <c r="P242" s="74"/>
      <c r="Q242" s="74"/>
      <c r="R242" s="74"/>
      <c r="S242" s="74"/>
      <c r="T242" s="74"/>
      <c r="U242" s="74"/>
      <c r="V242" s="74"/>
      <c r="W242" s="74"/>
      <c r="X242" s="74"/>
      <c r="Y242" s="74"/>
    </row>
    <row r="243" spans="1:25" ht="33.6" outlineLevel="1">
      <c r="A243" s="74"/>
      <c r="B243" s="91" t="str">
        <f t="shared" si="38"/>
        <v/>
      </c>
      <c r="C243" s="94"/>
      <c r="D243" s="95"/>
      <c r="E243" s="94" t="s">
        <v>362</v>
      </c>
      <c r="F243" s="91" t="str">
        <f t="shared" si="29"/>
        <v/>
      </c>
      <c r="G243" s="91" t="str">
        <f t="shared" si="30"/>
        <v/>
      </c>
      <c r="H243" s="91" t="str">
        <f t="shared" si="39"/>
        <v/>
      </c>
      <c r="I243" s="79">
        <f t="shared" si="21"/>
        <v>43</v>
      </c>
      <c r="J243" s="76"/>
      <c r="K243" s="74"/>
      <c r="L243" s="75"/>
      <c r="M243" s="74"/>
      <c r="N243" s="74"/>
      <c r="O243" s="74"/>
      <c r="P243" s="74"/>
      <c r="Q243" s="74"/>
      <c r="R243" s="74"/>
      <c r="S243" s="74"/>
      <c r="T243" s="74"/>
      <c r="U243" s="74"/>
      <c r="V243" s="74"/>
      <c r="W243" s="74"/>
      <c r="X243" s="74"/>
      <c r="Y243" s="74"/>
    </row>
    <row r="244" spans="1:25" ht="50.45" outlineLevel="1">
      <c r="A244" s="74"/>
      <c r="B244" s="91" t="str">
        <f t="shared" si="38"/>
        <v/>
      </c>
      <c r="C244" s="94"/>
      <c r="D244" s="95"/>
      <c r="E244" s="94" t="s">
        <v>363</v>
      </c>
      <c r="F244" s="91" t="str">
        <f t="shared" si="29"/>
        <v/>
      </c>
      <c r="G244" s="91" t="str">
        <f t="shared" si="30"/>
        <v/>
      </c>
      <c r="H244" s="91" t="str">
        <f t="shared" si="39"/>
        <v/>
      </c>
      <c r="I244" s="79">
        <f t="shared" si="21"/>
        <v>43</v>
      </c>
      <c r="J244" s="76"/>
      <c r="K244" s="74"/>
      <c r="L244" s="75"/>
      <c r="M244" s="74"/>
      <c r="N244" s="74"/>
      <c r="O244" s="74"/>
      <c r="P244" s="74"/>
      <c r="Q244" s="74"/>
      <c r="R244" s="74"/>
      <c r="S244" s="74"/>
      <c r="T244" s="74"/>
      <c r="U244" s="74"/>
      <c r="V244" s="74"/>
      <c r="W244" s="74"/>
      <c r="X244" s="74"/>
      <c r="Y244" s="74"/>
    </row>
    <row r="245" spans="1:25" ht="50.45" outlineLevel="1">
      <c r="A245" s="74"/>
      <c r="B245" s="91" t="str">
        <f t="shared" si="38"/>
        <v/>
      </c>
      <c r="C245" s="94"/>
      <c r="D245" s="95"/>
      <c r="E245" s="94" t="s">
        <v>364</v>
      </c>
      <c r="F245" s="91" t="str">
        <f t="shared" si="29"/>
        <v/>
      </c>
      <c r="G245" s="91" t="str">
        <f t="shared" si="30"/>
        <v/>
      </c>
      <c r="H245" s="91" t="str">
        <f t="shared" si="39"/>
        <v/>
      </c>
      <c r="I245" s="79">
        <f t="shared" si="21"/>
        <v>43</v>
      </c>
      <c r="J245" s="76"/>
      <c r="K245" s="74"/>
      <c r="L245" s="75"/>
      <c r="M245" s="74"/>
      <c r="N245" s="74"/>
      <c r="O245" s="74"/>
      <c r="P245" s="74"/>
      <c r="Q245" s="74"/>
      <c r="R245" s="74"/>
      <c r="S245" s="74"/>
      <c r="T245" s="74"/>
      <c r="U245" s="74"/>
      <c r="V245" s="74"/>
      <c r="W245" s="74"/>
      <c r="X245" s="74"/>
      <c r="Y245" s="74"/>
    </row>
    <row r="246" spans="1:25" ht="33.6" outlineLevel="1">
      <c r="A246" s="74"/>
      <c r="B246" s="91" t="str">
        <f t="shared" si="38"/>
        <v/>
      </c>
      <c r="C246" s="94"/>
      <c r="D246" s="95"/>
      <c r="E246" s="94" t="s">
        <v>365</v>
      </c>
      <c r="F246" s="91" t="str">
        <f t="shared" si="29"/>
        <v/>
      </c>
      <c r="G246" s="91" t="str">
        <f t="shared" si="30"/>
        <v/>
      </c>
      <c r="H246" s="91" t="str">
        <f t="shared" si="39"/>
        <v/>
      </c>
      <c r="I246" s="79">
        <f t="shared" si="21"/>
        <v>43</v>
      </c>
      <c r="J246" s="76"/>
      <c r="K246" s="74"/>
      <c r="L246" s="75"/>
      <c r="M246" s="74"/>
      <c r="N246" s="74"/>
      <c r="O246" s="74"/>
      <c r="P246" s="74"/>
      <c r="Q246" s="74"/>
      <c r="R246" s="74"/>
      <c r="S246" s="74"/>
      <c r="T246" s="74"/>
      <c r="U246" s="74"/>
      <c r="V246" s="74"/>
      <c r="W246" s="74"/>
      <c r="X246" s="74"/>
      <c r="Y246" s="74"/>
    </row>
    <row r="247" spans="1:25" ht="50.45" outlineLevel="1">
      <c r="A247" s="74"/>
      <c r="B247" s="91" t="str">
        <f t="shared" si="38"/>
        <v/>
      </c>
      <c r="C247" s="94"/>
      <c r="D247" s="95"/>
      <c r="E247" s="94" t="s">
        <v>366</v>
      </c>
      <c r="F247" s="91" t="str">
        <f t="shared" si="29"/>
        <v/>
      </c>
      <c r="G247" s="91" t="str">
        <f t="shared" si="30"/>
        <v/>
      </c>
      <c r="H247" s="91" t="str">
        <f t="shared" si="39"/>
        <v/>
      </c>
      <c r="I247" s="79">
        <f t="shared" si="21"/>
        <v>43</v>
      </c>
      <c r="J247" s="76"/>
      <c r="K247" s="74"/>
      <c r="L247" s="75"/>
      <c r="M247" s="74"/>
      <c r="N247" s="74"/>
      <c r="O247" s="74"/>
      <c r="P247" s="74"/>
      <c r="Q247" s="74"/>
      <c r="R247" s="74"/>
      <c r="S247" s="74"/>
      <c r="T247" s="74"/>
      <c r="U247" s="74"/>
      <c r="V247" s="74"/>
      <c r="W247" s="74"/>
      <c r="X247" s="74"/>
      <c r="Y247" s="74"/>
    </row>
    <row r="248" spans="1:25" ht="18" outlineLevel="1">
      <c r="A248" s="74"/>
      <c r="B248" s="79">
        <f t="shared" si="38"/>
        <v>44</v>
      </c>
      <c r="C248" s="94" t="s">
        <v>367</v>
      </c>
      <c r="D248" s="95" t="s">
        <v>127</v>
      </c>
      <c r="E248" s="94"/>
      <c r="F248" s="91" t="str">
        <f t="shared" si="29"/>
        <v>B</v>
      </c>
      <c r="G248" s="91" t="str">
        <f t="shared" si="30"/>
        <v>Phức tạp</v>
      </c>
      <c r="H248" s="91">
        <f t="shared" si="39"/>
        <v>8</v>
      </c>
      <c r="I248" s="79" t="str">
        <f t="shared" si="21"/>
        <v/>
      </c>
      <c r="J248" s="76"/>
      <c r="K248" s="74"/>
      <c r="L248" s="75"/>
      <c r="M248" s="74"/>
      <c r="N248" s="74"/>
      <c r="O248" s="74"/>
      <c r="P248" s="74"/>
      <c r="Q248" s="74"/>
      <c r="R248" s="74"/>
      <c r="S248" s="74"/>
      <c r="T248" s="74"/>
      <c r="U248" s="74"/>
      <c r="V248" s="74"/>
      <c r="W248" s="74"/>
      <c r="X248" s="74"/>
      <c r="Y248" s="74"/>
    </row>
    <row r="249" spans="1:25" ht="50.45" outlineLevel="1">
      <c r="A249" s="74"/>
      <c r="B249" s="91" t="str">
        <f t="shared" si="38"/>
        <v/>
      </c>
      <c r="C249" s="94"/>
      <c r="D249" s="95"/>
      <c r="E249" s="94" t="s">
        <v>368</v>
      </c>
      <c r="F249" s="91" t="str">
        <f t="shared" si="29"/>
        <v/>
      </c>
      <c r="G249" s="91" t="str">
        <f t="shared" si="30"/>
        <v/>
      </c>
      <c r="H249" s="91" t="str">
        <f t="shared" si="39"/>
        <v/>
      </c>
      <c r="I249" s="79">
        <f t="shared" si="21"/>
        <v>44</v>
      </c>
      <c r="J249" s="76"/>
      <c r="K249" s="74"/>
      <c r="L249" s="75"/>
      <c r="M249" s="74"/>
      <c r="N249" s="74"/>
      <c r="O249" s="74"/>
      <c r="P249" s="74"/>
      <c r="Q249" s="74"/>
      <c r="R249" s="74"/>
      <c r="S249" s="74"/>
      <c r="T249" s="74"/>
      <c r="U249" s="74"/>
      <c r="V249" s="74"/>
      <c r="W249" s="74"/>
      <c r="X249" s="74"/>
      <c r="Y249" s="74"/>
    </row>
    <row r="250" spans="1:25" ht="50.45" outlineLevel="1">
      <c r="A250" s="74"/>
      <c r="B250" s="91" t="str">
        <f t="shared" si="38"/>
        <v/>
      </c>
      <c r="C250" s="94"/>
      <c r="D250" s="95"/>
      <c r="E250" s="94" t="s">
        <v>369</v>
      </c>
      <c r="F250" s="91" t="str">
        <f t="shared" si="29"/>
        <v/>
      </c>
      <c r="G250" s="91" t="str">
        <f t="shared" si="30"/>
        <v/>
      </c>
      <c r="H250" s="91" t="str">
        <f t="shared" si="39"/>
        <v/>
      </c>
      <c r="I250" s="79">
        <f t="shared" si="21"/>
        <v>44</v>
      </c>
      <c r="J250" s="76"/>
      <c r="K250" s="74"/>
      <c r="L250" s="75"/>
      <c r="M250" s="74"/>
      <c r="N250" s="74"/>
      <c r="O250" s="74"/>
      <c r="P250" s="74"/>
      <c r="Q250" s="74"/>
      <c r="R250" s="74"/>
      <c r="S250" s="74"/>
      <c r="T250" s="74"/>
      <c r="U250" s="74"/>
      <c r="V250" s="74"/>
      <c r="W250" s="74"/>
      <c r="X250" s="74"/>
      <c r="Y250" s="74"/>
    </row>
    <row r="251" spans="1:25" ht="50.45" outlineLevel="1">
      <c r="A251" s="74"/>
      <c r="B251" s="91" t="str">
        <f t="shared" si="38"/>
        <v/>
      </c>
      <c r="C251" s="94"/>
      <c r="D251" s="95"/>
      <c r="E251" s="94" t="s">
        <v>370</v>
      </c>
      <c r="F251" s="91" t="str">
        <f t="shared" si="29"/>
        <v/>
      </c>
      <c r="G251" s="91" t="str">
        <f t="shared" si="30"/>
        <v/>
      </c>
      <c r="H251" s="91" t="str">
        <f t="shared" si="39"/>
        <v/>
      </c>
      <c r="I251" s="79">
        <f t="shared" si="21"/>
        <v>44</v>
      </c>
      <c r="J251" s="76"/>
      <c r="K251" s="74"/>
      <c r="L251" s="75"/>
      <c r="M251" s="74"/>
      <c r="N251" s="74"/>
      <c r="O251" s="74"/>
      <c r="P251" s="74"/>
      <c r="Q251" s="74"/>
      <c r="R251" s="74"/>
      <c r="S251" s="74"/>
      <c r="T251" s="74"/>
      <c r="U251" s="74"/>
      <c r="V251" s="74"/>
      <c r="W251" s="74"/>
      <c r="X251" s="74"/>
      <c r="Y251" s="74"/>
    </row>
    <row r="252" spans="1:25" ht="50.45" outlineLevel="1">
      <c r="A252" s="74"/>
      <c r="B252" s="91" t="str">
        <f t="shared" si="38"/>
        <v/>
      </c>
      <c r="C252" s="94"/>
      <c r="D252" s="95"/>
      <c r="E252" s="94" t="s">
        <v>371</v>
      </c>
      <c r="F252" s="91" t="str">
        <f t="shared" si="29"/>
        <v/>
      </c>
      <c r="G252" s="91" t="str">
        <f t="shared" si="30"/>
        <v/>
      </c>
      <c r="H252" s="91" t="str">
        <f t="shared" si="39"/>
        <v/>
      </c>
      <c r="I252" s="79">
        <f t="shared" si="21"/>
        <v>44</v>
      </c>
      <c r="J252" s="76"/>
      <c r="K252" s="74"/>
      <c r="L252" s="75"/>
      <c r="M252" s="74"/>
      <c r="N252" s="74"/>
      <c r="O252" s="74"/>
      <c r="P252" s="74"/>
      <c r="Q252" s="74"/>
      <c r="R252" s="74"/>
      <c r="S252" s="74"/>
      <c r="T252" s="74"/>
      <c r="U252" s="74"/>
      <c r="V252" s="74"/>
      <c r="W252" s="74"/>
      <c r="X252" s="74"/>
      <c r="Y252" s="74"/>
    </row>
    <row r="253" spans="1:25" ht="33.6" outlineLevel="1">
      <c r="A253" s="74"/>
      <c r="B253" s="91" t="str">
        <f t="shared" si="38"/>
        <v/>
      </c>
      <c r="C253" s="94"/>
      <c r="D253" s="95"/>
      <c r="E253" s="94" t="s">
        <v>372</v>
      </c>
      <c r="F253" s="91" t="str">
        <f t="shared" si="29"/>
        <v/>
      </c>
      <c r="G253" s="91" t="str">
        <f t="shared" si="30"/>
        <v/>
      </c>
      <c r="H253" s="91" t="str">
        <f t="shared" si="39"/>
        <v/>
      </c>
      <c r="I253" s="79">
        <f t="shared" si="21"/>
        <v>44</v>
      </c>
      <c r="J253" s="76"/>
      <c r="K253" s="74"/>
      <c r="L253" s="75"/>
      <c r="M253" s="74"/>
      <c r="N253" s="74"/>
      <c r="O253" s="74"/>
      <c r="P253" s="74"/>
      <c r="Q253" s="74"/>
      <c r="R253" s="74"/>
      <c r="S253" s="74"/>
      <c r="T253" s="74"/>
      <c r="U253" s="74"/>
      <c r="V253" s="74"/>
      <c r="W253" s="74"/>
      <c r="X253" s="74"/>
      <c r="Y253" s="74"/>
    </row>
    <row r="254" spans="1:25" ht="33.6" outlineLevel="1">
      <c r="A254" s="74"/>
      <c r="B254" s="91" t="str">
        <f t="shared" si="38"/>
        <v/>
      </c>
      <c r="C254" s="94"/>
      <c r="D254" s="95"/>
      <c r="E254" s="94" t="s">
        <v>373</v>
      </c>
      <c r="F254" s="91" t="str">
        <f t="shared" si="29"/>
        <v/>
      </c>
      <c r="G254" s="91" t="str">
        <f t="shared" si="30"/>
        <v/>
      </c>
      <c r="H254" s="91" t="str">
        <f t="shared" si="39"/>
        <v/>
      </c>
      <c r="I254" s="79">
        <f t="shared" si="21"/>
        <v>44</v>
      </c>
      <c r="J254" s="76"/>
      <c r="K254" s="74"/>
      <c r="L254" s="75"/>
      <c r="M254" s="74"/>
      <c r="N254" s="74"/>
      <c r="O254" s="74"/>
      <c r="P254" s="74"/>
      <c r="Q254" s="74"/>
      <c r="R254" s="74"/>
      <c r="S254" s="74"/>
      <c r="T254" s="74"/>
      <c r="U254" s="74"/>
      <c r="V254" s="74"/>
      <c r="W254" s="74"/>
      <c r="X254" s="74"/>
      <c r="Y254" s="74"/>
    </row>
    <row r="255" spans="1:25" ht="33.6" outlineLevel="1">
      <c r="A255" s="74"/>
      <c r="B255" s="91" t="str">
        <f t="shared" si="38"/>
        <v/>
      </c>
      <c r="C255" s="94"/>
      <c r="D255" s="95"/>
      <c r="E255" s="94" t="s">
        <v>374</v>
      </c>
      <c r="F255" s="91" t="str">
        <f t="shared" si="29"/>
        <v/>
      </c>
      <c r="G255" s="91" t="str">
        <f t="shared" si="30"/>
        <v/>
      </c>
      <c r="H255" s="91" t="str">
        <f t="shared" si="39"/>
        <v/>
      </c>
      <c r="I255" s="79">
        <f t="shared" si="21"/>
        <v>44</v>
      </c>
      <c r="J255" s="76"/>
      <c r="K255" s="74"/>
      <c r="L255" s="75"/>
      <c r="M255" s="74"/>
      <c r="N255" s="74"/>
      <c r="O255" s="74"/>
      <c r="P255" s="74"/>
      <c r="Q255" s="74"/>
      <c r="R255" s="74"/>
      <c r="S255" s="74"/>
      <c r="T255" s="74"/>
      <c r="U255" s="74"/>
      <c r="V255" s="74"/>
      <c r="W255" s="74"/>
      <c r="X255" s="74"/>
      <c r="Y255" s="74"/>
    </row>
    <row r="256" spans="1:25" ht="50.45" outlineLevel="1">
      <c r="A256" s="74"/>
      <c r="B256" s="91" t="str">
        <f t="shared" si="38"/>
        <v/>
      </c>
      <c r="C256" s="94"/>
      <c r="D256" s="95"/>
      <c r="E256" s="94" t="s">
        <v>375</v>
      </c>
      <c r="F256" s="91" t="str">
        <f t="shared" si="29"/>
        <v/>
      </c>
      <c r="G256" s="91" t="str">
        <f t="shared" si="30"/>
        <v/>
      </c>
      <c r="H256" s="91" t="str">
        <f t="shared" si="39"/>
        <v/>
      </c>
      <c r="I256" s="79">
        <f t="shared" si="21"/>
        <v>44</v>
      </c>
      <c r="J256" s="76"/>
      <c r="K256" s="74"/>
      <c r="L256" s="75"/>
      <c r="M256" s="74"/>
      <c r="N256" s="74"/>
      <c r="O256" s="74"/>
      <c r="P256" s="74"/>
      <c r="Q256" s="74"/>
      <c r="R256" s="74"/>
      <c r="S256" s="74"/>
      <c r="T256" s="74"/>
      <c r="U256" s="74"/>
      <c r="V256" s="74"/>
      <c r="W256" s="74"/>
      <c r="X256" s="74"/>
      <c r="Y256" s="74"/>
    </row>
    <row r="257" spans="1:25" ht="18" outlineLevel="1">
      <c r="A257" s="74"/>
      <c r="B257" s="91" t="s">
        <v>31</v>
      </c>
      <c r="C257" s="96" t="s">
        <v>376</v>
      </c>
      <c r="D257" s="97"/>
      <c r="E257" s="96"/>
      <c r="F257" s="91" t="str">
        <f t="shared" si="29"/>
        <v/>
      </c>
      <c r="G257" s="91" t="str">
        <f t="shared" si="30"/>
        <v/>
      </c>
      <c r="H257" s="91" t="str">
        <f t="shared" si="39"/>
        <v/>
      </c>
      <c r="I257" s="79" t="str">
        <f t="shared" si="21"/>
        <v/>
      </c>
      <c r="J257" s="76"/>
      <c r="K257" s="74"/>
      <c r="L257" s="75"/>
      <c r="M257" s="74"/>
      <c r="N257" s="74"/>
      <c r="O257" s="74"/>
      <c r="P257" s="74"/>
      <c r="Q257" s="74"/>
      <c r="R257" s="74"/>
      <c r="S257" s="74"/>
      <c r="T257" s="74"/>
      <c r="U257" s="74"/>
      <c r="V257" s="74"/>
      <c r="W257" s="74"/>
      <c r="X257" s="74"/>
      <c r="Y257" s="74"/>
    </row>
    <row r="258" spans="1:25" ht="18" outlineLevel="1">
      <c r="A258" s="74"/>
      <c r="B258" s="91" t="s">
        <v>377</v>
      </c>
      <c r="C258" s="92" t="s">
        <v>378</v>
      </c>
      <c r="D258" s="93"/>
      <c r="E258" s="94"/>
      <c r="F258" s="91" t="str">
        <f t="shared" si="29"/>
        <v/>
      </c>
      <c r="G258" s="91" t="str">
        <f t="shared" si="30"/>
        <v/>
      </c>
      <c r="H258" s="91" t="str">
        <f t="shared" si="39"/>
        <v/>
      </c>
      <c r="I258" s="79" t="str">
        <f t="shared" si="21"/>
        <v/>
      </c>
      <c r="J258" s="76"/>
      <c r="K258" s="74"/>
      <c r="L258" s="75"/>
      <c r="M258" s="74"/>
      <c r="N258" s="74"/>
      <c r="O258" s="74"/>
      <c r="P258" s="74"/>
      <c r="Q258" s="74"/>
      <c r="R258" s="74"/>
      <c r="S258" s="74"/>
      <c r="T258" s="74"/>
      <c r="U258" s="74"/>
      <c r="V258" s="74"/>
      <c r="W258" s="74"/>
      <c r="X258" s="74"/>
      <c r="Y258" s="74"/>
    </row>
    <row r="259" spans="1:25" ht="18" outlineLevel="1">
      <c r="A259" s="74"/>
      <c r="B259" s="91">
        <f t="shared" ref="B259:B297" si="40">IF(C259="","",IF(F259="B",COUNTIF($F$6:F259,"B"),""))</f>
        <v>45</v>
      </c>
      <c r="C259" s="94" t="s">
        <v>379</v>
      </c>
      <c r="D259" s="95" t="s">
        <v>127</v>
      </c>
      <c r="E259" s="94"/>
      <c r="F259" s="91" t="str">
        <f t="shared" si="29"/>
        <v>B</v>
      </c>
      <c r="G259" s="91" t="str">
        <f t="shared" si="30"/>
        <v>Trung bình</v>
      </c>
      <c r="H259" s="91">
        <f t="shared" si="39"/>
        <v>4</v>
      </c>
      <c r="I259" s="79" t="str">
        <f t="shared" si="21"/>
        <v/>
      </c>
      <c r="J259" s="76"/>
      <c r="K259" s="74"/>
      <c r="L259" s="75"/>
      <c r="M259" s="74"/>
      <c r="N259" s="74"/>
      <c r="O259" s="74"/>
      <c r="P259" s="74"/>
      <c r="Q259" s="74"/>
      <c r="R259" s="74"/>
      <c r="S259" s="74"/>
      <c r="T259" s="74"/>
      <c r="U259" s="74"/>
      <c r="V259" s="74"/>
      <c r="W259" s="74"/>
      <c r="X259" s="74"/>
      <c r="Y259" s="74"/>
    </row>
    <row r="260" spans="1:25" ht="33.6" outlineLevel="1">
      <c r="A260" s="74"/>
      <c r="B260" s="91" t="str">
        <f t="shared" si="40"/>
        <v/>
      </c>
      <c r="C260" s="94"/>
      <c r="D260" s="95"/>
      <c r="E260" s="94" t="s">
        <v>380</v>
      </c>
      <c r="F260" s="91" t="str">
        <f t="shared" si="29"/>
        <v/>
      </c>
      <c r="G260" s="91" t="str">
        <f t="shared" si="30"/>
        <v/>
      </c>
      <c r="H260" s="91" t="str">
        <f t="shared" si="39"/>
        <v/>
      </c>
      <c r="I260" s="79">
        <f t="shared" si="21"/>
        <v>45</v>
      </c>
      <c r="J260" s="76"/>
      <c r="K260" s="74"/>
      <c r="L260" s="75"/>
      <c r="M260" s="74"/>
      <c r="N260" s="74"/>
      <c r="O260" s="74"/>
      <c r="P260" s="74"/>
      <c r="Q260" s="74"/>
      <c r="R260" s="74"/>
      <c r="S260" s="74"/>
      <c r="T260" s="74"/>
      <c r="U260" s="74"/>
      <c r="V260" s="74"/>
      <c r="W260" s="74"/>
      <c r="X260" s="74"/>
      <c r="Y260" s="74"/>
    </row>
    <row r="261" spans="1:25" ht="33.6" outlineLevel="1">
      <c r="A261" s="74"/>
      <c r="B261" s="91" t="str">
        <f t="shared" si="40"/>
        <v/>
      </c>
      <c r="C261" s="94"/>
      <c r="D261" s="95"/>
      <c r="E261" s="94" t="s">
        <v>381</v>
      </c>
      <c r="F261" s="91" t="str">
        <f t="shared" si="29"/>
        <v/>
      </c>
      <c r="G261" s="91" t="str">
        <f t="shared" si="30"/>
        <v/>
      </c>
      <c r="H261" s="91" t="str">
        <f t="shared" si="39"/>
        <v/>
      </c>
      <c r="I261" s="79">
        <f t="shared" si="21"/>
        <v>45</v>
      </c>
      <c r="J261" s="76"/>
      <c r="K261" s="74"/>
      <c r="L261" s="75"/>
      <c r="M261" s="74"/>
      <c r="N261" s="74"/>
      <c r="O261" s="74"/>
      <c r="P261" s="74"/>
      <c r="Q261" s="74"/>
      <c r="R261" s="74"/>
      <c r="S261" s="74"/>
      <c r="T261" s="74"/>
      <c r="U261" s="74"/>
      <c r="V261" s="74"/>
      <c r="W261" s="74"/>
      <c r="X261" s="74"/>
      <c r="Y261" s="74"/>
    </row>
    <row r="262" spans="1:25" ht="33.6" outlineLevel="1">
      <c r="A262" s="74"/>
      <c r="B262" s="91" t="str">
        <f t="shared" si="40"/>
        <v/>
      </c>
      <c r="C262" s="94"/>
      <c r="D262" s="95"/>
      <c r="E262" s="94" t="s">
        <v>382</v>
      </c>
      <c r="F262" s="91" t="str">
        <f t="shared" si="29"/>
        <v/>
      </c>
      <c r="G262" s="91" t="str">
        <f t="shared" si="30"/>
        <v/>
      </c>
      <c r="H262" s="91" t="str">
        <f t="shared" si="39"/>
        <v/>
      </c>
      <c r="I262" s="79">
        <f t="shared" si="21"/>
        <v>45</v>
      </c>
      <c r="J262" s="76"/>
      <c r="K262" s="74"/>
      <c r="L262" s="75"/>
      <c r="M262" s="74"/>
      <c r="N262" s="74"/>
      <c r="O262" s="74"/>
      <c r="P262" s="74"/>
      <c r="Q262" s="74"/>
      <c r="R262" s="74"/>
      <c r="S262" s="74"/>
      <c r="T262" s="74"/>
      <c r="U262" s="74"/>
      <c r="V262" s="74"/>
      <c r="W262" s="74"/>
      <c r="X262" s="74"/>
      <c r="Y262" s="74"/>
    </row>
    <row r="263" spans="1:25" ht="33.6" outlineLevel="1">
      <c r="A263" s="74"/>
      <c r="B263" s="91" t="str">
        <f t="shared" si="40"/>
        <v/>
      </c>
      <c r="C263" s="94"/>
      <c r="D263" s="95"/>
      <c r="E263" s="94" t="s">
        <v>383</v>
      </c>
      <c r="F263" s="91" t="str">
        <f t="shared" si="29"/>
        <v/>
      </c>
      <c r="G263" s="91" t="str">
        <f t="shared" si="30"/>
        <v/>
      </c>
      <c r="H263" s="91" t="str">
        <f t="shared" si="39"/>
        <v/>
      </c>
      <c r="I263" s="79">
        <f t="shared" si="21"/>
        <v>45</v>
      </c>
      <c r="J263" s="76"/>
      <c r="K263" s="74"/>
      <c r="L263" s="75"/>
      <c r="M263" s="74"/>
      <c r="N263" s="74"/>
      <c r="O263" s="74"/>
      <c r="P263" s="74"/>
      <c r="Q263" s="74"/>
      <c r="R263" s="74"/>
      <c r="S263" s="74"/>
      <c r="T263" s="74"/>
      <c r="U263" s="74"/>
      <c r="V263" s="74"/>
      <c r="W263" s="74"/>
      <c r="X263" s="74"/>
      <c r="Y263" s="74"/>
    </row>
    <row r="264" spans="1:25" ht="18" outlineLevel="1">
      <c r="A264" s="74"/>
      <c r="B264" s="91">
        <f t="shared" si="40"/>
        <v>46</v>
      </c>
      <c r="C264" s="94" t="s">
        <v>384</v>
      </c>
      <c r="D264" s="95" t="s">
        <v>127</v>
      </c>
      <c r="E264" s="94"/>
      <c r="F264" s="91" t="str">
        <f t="shared" si="29"/>
        <v>B</v>
      </c>
      <c r="G264" s="91" t="str">
        <f t="shared" si="30"/>
        <v>Trung bình</v>
      </c>
      <c r="H264" s="91">
        <f t="shared" si="39"/>
        <v>5</v>
      </c>
      <c r="I264" s="79" t="str">
        <f t="shared" si="21"/>
        <v/>
      </c>
      <c r="J264" s="76"/>
      <c r="K264" s="74"/>
      <c r="L264" s="75"/>
      <c r="M264" s="74"/>
      <c r="N264" s="74"/>
      <c r="O264" s="74"/>
      <c r="P264" s="74"/>
      <c r="Q264" s="74"/>
      <c r="R264" s="74"/>
      <c r="S264" s="74"/>
      <c r="T264" s="74"/>
      <c r="U264" s="74"/>
      <c r="V264" s="74"/>
      <c r="W264" s="74"/>
      <c r="X264" s="74"/>
      <c r="Y264" s="74"/>
    </row>
    <row r="265" spans="1:25" ht="33.6" outlineLevel="1">
      <c r="A265" s="74"/>
      <c r="B265" s="91" t="str">
        <f t="shared" si="40"/>
        <v/>
      </c>
      <c r="C265" s="94"/>
      <c r="D265" s="95"/>
      <c r="E265" s="94" t="s">
        <v>385</v>
      </c>
      <c r="F265" s="91" t="str">
        <f t="shared" si="29"/>
        <v/>
      </c>
      <c r="G265" s="91" t="str">
        <f t="shared" si="30"/>
        <v/>
      </c>
      <c r="H265" s="91" t="str">
        <f t="shared" si="39"/>
        <v/>
      </c>
      <c r="I265" s="79">
        <f t="shared" si="21"/>
        <v>46</v>
      </c>
      <c r="J265" s="76"/>
      <c r="K265" s="74"/>
      <c r="L265" s="75"/>
      <c r="M265" s="74"/>
      <c r="N265" s="74"/>
      <c r="O265" s="74"/>
      <c r="P265" s="74"/>
      <c r="Q265" s="74"/>
      <c r="R265" s="74"/>
      <c r="S265" s="74"/>
      <c r="T265" s="74"/>
      <c r="U265" s="74"/>
      <c r="V265" s="74"/>
      <c r="W265" s="74"/>
      <c r="X265" s="74"/>
      <c r="Y265" s="74"/>
    </row>
    <row r="266" spans="1:25" ht="33.6" outlineLevel="1">
      <c r="A266" s="74"/>
      <c r="B266" s="91" t="str">
        <f t="shared" si="40"/>
        <v/>
      </c>
      <c r="C266" s="94"/>
      <c r="D266" s="95"/>
      <c r="E266" s="94" t="s">
        <v>386</v>
      </c>
      <c r="F266" s="91" t="str">
        <f t="shared" si="29"/>
        <v/>
      </c>
      <c r="G266" s="91" t="str">
        <f t="shared" si="30"/>
        <v/>
      </c>
      <c r="H266" s="91" t="str">
        <f t="shared" si="39"/>
        <v/>
      </c>
      <c r="I266" s="79">
        <f t="shared" si="21"/>
        <v>46</v>
      </c>
      <c r="J266" s="76"/>
      <c r="K266" s="74"/>
      <c r="L266" s="75"/>
      <c r="M266" s="74"/>
      <c r="N266" s="74"/>
      <c r="O266" s="74"/>
      <c r="P266" s="74"/>
      <c r="Q266" s="74"/>
      <c r="R266" s="74"/>
      <c r="S266" s="74"/>
      <c r="T266" s="74"/>
      <c r="U266" s="74"/>
      <c r="V266" s="74"/>
      <c r="W266" s="74"/>
      <c r="X266" s="74"/>
      <c r="Y266" s="74"/>
    </row>
    <row r="267" spans="1:25" ht="50.45" outlineLevel="1">
      <c r="A267" s="74"/>
      <c r="B267" s="91" t="str">
        <f t="shared" si="40"/>
        <v/>
      </c>
      <c r="C267" s="94"/>
      <c r="D267" s="95"/>
      <c r="E267" s="94" t="s">
        <v>387</v>
      </c>
      <c r="F267" s="91" t="str">
        <f t="shared" si="29"/>
        <v/>
      </c>
      <c r="G267" s="91" t="str">
        <f t="shared" si="30"/>
        <v/>
      </c>
      <c r="H267" s="91" t="str">
        <f t="shared" si="39"/>
        <v/>
      </c>
      <c r="I267" s="79">
        <f t="shared" si="21"/>
        <v>46</v>
      </c>
      <c r="J267" s="76"/>
      <c r="K267" s="74"/>
      <c r="L267" s="75"/>
      <c r="M267" s="74"/>
      <c r="N267" s="74"/>
      <c r="O267" s="74"/>
      <c r="P267" s="74"/>
      <c r="Q267" s="74"/>
      <c r="R267" s="74"/>
      <c r="S267" s="74"/>
      <c r="T267" s="74"/>
      <c r="U267" s="74"/>
      <c r="V267" s="74"/>
      <c r="W267" s="74"/>
      <c r="X267" s="74"/>
      <c r="Y267" s="74"/>
    </row>
    <row r="268" spans="1:25" ht="33.6" outlineLevel="1">
      <c r="A268" s="74"/>
      <c r="B268" s="91" t="str">
        <f t="shared" si="40"/>
        <v/>
      </c>
      <c r="C268" s="94"/>
      <c r="D268" s="95"/>
      <c r="E268" s="94" t="s">
        <v>388</v>
      </c>
      <c r="F268" s="91" t="str">
        <f t="shared" si="29"/>
        <v/>
      </c>
      <c r="G268" s="91" t="str">
        <f t="shared" si="30"/>
        <v/>
      </c>
      <c r="H268" s="91" t="str">
        <f t="shared" si="39"/>
        <v/>
      </c>
      <c r="I268" s="79">
        <f t="shared" si="21"/>
        <v>46</v>
      </c>
      <c r="J268" s="76"/>
      <c r="K268" s="74"/>
      <c r="L268" s="75"/>
      <c r="M268" s="74"/>
      <c r="N268" s="74"/>
      <c r="O268" s="74"/>
      <c r="P268" s="74"/>
      <c r="Q268" s="74"/>
      <c r="R268" s="74"/>
      <c r="S268" s="74"/>
      <c r="T268" s="74"/>
      <c r="U268" s="74"/>
      <c r="V268" s="74"/>
      <c r="W268" s="74"/>
      <c r="X268" s="74"/>
      <c r="Y268" s="74"/>
    </row>
    <row r="269" spans="1:25" ht="33.6" outlineLevel="1">
      <c r="A269" s="74"/>
      <c r="B269" s="91" t="str">
        <f t="shared" si="40"/>
        <v/>
      </c>
      <c r="C269" s="94"/>
      <c r="D269" s="95"/>
      <c r="E269" s="94" t="s">
        <v>389</v>
      </c>
      <c r="F269" s="91" t="str">
        <f t="shared" si="29"/>
        <v/>
      </c>
      <c r="G269" s="91" t="str">
        <f t="shared" si="30"/>
        <v/>
      </c>
      <c r="H269" s="91" t="str">
        <f t="shared" si="39"/>
        <v/>
      </c>
      <c r="I269" s="79">
        <f t="shared" si="21"/>
        <v>46</v>
      </c>
      <c r="J269" s="76"/>
      <c r="K269" s="74"/>
      <c r="L269" s="75"/>
      <c r="M269" s="74"/>
      <c r="N269" s="74"/>
      <c r="O269" s="74"/>
      <c r="P269" s="74"/>
      <c r="Q269" s="74"/>
      <c r="R269" s="74"/>
      <c r="S269" s="74"/>
      <c r="T269" s="74"/>
      <c r="U269" s="74"/>
      <c r="V269" s="74"/>
      <c r="W269" s="74"/>
      <c r="X269" s="74"/>
      <c r="Y269" s="74"/>
    </row>
    <row r="270" spans="1:25" ht="18" outlineLevel="1">
      <c r="A270" s="74"/>
      <c r="B270" s="91">
        <f t="shared" si="40"/>
        <v>47</v>
      </c>
      <c r="C270" s="94" t="s">
        <v>390</v>
      </c>
      <c r="D270" s="95" t="s">
        <v>127</v>
      </c>
      <c r="E270" s="94"/>
      <c r="F270" s="91" t="str">
        <f t="shared" si="29"/>
        <v>B</v>
      </c>
      <c r="G270" s="91" t="str">
        <f t="shared" si="30"/>
        <v>Trung bình</v>
      </c>
      <c r="H270" s="91">
        <f t="shared" si="39"/>
        <v>4</v>
      </c>
      <c r="I270" s="79" t="str">
        <f t="shared" si="21"/>
        <v/>
      </c>
      <c r="J270" s="76"/>
      <c r="K270" s="74"/>
      <c r="L270" s="75"/>
      <c r="M270" s="74"/>
      <c r="N270" s="74"/>
      <c r="O270" s="74"/>
      <c r="P270" s="74"/>
      <c r="Q270" s="74"/>
      <c r="R270" s="74"/>
      <c r="S270" s="74"/>
      <c r="T270" s="74"/>
      <c r="U270" s="74"/>
      <c r="V270" s="74"/>
      <c r="W270" s="74"/>
      <c r="X270" s="74"/>
      <c r="Y270" s="74"/>
    </row>
    <row r="271" spans="1:25" ht="33.6" outlineLevel="1">
      <c r="A271" s="74"/>
      <c r="B271" s="91" t="str">
        <f t="shared" si="40"/>
        <v/>
      </c>
      <c r="C271" s="94"/>
      <c r="D271" s="95"/>
      <c r="E271" s="94" t="s">
        <v>391</v>
      </c>
      <c r="F271" s="91" t="str">
        <f t="shared" si="29"/>
        <v/>
      </c>
      <c r="G271" s="91" t="str">
        <f t="shared" si="30"/>
        <v/>
      </c>
      <c r="H271" s="91" t="str">
        <f t="shared" si="39"/>
        <v/>
      </c>
      <c r="I271" s="79">
        <f t="shared" si="21"/>
        <v>47</v>
      </c>
      <c r="J271" s="76"/>
      <c r="K271" s="74"/>
      <c r="L271" s="75"/>
      <c r="M271" s="74"/>
      <c r="N271" s="74"/>
      <c r="O271" s="74"/>
      <c r="P271" s="74"/>
      <c r="Q271" s="74"/>
      <c r="R271" s="74"/>
      <c r="S271" s="74"/>
      <c r="T271" s="74"/>
      <c r="U271" s="74"/>
      <c r="V271" s="74"/>
      <c r="W271" s="74"/>
      <c r="X271" s="74"/>
      <c r="Y271" s="74"/>
    </row>
    <row r="272" spans="1:25" ht="50.45" outlineLevel="1">
      <c r="A272" s="74"/>
      <c r="B272" s="91" t="str">
        <f t="shared" si="40"/>
        <v/>
      </c>
      <c r="C272" s="94"/>
      <c r="D272" s="95"/>
      <c r="E272" s="94" t="s">
        <v>392</v>
      </c>
      <c r="F272" s="91" t="str">
        <f t="shared" si="29"/>
        <v/>
      </c>
      <c r="G272" s="91" t="str">
        <f t="shared" si="30"/>
        <v/>
      </c>
      <c r="H272" s="91" t="str">
        <f t="shared" si="39"/>
        <v/>
      </c>
      <c r="I272" s="79">
        <f t="shared" si="21"/>
        <v>47</v>
      </c>
      <c r="J272" s="76"/>
      <c r="K272" s="74"/>
      <c r="L272" s="75"/>
      <c r="M272" s="74"/>
      <c r="N272" s="74"/>
      <c r="O272" s="74"/>
      <c r="P272" s="74"/>
      <c r="Q272" s="74"/>
      <c r="R272" s="74"/>
      <c r="S272" s="74"/>
      <c r="T272" s="74"/>
      <c r="U272" s="74"/>
      <c r="V272" s="74"/>
      <c r="W272" s="74"/>
      <c r="X272" s="74"/>
      <c r="Y272" s="74"/>
    </row>
    <row r="273" spans="1:25" ht="33.6" outlineLevel="1">
      <c r="A273" s="74"/>
      <c r="B273" s="91" t="str">
        <f t="shared" si="40"/>
        <v/>
      </c>
      <c r="C273" s="94"/>
      <c r="D273" s="95"/>
      <c r="E273" s="94" t="s">
        <v>393</v>
      </c>
      <c r="F273" s="91" t="str">
        <f t="shared" si="29"/>
        <v/>
      </c>
      <c r="G273" s="91" t="str">
        <f t="shared" si="30"/>
        <v/>
      </c>
      <c r="H273" s="91" t="str">
        <f t="shared" si="39"/>
        <v/>
      </c>
      <c r="I273" s="79">
        <f t="shared" si="21"/>
        <v>47</v>
      </c>
      <c r="J273" s="76"/>
      <c r="K273" s="74"/>
      <c r="L273" s="75"/>
      <c r="M273" s="74"/>
      <c r="N273" s="74"/>
      <c r="O273" s="74"/>
      <c r="P273" s="74"/>
      <c r="Q273" s="74"/>
      <c r="R273" s="74"/>
      <c r="S273" s="74"/>
      <c r="T273" s="74"/>
      <c r="U273" s="74"/>
      <c r="V273" s="74"/>
      <c r="W273" s="74"/>
      <c r="X273" s="74"/>
      <c r="Y273" s="74"/>
    </row>
    <row r="274" spans="1:25" ht="33.6" outlineLevel="1">
      <c r="A274" s="74"/>
      <c r="B274" s="91" t="str">
        <f t="shared" si="40"/>
        <v/>
      </c>
      <c r="C274" s="94"/>
      <c r="D274" s="95"/>
      <c r="E274" s="94" t="s">
        <v>394</v>
      </c>
      <c r="F274" s="91" t="str">
        <f t="shared" si="29"/>
        <v/>
      </c>
      <c r="G274" s="91" t="str">
        <f t="shared" si="30"/>
        <v/>
      </c>
      <c r="H274" s="91" t="str">
        <f t="shared" si="39"/>
        <v/>
      </c>
      <c r="I274" s="79">
        <f t="shared" si="21"/>
        <v>47</v>
      </c>
      <c r="J274" s="76"/>
      <c r="K274" s="74"/>
      <c r="L274" s="75"/>
      <c r="M274" s="74"/>
      <c r="N274" s="74"/>
      <c r="O274" s="74"/>
      <c r="P274" s="74"/>
      <c r="Q274" s="74"/>
      <c r="R274" s="74"/>
      <c r="S274" s="74"/>
      <c r="T274" s="74"/>
      <c r="U274" s="74"/>
      <c r="V274" s="74"/>
      <c r="W274" s="74"/>
      <c r="X274" s="74"/>
      <c r="Y274" s="74"/>
    </row>
    <row r="275" spans="1:25" ht="18" outlineLevel="1">
      <c r="A275" s="74"/>
      <c r="B275" s="91">
        <f t="shared" si="40"/>
        <v>48</v>
      </c>
      <c r="C275" s="94" t="s">
        <v>395</v>
      </c>
      <c r="D275" s="95" t="s">
        <v>127</v>
      </c>
      <c r="E275" s="94"/>
      <c r="F275" s="91" t="str">
        <f t="shared" si="29"/>
        <v>B</v>
      </c>
      <c r="G275" s="91" t="str">
        <f t="shared" si="30"/>
        <v>Đơn giản</v>
      </c>
      <c r="H275" s="91">
        <f t="shared" si="39"/>
        <v>2</v>
      </c>
      <c r="I275" s="79" t="str">
        <f t="shared" si="21"/>
        <v/>
      </c>
      <c r="J275" s="76"/>
      <c r="K275" s="74"/>
      <c r="L275" s="75"/>
      <c r="M275" s="74"/>
      <c r="N275" s="74"/>
      <c r="O275" s="74"/>
      <c r="P275" s="74"/>
      <c r="Q275" s="74"/>
      <c r="R275" s="74"/>
      <c r="S275" s="74"/>
      <c r="T275" s="74"/>
      <c r="U275" s="74"/>
      <c r="V275" s="74"/>
      <c r="W275" s="74"/>
      <c r="X275" s="74"/>
      <c r="Y275" s="74"/>
    </row>
    <row r="276" spans="1:25" ht="33.6" outlineLevel="1">
      <c r="A276" s="74"/>
      <c r="B276" s="91" t="str">
        <f t="shared" si="40"/>
        <v/>
      </c>
      <c r="C276" s="94"/>
      <c r="D276" s="95"/>
      <c r="E276" s="94" t="s">
        <v>396</v>
      </c>
      <c r="F276" s="91" t="str">
        <f t="shared" si="29"/>
        <v/>
      </c>
      <c r="G276" s="91" t="str">
        <f t="shared" si="30"/>
        <v/>
      </c>
      <c r="H276" s="91" t="str">
        <f t="shared" si="39"/>
        <v/>
      </c>
      <c r="I276" s="79">
        <f t="shared" si="21"/>
        <v>48</v>
      </c>
      <c r="J276" s="76"/>
      <c r="K276" s="74"/>
      <c r="L276" s="75"/>
      <c r="M276" s="74"/>
      <c r="N276" s="74"/>
      <c r="O276" s="74"/>
      <c r="P276" s="74"/>
      <c r="Q276" s="74"/>
      <c r="R276" s="74"/>
      <c r="S276" s="74"/>
      <c r="T276" s="74"/>
      <c r="U276" s="74"/>
      <c r="V276" s="74"/>
      <c r="W276" s="74"/>
      <c r="X276" s="74"/>
      <c r="Y276" s="74"/>
    </row>
    <row r="277" spans="1:25" ht="33.6" outlineLevel="1">
      <c r="A277" s="74"/>
      <c r="B277" s="91" t="str">
        <f t="shared" si="40"/>
        <v/>
      </c>
      <c r="C277" s="94"/>
      <c r="D277" s="95"/>
      <c r="E277" s="94" t="s">
        <v>397</v>
      </c>
      <c r="F277" s="91" t="str">
        <f t="shared" si="29"/>
        <v/>
      </c>
      <c r="G277" s="91" t="str">
        <f t="shared" si="30"/>
        <v/>
      </c>
      <c r="H277" s="91" t="str">
        <f t="shared" si="39"/>
        <v/>
      </c>
      <c r="I277" s="79">
        <f t="shared" si="21"/>
        <v>48</v>
      </c>
      <c r="J277" s="76"/>
      <c r="K277" s="74"/>
      <c r="L277" s="75"/>
      <c r="M277" s="74"/>
      <c r="N277" s="74"/>
      <c r="O277" s="74"/>
      <c r="P277" s="74"/>
      <c r="Q277" s="74"/>
      <c r="R277" s="74"/>
      <c r="S277" s="74"/>
      <c r="T277" s="74"/>
      <c r="U277" s="74"/>
      <c r="V277" s="74"/>
      <c r="W277" s="74"/>
      <c r="X277" s="74"/>
      <c r="Y277" s="74"/>
    </row>
    <row r="278" spans="1:25" ht="18" outlineLevel="1">
      <c r="A278" s="74"/>
      <c r="B278" s="91">
        <f t="shared" si="40"/>
        <v>49</v>
      </c>
      <c r="C278" s="94" t="s">
        <v>398</v>
      </c>
      <c r="D278" s="95" t="s">
        <v>127</v>
      </c>
      <c r="E278" s="94"/>
      <c r="F278" s="91" t="str">
        <f t="shared" si="29"/>
        <v>B</v>
      </c>
      <c r="G278" s="91" t="str">
        <f t="shared" si="30"/>
        <v>Trung bình</v>
      </c>
      <c r="H278" s="91">
        <f t="shared" si="39"/>
        <v>4</v>
      </c>
      <c r="I278" s="79" t="str">
        <f t="shared" si="21"/>
        <v/>
      </c>
      <c r="J278" s="76"/>
      <c r="K278" s="74"/>
      <c r="L278" s="75"/>
      <c r="M278" s="74"/>
      <c r="N278" s="74"/>
      <c r="O278" s="74"/>
      <c r="P278" s="74"/>
      <c r="Q278" s="74"/>
      <c r="R278" s="74"/>
      <c r="S278" s="74"/>
      <c r="T278" s="74"/>
      <c r="U278" s="74"/>
      <c r="V278" s="74"/>
      <c r="W278" s="74"/>
      <c r="X278" s="74"/>
      <c r="Y278" s="74"/>
    </row>
    <row r="279" spans="1:25" ht="33.6" outlineLevel="1">
      <c r="A279" s="74"/>
      <c r="B279" s="91" t="str">
        <f t="shared" si="40"/>
        <v/>
      </c>
      <c r="C279" s="94"/>
      <c r="D279" s="95"/>
      <c r="E279" s="94" t="s">
        <v>399</v>
      </c>
      <c r="F279" s="91" t="str">
        <f t="shared" si="29"/>
        <v/>
      </c>
      <c r="G279" s="91" t="str">
        <f t="shared" si="30"/>
        <v/>
      </c>
      <c r="H279" s="91" t="str">
        <f t="shared" si="39"/>
        <v/>
      </c>
      <c r="I279" s="79">
        <f t="shared" si="21"/>
        <v>49</v>
      </c>
      <c r="J279" s="76"/>
      <c r="K279" s="74"/>
      <c r="L279" s="75"/>
      <c r="M279" s="74"/>
      <c r="N279" s="74"/>
      <c r="O279" s="74"/>
      <c r="P279" s="74"/>
      <c r="Q279" s="74"/>
      <c r="R279" s="74"/>
      <c r="S279" s="74"/>
      <c r="T279" s="74"/>
      <c r="U279" s="74"/>
      <c r="V279" s="74"/>
      <c r="W279" s="74"/>
      <c r="X279" s="74"/>
      <c r="Y279" s="74"/>
    </row>
    <row r="280" spans="1:25" ht="33.6" outlineLevel="1">
      <c r="A280" s="74"/>
      <c r="B280" s="91" t="str">
        <f t="shared" si="40"/>
        <v/>
      </c>
      <c r="C280" s="94"/>
      <c r="D280" s="95"/>
      <c r="E280" s="94" t="s">
        <v>400</v>
      </c>
      <c r="F280" s="91" t="str">
        <f t="shared" si="29"/>
        <v/>
      </c>
      <c r="G280" s="91" t="str">
        <f t="shared" si="30"/>
        <v/>
      </c>
      <c r="H280" s="91" t="str">
        <f t="shared" si="39"/>
        <v/>
      </c>
      <c r="I280" s="79">
        <f t="shared" si="21"/>
        <v>49</v>
      </c>
      <c r="J280" s="76"/>
      <c r="K280" s="74"/>
      <c r="L280" s="75"/>
      <c r="M280" s="74"/>
      <c r="N280" s="74"/>
      <c r="O280" s="74"/>
      <c r="P280" s="74"/>
      <c r="Q280" s="74"/>
      <c r="R280" s="74"/>
      <c r="S280" s="74"/>
      <c r="T280" s="74"/>
      <c r="U280" s="74"/>
      <c r="V280" s="74"/>
      <c r="W280" s="74"/>
      <c r="X280" s="74"/>
      <c r="Y280" s="74"/>
    </row>
    <row r="281" spans="1:25" ht="33.6" outlineLevel="1">
      <c r="A281" s="74"/>
      <c r="B281" s="91" t="str">
        <f t="shared" si="40"/>
        <v/>
      </c>
      <c r="C281" s="94"/>
      <c r="D281" s="95"/>
      <c r="E281" s="94" t="s">
        <v>401</v>
      </c>
      <c r="F281" s="91" t="str">
        <f t="shared" si="29"/>
        <v/>
      </c>
      <c r="G281" s="91" t="str">
        <f t="shared" si="30"/>
        <v/>
      </c>
      <c r="H281" s="91" t="str">
        <f t="shared" si="39"/>
        <v/>
      </c>
      <c r="I281" s="79">
        <f t="shared" si="21"/>
        <v>49</v>
      </c>
      <c r="J281" s="76"/>
      <c r="K281" s="74"/>
      <c r="L281" s="75"/>
      <c r="M281" s="74"/>
      <c r="N281" s="74"/>
      <c r="O281" s="74"/>
      <c r="P281" s="74"/>
      <c r="Q281" s="74"/>
      <c r="R281" s="74"/>
      <c r="S281" s="74"/>
      <c r="T281" s="74"/>
      <c r="U281" s="74"/>
      <c r="V281" s="74"/>
      <c r="W281" s="74"/>
      <c r="X281" s="74"/>
      <c r="Y281" s="74"/>
    </row>
    <row r="282" spans="1:25" ht="33.6" outlineLevel="1">
      <c r="A282" s="74"/>
      <c r="B282" s="91" t="str">
        <f t="shared" si="40"/>
        <v/>
      </c>
      <c r="C282" s="94"/>
      <c r="D282" s="95"/>
      <c r="E282" s="94" t="s">
        <v>402</v>
      </c>
      <c r="F282" s="91" t="str">
        <f t="shared" si="29"/>
        <v/>
      </c>
      <c r="G282" s="91" t="str">
        <f t="shared" si="30"/>
        <v/>
      </c>
      <c r="H282" s="91" t="str">
        <f t="shared" si="39"/>
        <v/>
      </c>
      <c r="I282" s="79">
        <f t="shared" si="21"/>
        <v>49</v>
      </c>
      <c r="J282" s="76"/>
      <c r="K282" s="74"/>
      <c r="L282" s="75"/>
      <c r="M282" s="74"/>
      <c r="N282" s="74"/>
      <c r="O282" s="74"/>
      <c r="P282" s="74"/>
      <c r="Q282" s="74"/>
      <c r="R282" s="74"/>
      <c r="S282" s="74"/>
      <c r="T282" s="74"/>
      <c r="U282" s="74"/>
      <c r="V282" s="74"/>
      <c r="W282" s="74"/>
      <c r="X282" s="74"/>
      <c r="Y282" s="74"/>
    </row>
    <row r="283" spans="1:25" ht="18" outlineLevel="1">
      <c r="A283" s="74"/>
      <c r="B283" s="91">
        <f t="shared" si="40"/>
        <v>50</v>
      </c>
      <c r="C283" s="94" t="s">
        <v>403</v>
      </c>
      <c r="D283" s="95" t="s">
        <v>127</v>
      </c>
      <c r="E283" s="94"/>
      <c r="F283" s="91" t="str">
        <f t="shared" si="29"/>
        <v>B</v>
      </c>
      <c r="G283" s="91" t="str">
        <f t="shared" si="30"/>
        <v>Trung bình</v>
      </c>
      <c r="H283" s="91">
        <f t="shared" si="39"/>
        <v>4</v>
      </c>
      <c r="I283" s="79" t="str">
        <f t="shared" si="21"/>
        <v/>
      </c>
      <c r="J283" s="76"/>
      <c r="K283" s="74"/>
      <c r="L283" s="75"/>
      <c r="M283" s="74"/>
      <c r="N283" s="74"/>
      <c r="O283" s="74"/>
      <c r="P283" s="74"/>
      <c r="Q283" s="74"/>
      <c r="R283" s="74"/>
      <c r="S283" s="74"/>
      <c r="T283" s="74"/>
      <c r="U283" s="74"/>
      <c r="V283" s="74"/>
      <c r="W283" s="74"/>
      <c r="X283" s="74"/>
      <c r="Y283" s="74"/>
    </row>
    <row r="284" spans="1:25" ht="50.45" outlineLevel="1">
      <c r="A284" s="74"/>
      <c r="B284" s="91" t="str">
        <f t="shared" si="40"/>
        <v/>
      </c>
      <c r="C284" s="94"/>
      <c r="D284" s="95"/>
      <c r="E284" s="94" t="s">
        <v>404</v>
      </c>
      <c r="F284" s="91" t="str">
        <f t="shared" si="29"/>
        <v/>
      </c>
      <c r="G284" s="91" t="str">
        <f t="shared" si="30"/>
        <v/>
      </c>
      <c r="H284" s="91" t="str">
        <f t="shared" si="39"/>
        <v/>
      </c>
      <c r="I284" s="79">
        <f t="shared" si="21"/>
        <v>50</v>
      </c>
      <c r="J284" s="76"/>
      <c r="K284" s="74"/>
      <c r="L284" s="75"/>
      <c r="M284" s="74"/>
      <c r="N284" s="74"/>
      <c r="O284" s="74"/>
      <c r="P284" s="74"/>
      <c r="Q284" s="74"/>
      <c r="R284" s="74"/>
      <c r="S284" s="74"/>
      <c r="T284" s="74"/>
      <c r="U284" s="74"/>
      <c r="V284" s="74"/>
      <c r="W284" s="74"/>
      <c r="X284" s="74"/>
      <c r="Y284" s="74"/>
    </row>
    <row r="285" spans="1:25" ht="50.45" outlineLevel="1">
      <c r="A285" s="74"/>
      <c r="B285" s="91" t="str">
        <f t="shared" si="40"/>
        <v/>
      </c>
      <c r="C285" s="94"/>
      <c r="D285" s="95"/>
      <c r="E285" s="94" t="s">
        <v>405</v>
      </c>
      <c r="F285" s="91" t="str">
        <f t="shared" si="29"/>
        <v/>
      </c>
      <c r="G285" s="91" t="str">
        <f t="shared" si="30"/>
        <v/>
      </c>
      <c r="H285" s="91" t="str">
        <f t="shared" si="39"/>
        <v/>
      </c>
      <c r="I285" s="79">
        <f t="shared" si="21"/>
        <v>50</v>
      </c>
      <c r="J285" s="76"/>
      <c r="K285" s="74"/>
      <c r="L285" s="75"/>
      <c r="M285" s="74"/>
      <c r="N285" s="74"/>
      <c r="O285" s="74"/>
      <c r="P285" s="74"/>
      <c r="Q285" s="74"/>
      <c r="R285" s="74"/>
      <c r="S285" s="74"/>
      <c r="T285" s="74"/>
      <c r="U285" s="74"/>
      <c r="V285" s="74"/>
      <c r="W285" s="74"/>
      <c r="X285" s="74"/>
      <c r="Y285" s="74"/>
    </row>
    <row r="286" spans="1:25" ht="50.45" outlineLevel="1">
      <c r="A286" s="74"/>
      <c r="B286" s="91" t="str">
        <f t="shared" si="40"/>
        <v/>
      </c>
      <c r="C286" s="94"/>
      <c r="D286" s="95"/>
      <c r="E286" s="94" t="s">
        <v>406</v>
      </c>
      <c r="F286" s="91" t="str">
        <f t="shared" si="29"/>
        <v/>
      </c>
      <c r="G286" s="91" t="str">
        <f t="shared" si="30"/>
        <v/>
      </c>
      <c r="H286" s="91" t="str">
        <f t="shared" si="39"/>
        <v/>
      </c>
      <c r="I286" s="79">
        <f t="shared" si="21"/>
        <v>50</v>
      </c>
      <c r="J286" s="76"/>
      <c r="K286" s="74"/>
      <c r="L286" s="75"/>
      <c r="M286" s="74"/>
      <c r="N286" s="74"/>
      <c r="O286" s="74"/>
      <c r="P286" s="74"/>
      <c r="Q286" s="74"/>
      <c r="R286" s="74"/>
      <c r="S286" s="74"/>
      <c r="T286" s="74"/>
      <c r="U286" s="74"/>
      <c r="V286" s="74"/>
      <c r="W286" s="74"/>
      <c r="X286" s="74"/>
      <c r="Y286" s="74"/>
    </row>
    <row r="287" spans="1:25" ht="50.45" outlineLevel="1">
      <c r="A287" s="74"/>
      <c r="B287" s="91" t="str">
        <f t="shared" si="40"/>
        <v/>
      </c>
      <c r="C287" s="94"/>
      <c r="D287" s="95"/>
      <c r="E287" s="94" t="s">
        <v>407</v>
      </c>
      <c r="F287" s="91" t="str">
        <f t="shared" si="29"/>
        <v/>
      </c>
      <c r="G287" s="91" t="str">
        <f t="shared" si="30"/>
        <v/>
      </c>
      <c r="H287" s="91" t="str">
        <f t="shared" si="39"/>
        <v/>
      </c>
      <c r="I287" s="79">
        <f t="shared" si="21"/>
        <v>50</v>
      </c>
      <c r="J287" s="76"/>
      <c r="K287" s="74"/>
      <c r="L287" s="75"/>
      <c r="M287" s="74"/>
      <c r="N287" s="74"/>
      <c r="O287" s="74"/>
      <c r="P287" s="74"/>
      <c r="Q287" s="74"/>
      <c r="R287" s="74"/>
      <c r="S287" s="74"/>
      <c r="T287" s="74"/>
      <c r="U287" s="74"/>
      <c r="V287" s="74"/>
      <c r="W287" s="74"/>
      <c r="X287" s="74"/>
      <c r="Y287" s="74"/>
    </row>
    <row r="288" spans="1:25" ht="18" outlineLevel="1">
      <c r="A288" s="74"/>
      <c r="B288" s="91">
        <f t="shared" si="40"/>
        <v>51</v>
      </c>
      <c r="C288" s="94" t="s">
        <v>408</v>
      </c>
      <c r="D288" s="95" t="s">
        <v>127</v>
      </c>
      <c r="E288" s="94"/>
      <c r="F288" s="91" t="str">
        <f t="shared" si="29"/>
        <v>B</v>
      </c>
      <c r="G288" s="91" t="str">
        <f t="shared" si="30"/>
        <v>Phức tạp</v>
      </c>
      <c r="H288" s="91">
        <f t="shared" si="39"/>
        <v>8</v>
      </c>
      <c r="I288" s="79" t="str">
        <f t="shared" si="21"/>
        <v/>
      </c>
      <c r="J288" s="76"/>
      <c r="K288" s="74"/>
      <c r="L288" s="75"/>
      <c r="M288" s="74"/>
      <c r="N288" s="74"/>
      <c r="O288" s="74"/>
      <c r="P288" s="74"/>
      <c r="Q288" s="74"/>
      <c r="R288" s="74"/>
      <c r="S288" s="74"/>
      <c r="T288" s="74"/>
      <c r="U288" s="74"/>
      <c r="V288" s="74"/>
      <c r="W288" s="74"/>
      <c r="X288" s="74"/>
      <c r="Y288" s="74"/>
    </row>
    <row r="289" spans="1:25" ht="33.6" outlineLevel="1">
      <c r="A289" s="74"/>
      <c r="B289" s="91" t="str">
        <f t="shared" si="40"/>
        <v/>
      </c>
      <c r="C289" s="94"/>
      <c r="D289" s="95"/>
      <c r="E289" s="94" t="s">
        <v>409</v>
      </c>
      <c r="F289" s="91" t="str">
        <f t="shared" si="29"/>
        <v/>
      </c>
      <c r="G289" s="91" t="str">
        <f t="shared" si="30"/>
        <v/>
      </c>
      <c r="H289" s="91" t="str">
        <f t="shared" si="39"/>
        <v/>
      </c>
      <c r="I289" s="79">
        <f t="shared" si="21"/>
        <v>51</v>
      </c>
      <c r="J289" s="76"/>
      <c r="K289" s="74"/>
      <c r="L289" s="75"/>
      <c r="M289" s="74"/>
      <c r="N289" s="74"/>
      <c r="O289" s="74"/>
      <c r="P289" s="74"/>
      <c r="Q289" s="74"/>
      <c r="R289" s="74"/>
      <c r="S289" s="74"/>
      <c r="T289" s="74"/>
      <c r="U289" s="74"/>
      <c r="V289" s="74"/>
      <c r="W289" s="74"/>
      <c r="X289" s="74"/>
      <c r="Y289" s="74"/>
    </row>
    <row r="290" spans="1:25" ht="33.6" outlineLevel="1">
      <c r="A290" s="74"/>
      <c r="B290" s="91" t="str">
        <f t="shared" si="40"/>
        <v/>
      </c>
      <c r="C290" s="94"/>
      <c r="D290" s="95"/>
      <c r="E290" s="94" t="s">
        <v>410</v>
      </c>
      <c r="F290" s="91" t="str">
        <f t="shared" si="29"/>
        <v/>
      </c>
      <c r="G290" s="91" t="str">
        <f t="shared" si="30"/>
        <v/>
      </c>
      <c r="H290" s="91" t="str">
        <f t="shared" si="39"/>
        <v/>
      </c>
      <c r="I290" s="79">
        <f t="shared" si="21"/>
        <v>51</v>
      </c>
      <c r="J290" s="76"/>
      <c r="K290" s="74"/>
      <c r="L290" s="75"/>
      <c r="M290" s="74"/>
      <c r="N290" s="74"/>
      <c r="O290" s="74"/>
      <c r="P290" s="74"/>
      <c r="Q290" s="74"/>
      <c r="R290" s="74"/>
      <c r="S290" s="74"/>
      <c r="T290" s="74"/>
      <c r="U290" s="74"/>
      <c r="V290" s="74"/>
      <c r="W290" s="74"/>
      <c r="X290" s="74"/>
      <c r="Y290" s="74"/>
    </row>
    <row r="291" spans="1:25" ht="33.6" outlineLevel="1">
      <c r="A291" s="74"/>
      <c r="B291" s="91" t="str">
        <f t="shared" si="40"/>
        <v/>
      </c>
      <c r="C291" s="94"/>
      <c r="D291" s="95"/>
      <c r="E291" s="94" t="s">
        <v>411</v>
      </c>
      <c r="F291" s="91" t="str">
        <f t="shared" si="29"/>
        <v/>
      </c>
      <c r="G291" s="91" t="str">
        <f t="shared" si="30"/>
        <v/>
      </c>
      <c r="H291" s="91" t="str">
        <f t="shared" si="39"/>
        <v/>
      </c>
      <c r="I291" s="79">
        <f t="shared" si="21"/>
        <v>51</v>
      </c>
      <c r="J291" s="76"/>
      <c r="K291" s="74"/>
      <c r="L291" s="75"/>
      <c r="M291" s="74"/>
      <c r="N291" s="74"/>
      <c r="O291" s="74"/>
      <c r="P291" s="74"/>
      <c r="Q291" s="74"/>
      <c r="R291" s="74"/>
      <c r="S291" s="74"/>
      <c r="T291" s="74"/>
      <c r="U291" s="74"/>
      <c r="V291" s="74"/>
      <c r="W291" s="74"/>
      <c r="X291" s="74"/>
      <c r="Y291" s="74"/>
    </row>
    <row r="292" spans="1:25" ht="33.6" outlineLevel="1">
      <c r="A292" s="74"/>
      <c r="B292" s="91" t="str">
        <f t="shared" si="40"/>
        <v/>
      </c>
      <c r="C292" s="94"/>
      <c r="D292" s="95"/>
      <c r="E292" s="94" t="s">
        <v>412</v>
      </c>
      <c r="F292" s="91" t="str">
        <f t="shared" si="29"/>
        <v/>
      </c>
      <c r="G292" s="91" t="str">
        <f t="shared" si="30"/>
        <v/>
      </c>
      <c r="H292" s="91" t="str">
        <f t="shared" si="39"/>
        <v/>
      </c>
      <c r="I292" s="79">
        <f t="shared" si="21"/>
        <v>51</v>
      </c>
      <c r="J292" s="76"/>
      <c r="K292" s="74"/>
      <c r="L292" s="75"/>
      <c r="M292" s="74"/>
      <c r="N292" s="74"/>
      <c r="O292" s="74"/>
      <c r="P292" s="74"/>
      <c r="Q292" s="74"/>
      <c r="R292" s="74"/>
      <c r="S292" s="74"/>
      <c r="T292" s="74"/>
      <c r="U292" s="74"/>
      <c r="V292" s="74"/>
      <c r="W292" s="74"/>
      <c r="X292" s="74"/>
      <c r="Y292" s="74"/>
    </row>
    <row r="293" spans="1:25" ht="33.6" outlineLevel="1">
      <c r="A293" s="74"/>
      <c r="B293" s="91" t="str">
        <f t="shared" si="40"/>
        <v/>
      </c>
      <c r="C293" s="94"/>
      <c r="D293" s="95"/>
      <c r="E293" s="94" t="s">
        <v>413</v>
      </c>
      <c r="F293" s="91" t="str">
        <f t="shared" si="29"/>
        <v/>
      </c>
      <c r="G293" s="91" t="str">
        <f t="shared" si="30"/>
        <v/>
      </c>
      <c r="H293" s="91" t="str">
        <f t="shared" si="39"/>
        <v/>
      </c>
      <c r="I293" s="79">
        <f t="shared" si="21"/>
        <v>51</v>
      </c>
      <c r="J293" s="76"/>
      <c r="K293" s="74"/>
      <c r="L293" s="75"/>
      <c r="M293" s="74"/>
      <c r="N293" s="74"/>
      <c r="O293" s="74"/>
      <c r="P293" s="74"/>
      <c r="Q293" s="74"/>
      <c r="R293" s="74"/>
      <c r="S293" s="74"/>
      <c r="T293" s="74"/>
      <c r="U293" s="74"/>
      <c r="V293" s="74"/>
      <c r="W293" s="74"/>
      <c r="X293" s="74"/>
      <c r="Y293" s="74"/>
    </row>
    <row r="294" spans="1:25" ht="33.6" outlineLevel="1">
      <c r="A294" s="74"/>
      <c r="B294" s="91" t="str">
        <f t="shared" si="40"/>
        <v/>
      </c>
      <c r="C294" s="94"/>
      <c r="D294" s="95"/>
      <c r="E294" s="94" t="s">
        <v>414</v>
      </c>
      <c r="F294" s="91" t="str">
        <f t="shared" si="29"/>
        <v/>
      </c>
      <c r="G294" s="91" t="str">
        <f t="shared" si="30"/>
        <v/>
      </c>
      <c r="H294" s="91" t="str">
        <f t="shared" si="39"/>
        <v/>
      </c>
      <c r="I294" s="79">
        <f t="shared" si="21"/>
        <v>51</v>
      </c>
      <c r="J294" s="76"/>
      <c r="K294" s="74"/>
      <c r="L294" s="75"/>
      <c r="M294" s="74"/>
      <c r="N294" s="74"/>
      <c r="O294" s="74"/>
      <c r="P294" s="74"/>
      <c r="Q294" s="74"/>
      <c r="R294" s="74"/>
      <c r="S294" s="74"/>
      <c r="T294" s="74"/>
      <c r="U294" s="74"/>
      <c r="V294" s="74"/>
      <c r="W294" s="74"/>
      <c r="X294" s="74"/>
      <c r="Y294" s="74"/>
    </row>
    <row r="295" spans="1:25" ht="33.6" outlineLevel="1">
      <c r="A295" s="74"/>
      <c r="B295" s="91" t="str">
        <f t="shared" si="40"/>
        <v/>
      </c>
      <c r="C295" s="94"/>
      <c r="D295" s="95"/>
      <c r="E295" s="94" t="s">
        <v>415</v>
      </c>
      <c r="F295" s="91" t="str">
        <f t="shared" si="29"/>
        <v/>
      </c>
      <c r="G295" s="91" t="str">
        <f t="shared" si="30"/>
        <v/>
      </c>
      <c r="H295" s="91" t="str">
        <f t="shared" si="39"/>
        <v/>
      </c>
      <c r="I295" s="79">
        <f t="shared" si="21"/>
        <v>51</v>
      </c>
      <c r="J295" s="76"/>
      <c r="K295" s="74"/>
      <c r="L295" s="75"/>
      <c r="M295" s="74"/>
      <c r="N295" s="74"/>
      <c r="O295" s="74"/>
      <c r="P295" s="74"/>
      <c r="Q295" s="74"/>
      <c r="R295" s="74"/>
      <c r="S295" s="74"/>
      <c r="T295" s="74"/>
      <c r="U295" s="74"/>
      <c r="V295" s="74"/>
      <c r="W295" s="74"/>
      <c r="X295" s="74"/>
      <c r="Y295" s="74"/>
    </row>
    <row r="296" spans="1:25" ht="33.6" outlineLevel="1">
      <c r="A296" s="74"/>
      <c r="B296" s="91" t="str">
        <f t="shared" si="40"/>
        <v/>
      </c>
      <c r="C296" s="94"/>
      <c r="D296" s="95"/>
      <c r="E296" s="94" t="s">
        <v>416</v>
      </c>
      <c r="F296" s="91" t="str">
        <f t="shared" si="29"/>
        <v/>
      </c>
      <c r="G296" s="91" t="str">
        <f t="shared" si="30"/>
        <v/>
      </c>
      <c r="H296" s="91" t="str">
        <f t="shared" si="39"/>
        <v/>
      </c>
      <c r="I296" s="79">
        <f t="shared" si="21"/>
        <v>51</v>
      </c>
      <c r="J296" s="76"/>
      <c r="K296" s="74"/>
      <c r="L296" s="75"/>
      <c r="M296" s="74"/>
      <c r="N296" s="74"/>
      <c r="O296" s="74"/>
      <c r="P296" s="74"/>
      <c r="Q296" s="74"/>
      <c r="R296" s="74"/>
      <c r="S296" s="74"/>
      <c r="T296" s="74"/>
      <c r="U296" s="74"/>
      <c r="V296" s="74"/>
      <c r="W296" s="74"/>
      <c r="X296" s="74"/>
      <c r="Y296" s="74"/>
    </row>
    <row r="297" spans="1:25" ht="18" outlineLevel="1">
      <c r="A297" s="74"/>
      <c r="B297" s="91" t="str">
        <f t="shared" si="40"/>
        <v/>
      </c>
      <c r="C297" s="94"/>
      <c r="D297" s="95"/>
      <c r="E297" s="94"/>
      <c r="F297" s="91" t="str">
        <f t="shared" si="29"/>
        <v/>
      </c>
      <c r="G297" s="91" t="str">
        <f t="shared" si="30"/>
        <v/>
      </c>
      <c r="H297" s="91" t="str">
        <f t="shared" si="39"/>
        <v/>
      </c>
      <c r="I297" s="79" t="str">
        <f t="shared" si="21"/>
        <v/>
      </c>
      <c r="J297" s="76"/>
      <c r="K297" s="74"/>
      <c r="L297" s="75"/>
      <c r="M297" s="74"/>
      <c r="N297" s="74"/>
      <c r="O297" s="74"/>
      <c r="P297" s="74"/>
      <c r="Q297" s="74"/>
      <c r="R297" s="74"/>
      <c r="S297" s="74"/>
      <c r="T297" s="74"/>
      <c r="U297" s="74"/>
      <c r="V297" s="74"/>
      <c r="W297" s="74"/>
      <c r="X297" s="74"/>
      <c r="Y297" s="74"/>
    </row>
    <row r="298" spans="1:25" ht="18" outlineLevel="1">
      <c r="A298" s="74"/>
      <c r="B298" s="91" t="s">
        <v>417</v>
      </c>
      <c r="C298" s="92" t="s">
        <v>418</v>
      </c>
      <c r="D298" s="93"/>
      <c r="E298" s="94"/>
      <c r="F298" s="91" t="str">
        <f t="shared" si="29"/>
        <v/>
      </c>
      <c r="G298" s="91" t="str">
        <f t="shared" si="30"/>
        <v/>
      </c>
      <c r="H298" s="91" t="str">
        <f t="shared" si="39"/>
        <v/>
      </c>
      <c r="I298" s="79" t="str">
        <f t="shared" si="21"/>
        <v/>
      </c>
      <c r="J298" s="76"/>
      <c r="K298" s="74"/>
      <c r="L298" s="75"/>
      <c r="M298" s="74"/>
      <c r="N298" s="74"/>
      <c r="O298" s="74"/>
      <c r="P298" s="74"/>
      <c r="Q298" s="74"/>
      <c r="R298" s="74"/>
      <c r="S298" s="74"/>
      <c r="T298" s="74"/>
      <c r="U298" s="74"/>
      <c r="V298" s="74"/>
      <c r="W298" s="74"/>
      <c r="X298" s="74"/>
      <c r="Y298" s="74"/>
    </row>
    <row r="299" spans="1:25" ht="18" outlineLevel="1">
      <c r="A299" s="74"/>
      <c r="B299" s="79">
        <f t="shared" ref="B299:B399" si="41">IF(C299="","",IF(F299="B",COUNTIF($F$6:F299,"B"),""))</f>
        <v>52</v>
      </c>
      <c r="C299" s="94" t="s">
        <v>419</v>
      </c>
      <c r="D299" s="95" t="s">
        <v>127</v>
      </c>
      <c r="E299" s="94"/>
      <c r="F299" s="91" t="str">
        <f t="shared" si="29"/>
        <v>B</v>
      </c>
      <c r="G299" s="91" t="str">
        <f t="shared" si="30"/>
        <v>Phức tạp</v>
      </c>
      <c r="H299" s="91">
        <f t="shared" si="39"/>
        <v>8</v>
      </c>
      <c r="I299" s="79" t="str">
        <f t="shared" si="21"/>
        <v/>
      </c>
      <c r="J299" s="76"/>
      <c r="K299" s="74"/>
      <c r="L299" s="75"/>
      <c r="M299" s="74"/>
      <c r="N299" s="74"/>
      <c r="O299" s="74"/>
      <c r="P299" s="74"/>
      <c r="Q299" s="74"/>
      <c r="R299" s="74"/>
      <c r="S299" s="74"/>
      <c r="T299" s="74"/>
      <c r="U299" s="74"/>
      <c r="V299" s="74"/>
      <c r="W299" s="74"/>
      <c r="X299" s="74"/>
      <c r="Y299" s="74"/>
    </row>
    <row r="300" spans="1:25" ht="33.6" outlineLevel="1">
      <c r="A300" s="74"/>
      <c r="B300" s="91" t="str">
        <f t="shared" si="41"/>
        <v/>
      </c>
      <c r="C300" s="94"/>
      <c r="D300" s="95"/>
      <c r="E300" s="94" t="s">
        <v>420</v>
      </c>
      <c r="F300" s="91" t="str">
        <f t="shared" si="29"/>
        <v/>
      </c>
      <c r="G300" s="91" t="str">
        <f t="shared" si="30"/>
        <v/>
      </c>
      <c r="H300" s="91" t="str">
        <f t="shared" si="39"/>
        <v/>
      </c>
      <c r="I300" s="79">
        <f t="shared" si="21"/>
        <v>52</v>
      </c>
      <c r="J300" s="76"/>
      <c r="K300" s="74"/>
      <c r="L300" s="75"/>
      <c r="M300" s="74"/>
      <c r="N300" s="74"/>
      <c r="O300" s="74"/>
      <c r="P300" s="74"/>
      <c r="Q300" s="74"/>
      <c r="R300" s="74"/>
      <c r="S300" s="74"/>
      <c r="T300" s="74"/>
      <c r="U300" s="74"/>
      <c r="V300" s="74"/>
      <c r="W300" s="74"/>
      <c r="X300" s="74"/>
      <c r="Y300" s="74"/>
    </row>
    <row r="301" spans="1:25" ht="33.6" outlineLevel="1">
      <c r="A301" s="74"/>
      <c r="B301" s="91" t="str">
        <f t="shared" si="41"/>
        <v/>
      </c>
      <c r="C301" s="94"/>
      <c r="D301" s="95"/>
      <c r="E301" s="94" t="s">
        <v>421</v>
      </c>
      <c r="F301" s="91" t="str">
        <f t="shared" si="29"/>
        <v/>
      </c>
      <c r="G301" s="91" t="str">
        <f t="shared" si="30"/>
        <v/>
      </c>
      <c r="H301" s="91" t="str">
        <f t="shared" si="39"/>
        <v/>
      </c>
      <c r="I301" s="79">
        <f t="shared" si="21"/>
        <v>52</v>
      </c>
      <c r="J301" s="76"/>
      <c r="K301" s="74"/>
      <c r="L301" s="75"/>
      <c r="M301" s="74"/>
      <c r="N301" s="74"/>
      <c r="O301" s="74"/>
      <c r="P301" s="74"/>
      <c r="Q301" s="74"/>
      <c r="R301" s="74"/>
      <c r="S301" s="74"/>
      <c r="T301" s="74"/>
      <c r="U301" s="74"/>
      <c r="V301" s="74"/>
      <c r="W301" s="74"/>
      <c r="X301" s="74"/>
      <c r="Y301" s="74"/>
    </row>
    <row r="302" spans="1:25" ht="33.6" outlineLevel="1">
      <c r="A302" s="74"/>
      <c r="B302" s="91" t="str">
        <f t="shared" si="41"/>
        <v/>
      </c>
      <c r="C302" s="94"/>
      <c r="D302" s="95"/>
      <c r="E302" s="94" t="s">
        <v>422</v>
      </c>
      <c r="F302" s="91" t="str">
        <f t="shared" si="29"/>
        <v/>
      </c>
      <c r="G302" s="91" t="str">
        <f t="shared" si="30"/>
        <v/>
      </c>
      <c r="H302" s="91" t="str">
        <f t="shared" si="39"/>
        <v/>
      </c>
      <c r="I302" s="79">
        <f t="shared" si="21"/>
        <v>52</v>
      </c>
      <c r="J302" s="76"/>
      <c r="K302" s="74"/>
      <c r="L302" s="75"/>
      <c r="M302" s="74"/>
      <c r="N302" s="74"/>
      <c r="O302" s="74"/>
      <c r="P302" s="74"/>
      <c r="Q302" s="74"/>
      <c r="R302" s="74"/>
      <c r="S302" s="74"/>
      <c r="T302" s="74"/>
      <c r="U302" s="74"/>
      <c r="V302" s="74"/>
      <c r="W302" s="74"/>
      <c r="X302" s="74"/>
      <c r="Y302" s="74"/>
    </row>
    <row r="303" spans="1:25" ht="33.6" outlineLevel="1">
      <c r="A303" s="74"/>
      <c r="B303" s="91" t="str">
        <f t="shared" si="41"/>
        <v/>
      </c>
      <c r="C303" s="94"/>
      <c r="D303" s="95"/>
      <c r="E303" s="94" t="s">
        <v>423</v>
      </c>
      <c r="F303" s="91" t="str">
        <f t="shared" si="29"/>
        <v/>
      </c>
      <c r="G303" s="91" t="str">
        <f t="shared" si="30"/>
        <v/>
      </c>
      <c r="H303" s="91" t="str">
        <f t="shared" si="39"/>
        <v/>
      </c>
      <c r="I303" s="79">
        <f t="shared" si="21"/>
        <v>52</v>
      </c>
      <c r="J303" s="76"/>
      <c r="K303" s="74"/>
      <c r="L303" s="75"/>
      <c r="M303" s="74"/>
      <c r="N303" s="74"/>
      <c r="O303" s="74"/>
      <c r="P303" s="74"/>
      <c r="Q303" s="74"/>
      <c r="R303" s="74"/>
      <c r="S303" s="74"/>
      <c r="T303" s="74"/>
      <c r="U303" s="74"/>
      <c r="V303" s="74"/>
      <c r="W303" s="74"/>
      <c r="X303" s="74"/>
      <c r="Y303" s="74"/>
    </row>
    <row r="304" spans="1:25" ht="33.6" outlineLevel="1">
      <c r="A304" s="74"/>
      <c r="B304" s="91" t="str">
        <f t="shared" si="41"/>
        <v/>
      </c>
      <c r="C304" s="94"/>
      <c r="D304" s="95"/>
      <c r="E304" s="94" t="s">
        <v>424</v>
      </c>
      <c r="F304" s="91" t="str">
        <f t="shared" si="29"/>
        <v/>
      </c>
      <c r="G304" s="91" t="str">
        <f t="shared" si="30"/>
        <v/>
      </c>
      <c r="H304" s="91" t="str">
        <f t="shared" si="39"/>
        <v/>
      </c>
      <c r="I304" s="79">
        <f t="shared" si="21"/>
        <v>52</v>
      </c>
      <c r="J304" s="76"/>
      <c r="K304" s="74"/>
      <c r="L304" s="75"/>
      <c r="M304" s="74"/>
      <c r="N304" s="74"/>
      <c r="O304" s="74"/>
      <c r="P304" s="74"/>
      <c r="Q304" s="74"/>
      <c r="R304" s="74"/>
      <c r="S304" s="74"/>
      <c r="T304" s="74"/>
      <c r="U304" s="74"/>
      <c r="V304" s="74"/>
      <c r="W304" s="74"/>
      <c r="X304" s="74"/>
      <c r="Y304" s="74"/>
    </row>
    <row r="305" spans="1:25" ht="33.6" outlineLevel="1">
      <c r="A305" s="74"/>
      <c r="B305" s="91" t="str">
        <f t="shared" si="41"/>
        <v/>
      </c>
      <c r="C305" s="94"/>
      <c r="D305" s="95"/>
      <c r="E305" s="94" t="s">
        <v>425</v>
      </c>
      <c r="F305" s="91" t="str">
        <f t="shared" si="29"/>
        <v/>
      </c>
      <c r="G305" s="91" t="str">
        <f t="shared" si="30"/>
        <v/>
      </c>
      <c r="H305" s="91" t="str">
        <f t="shared" si="39"/>
        <v/>
      </c>
      <c r="I305" s="79">
        <f t="shared" si="21"/>
        <v>52</v>
      </c>
      <c r="J305" s="76"/>
      <c r="K305" s="74"/>
      <c r="L305" s="75"/>
      <c r="M305" s="74"/>
      <c r="N305" s="74"/>
      <c r="O305" s="74"/>
      <c r="P305" s="74"/>
      <c r="Q305" s="74"/>
      <c r="R305" s="74"/>
      <c r="S305" s="74"/>
      <c r="T305" s="74"/>
      <c r="U305" s="74"/>
      <c r="V305" s="74"/>
      <c r="W305" s="74"/>
      <c r="X305" s="74"/>
      <c r="Y305" s="74"/>
    </row>
    <row r="306" spans="1:25" ht="33.6" outlineLevel="1">
      <c r="A306" s="74"/>
      <c r="B306" s="91" t="str">
        <f t="shared" si="41"/>
        <v/>
      </c>
      <c r="C306" s="94"/>
      <c r="D306" s="95"/>
      <c r="E306" s="94" t="s">
        <v>426</v>
      </c>
      <c r="F306" s="91" t="str">
        <f t="shared" si="29"/>
        <v/>
      </c>
      <c r="G306" s="91" t="str">
        <f t="shared" si="30"/>
        <v/>
      </c>
      <c r="H306" s="91" t="str">
        <f t="shared" si="39"/>
        <v/>
      </c>
      <c r="I306" s="79">
        <f t="shared" si="21"/>
        <v>52</v>
      </c>
      <c r="J306" s="76"/>
      <c r="K306" s="74"/>
      <c r="L306" s="75"/>
      <c r="M306" s="74"/>
      <c r="N306" s="74"/>
      <c r="O306" s="74"/>
      <c r="P306" s="74"/>
      <c r="Q306" s="74"/>
      <c r="R306" s="74"/>
      <c r="S306" s="74"/>
      <c r="T306" s="74"/>
      <c r="U306" s="74"/>
      <c r="V306" s="74"/>
      <c r="W306" s="74"/>
      <c r="X306" s="74"/>
      <c r="Y306" s="74"/>
    </row>
    <row r="307" spans="1:25" ht="33.6" outlineLevel="1">
      <c r="A307" s="74"/>
      <c r="B307" s="91" t="str">
        <f t="shared" si="41"/>
        <v/>
      </c>
      <c r="C307" s="94"/>
      <c r="D307" s="95"/>
      <c r="E307" s="94" t="s">
        <v>427</v>
      </c>
      <c r="F307" s="91" t="str">
        <f t="shared" si="29"/>
        <v/>
      </c>
      <c r="G307" s="91" t="str">
        <f t="shared" si="30"/>
        <v/>
      </c>
      <c r="H307" s="91" t="str">
        <f t="shared" si="39"/>
        <v/>
      </c>
      <c r="I307" s="79">
        <f t="shared" si="21"/>
        <v>52</v>
      </c>
      <c r="J307" s="76"/>
      <c r="K307" s="74"/>
      <c r="L307" s="75"/>
      <c r="M307" s="74"/>
      <c r="N307" s="74"/>
      <c r="O307" s="74"/>
      <c r="P307" s="74"/>
      <c r="Q307" s="74"/>
      <c r="R307" s="74"/>
      <c r="S307" s="74"/>
      <c r="T307" s="74"/>
      <c r="U307" s="74"/>
      <c r="V307" s="74"/>
      <c r="W307" s="74"/>
      <c r="X307" s="74"/>
      <c r="Y307" s="74"/>
    </row>
    <row r="308" spans="1:25" ht="18" outlineLevel="1">
      <c r="A308" s="74"/>
      <c r="B308" s="79">
        <f t="shared" si="41"/>
        <v>53</v>
      </c>
      <c r="C308" s="94" t="s">
        <v>428</v>
      </c>
      <c r="D308" s="95" t="s">
        <v>127</v>
      </c>
      <c r="E308" s="94"/>
      <c r="F308" s="91" t="str">
        <f t="shared" si="29"/>
        <v>B</v>
      </c>
      <c r="G308" s="91" t="str">
        <f t="shared" si="30"/>
        <v>Đơn giản</v>
      </c>
      <c r="H308" s="91"/>
      <c r="I308" s="79" t="str">
        <f t="shared" si="21"/>
        <v/>
      </c>
      <c r="J308" s="76"/>
      <c r="K308" s="74"/>
      <c r="L308" s="75"/>
      <c r="M308" s="74"/>
      <c r="N308" s="74"/>
      <c r="O308" s="74"/>
      <c r="P308" s="74"/>
      <c r="Q308" s="74"/>
      <c r="R308" s="74"/>
      <c r="S308" s="74"/>
      <c r="T308" s="74"/>
      <c r="U308" s="74"/>
      <c r="V308" s="74"/>
      <c r="W308" s="74"/>
      <c r="X308" s="74"/>
      <c r="Y308" s="74"/>
    </row>
    <row r="309" spans="1:25" ht="50.45">
      <c r="A309" s="74"/>
      <c r="B309" s="91" t="str">
        <f t="shared" si="41"/>
        <v/>
      </c>
      <c r="C309" s="94"/>
      <c r="D309" s="95"/>
      <c r="E309" s="94" t="s">
        <v>429</v>
      </c>
      <c r="F309" s="91" t="str">
        <f t="shared" si="29"/>
        <v/>
      </c>
      <c r="G309" s="91" t="str">
        <f t="shared" si="30"/>
        <v/>
      </c>
      <c r="H309" s="91"/>
      <c r="I309" s="79">
        <f t="shared" si="21"/>
        <v>53</v>
      </c>
      <c r="J309" s="76"/>
      <c r="K309" s="74"/>
      <c r="L309" s="75"/>
      <c r="M309" s="74"/>
      <c r="N309" s="74"/>
      <c r="O309" s="74"/>
      <c r="P309" s="74"/>
      <c r="Q309" s="74"/>
      <c r="R309" s="74"/>
      <c r="S309" s="74"/>
      <c r="T309" s="74"/>
      <c r="U309" s="74"/>
      <c r="V309" s="74"/>
      <c r="W309" s="74"/>
      <c r="X309" s="74"/>
      <c r="Y309" s="74"/>
    </row>
    <row r="310" spans="1:25" ht="50.45">
      <c r="A310" s="74"/>
      <c r="B310" s="91" t="str">
        <f t="shared" si="41"/>
        <v/>
      </c>
      <c r="C310" s="94"/>
      <c r="D310" s="95"/>
      <c r="E310" s="94" t="s">
        <v>430</v>
      </c>
      <c r="F310" s="91" t="str">
        <f t="shared" si="29"/>
        <v/>
      </c>
      <c r="G310" s="91" t="str">
        <f t="shared" si="30"/>
        <v/>
      </c>
      <c r="H310" s="91" t="str">
        <f>IF(AND(B310&lt;&gt;"",C310&lt;&gt;"",D310&lt;&gt;""),COUNTIF(I310:I596,B310),"")</f>
        <v/>
      </c>
      <c r="I310" s="79">
        <f t="shared" si="21"/>
        <v>53</v>
      </c>
      <c r="J310" s="76"/>
      <c r="K310" s="74"/>
      <c r="L310" s="75"/>
      <c r="M310" s="74"/>
      <c r="N310" s="74"/>
      <c r="O310" s="74"/>
      <c r="P310" s="74"/>
      <c r="Q310" s="74"/>
      <c r="R310" s="74"/>
      <c r="S310" s="74"/>
      <c r="T310" s="74"/>
      <c r="U310" s="74"/>
      <c r="V310" s="74"/>
      <c r="W310" s="74"/>
      <c r="X310" s="74"/>
      <c r="Y310" s="74"/>
    </row>
    <row r="311" spans="1:25" ht="33.6" outlineLevel="1">
      <c r="A311" s="74"/>
      <c r="B311" s="91" t="str">
        <f t="shared" si="41"/>
        <v/>
      </c>
      <c r="C311" s="94"/>
      <c r="D311" s="95"/>
      <c r="E311" s="94" t="s">
        <v>431</v>
      </c>
      <c r="F311" s="91" t="str">
        <f t="shared" si="29"/>
        <v/>
      </c>
      <c r="G311" s="91" t="str">
        <f t="shared" si="30"/>
        <v/>
      </c>
      <c r="H311" s="91" t="str">
        <f t="shared" ref="H311:H314" si="42">IF(AND(B311&lt;&gt;"",C311&lt;&gt;"",D311&lt;&gt;""),COUNTIF(I311:I576,B311),"")</f>
        <v/>
      </c>
      <c r="I311" s="79">
        <f t="shared" si="21"/>
        <v>53</v>
      </c>
      <c r="J311" s="76"/>
      <c r="K311" s="74"/>
      <c r="L311" s="75"/>
      <c r="M311" s="74"/>
      <c r="N311" s="74"/>
      <c r="O311" s="74"/>
      <c r="P311" s="74"/>
      <c r="Q311" s="74"/>
      <c r="R311" s="74"/>
      <c r="S311" s="74"/>
      <c r="T311" s="74"/>
      <c r="U311" s="74"/>
      <c r="V311" s="74"/>
      <c r="W311" s="74"/>
      <c r="X311" s="74"/>
      <c r="Y311" s="74"/>
    </row>
    <row r="312" spans="1:25" ht="33.6" outlineLevel="1">
      <c r="A312" s="74"/>
      <c r="B312" s="91" t="str">
        <f t="shared" si="41"/>
        <v/>
      </c>
      <c r="C312" s="94"/>
      <c r="D312" s="95"/>
      <c r="E312" s="94" t="s">
        <v>432</v>
      </c>
      <c r="F312" s="91" t="str">
        <f t="shared" si="29"/>
        <v/>
      </c>
      <c r="G312" s="91" t="str">
        <f t="shared" si="30"/>
        <v/>
      </c>
      <c r="H312" s="91" t="str">
        <f t="shared" si="42"/>
        <v/>
      </c>
      <c r="I312" s="79">
        <f t="shared" si="21"/>
        <v>53</v>
      </c>
      <c r="J312" s="76"/>
      <c r="K312" s="74"/>
      <c r="L312" s="75"/>
      <c r="M312" s="74"/>
      <c r="N312" s="74"/>
      <c r="O312" s="74"/>
      <c r="P312" s="74"/>
      <c r="Q312" s="74"/>
      <c r="R312" s="74"/>
      <c r="S312" s="74"/>
      <c r="T312" s="74"/>
      <c r="U312" s="74"/>
      <c r="V312" s="74"/>
      <c r="W312" s="74"/>
      <c r="X312" s="74"/>
      <c r="Y312" s="74"/>
    </row>
    <row r="313" spans="1:25" ht="33.6" outlineLevel="1">
      <c r="A313" s="74"/>
      <c r="B313" s="91" t="str">
        <f t="shared" si="41"/>
        <v/>
      </c>
      <c r="C313" s="94"/>
      <c r="D313" s="95"/>
      <c r="E313" s="94" t="s">
        <v>433</v>
      </c>
      <c r="F313" s="91" t="str">
        <f t="shared" si="29"/>
        <v/>
      </c>
      <c r="G313" s="91" t="str">
        <f t="shared" si="30"/>
        <v/>
      </c>
      <c r="H313" s="91" t="str">
        <f t="shared" si="42"/>
        <v/>
      </c>
      <c r="I313" s="79">
        <f t="shared" si="21"/>
        <v>53</v>
      </c>
      <c r="J313" s="76"/>
      <c r="K313" s="74"/>
      <c r="L313" s="75"/>
      <c r="M313" s="74"/>
      <c r="N313" s="74"/>
      <c r="O313" s="74"/>
      <c r="P313" s="74"/>
      <c r="Q313" s="74"/>
      <c r="R313" s="74"/>
      <c r="S313" s="74"/>
      <c r="T313" s="74"/>
      <c r="U313" s="74"/>
      <c r="V313" s="74"/>
      <c r="W313" s="74"/>
      <c r="X313" s="74"/>
      <c r="Y313" s="74"/>
    </row>
    <row r="314" spans="1:25" ht="18" outlineLevel="1">
      <c r="A314" s="74"/>
      <c r="B314" s="79">
        <f t="shared" si="41"/>
        <v>54</v>
      </c>
      <c r="C314" s="94" t="s">
        <v>434</v>
      </c>
      <c r="D314" s="95" t="s">
        <v>127</v>
      </c>
      <c r="E314" s="94"/>
      <c r="F314" s="91" t="str">
        <f t="shared" si="29"/>
        <v>B</v>
      </c>
      <c r="G314" s="91" t="str">
        <f t="shared" si="30"/>
        <v>Phức tạp</v>
      </c>
      <c r="H314" s="91">
        <f t="shared" si="42"/>
        <v>12</v>
      </c>
      <c r="I314" s="79" t="str">
        <f t="shared" si="21"/>
        <v/>
      </c>
      <c r="J314" s="76"/>
      <c r="K314" s="74"/>
      <c r="L314" s="75"/>
      <c r="M314" s="74"/>
      <c r="N314" s="74"/>
      <c r="O314" s="74"/>
      <c r="P314" s="74"/>
      <c r="Q314" s="74"/>
      <c r="R314" s="74"/>
      <c r="S314" s="74"/>
      <c r="T314" s="74"/>
      <c r="U314" s="74"/>
      <c r="V314" s="74"/>
      <c r="W314" s="74"/>
      <c r="X314" s="74"/>
      <c r="Y314" s="74"/>
    </row>
    <row r="315" spans="1:25" ht="33.6" outlineLevel="1">
      <c r="A315" s="74"/>
      <c r="B315" s="91" t="str">
        <f t="shared" si="41"/>
        <v/>
      </c>
      <c r="C315" s="94"/>
      <c r="D315" s="95"/>
      <c r="E315" s="94" t="s">
        <v>435</v>
      </c>
      <c r="F315" s="91" t="str">
        <f t="shared" si="29"/>
        <v/>
      </c>
      <c r="G315" s="91" t="str">
        <f t="shared" si="30"/>
        <v/>
      </c>
      <c r="H315" s="91"/>
      <c r="I315" s="79">
        <f t="shared" si="21"/>
        <v>54</v>
      </c>
      <c r="J315" s="76"/>
      <c r="K315" s="74"/>
      <c r="L315" s="75"/>
      <c r="M315" s="74"/>
      <c r="N315" s="74"/>
      <c r="O315" s="74"/>
      <c r="P315" s="74"/>
      <c r="Q315" s="74"/>
      <c r="R315" s="74"/>
      <c r="S315" s="74"/>
      <c r="T315" s="74"/>
      <c r="U315" s="74"/>
      <c r="V315" s="74"/>
      <c r="W315" s="74"/>
      <c r="X315" s="74"/>
      <c r="Y315" s="74"/>
    </row>
    <row r="316" spans="1:25" ht="33.6" outlineLevel="1">
      <c r="A316" s="74"/>
      <c r="B316" s="91" t="str">
        <f t="shared" si="41"/>
        <v/>
      </c>
      <c r="C316" s="94"/>
      <c r="D316" s="95"/>
      <c r="E316" s="94" t="s">
        <v>436</v>
      </c>
      <c r="F316" s="91" t="str">
        <f t="shared" si="29"/>
        <v/>
      </c>
      <c r="G316" s="91" t="str">
        <f t="shared" si="30"/>
        <v/>
      </c>
      <c r="H316" s="91"/>
      <c r="I316" s="79">
        <f t="shared" si="21"/>
        <v>54</v>
      </c>
      <c r="J316" s="76"/>
      <c r="K316" s="74"/>
      <c r="L316" s="75"/>
      <c r="M316" s="74"/>
      <c r="N316" s="74"/>
      <c r="O316" s="74"/>
      <c r="P316" s="74"/>
      <c r="Q316" s="74"/>
      <c r="R316" s="74"/>
      <c r="S316" s="74"/>
      <c r="T316" s="74"/>
      <c r="U316" s="74"/>
      <c r="V316" s="74"/>
      <c r="W316" s="74"/>
      <c r="X316" s="74"/>
      <c r="Y316" s="74"/>
    </row>
    <row r="317" spans="1:25" ht="33.6" outlineLevel="1">
      <c r="A317" s="74"/>
      <c r="B317" s="91" t="str">
        <f t="shared" si="41"/>
        <v/>
      </c>
      <c r="C317" s="94"/>
      <c r="D317" s="95"/>
      <c r="E317" s="94" t="s">
        <v>437</v>
      </c>
      <c r="F317" s="91" t="str">
        <f t="shared" si="29"/>
        <v/>
      </c>
      <c r="G317" s="91" t="str">
        <f t="shared" si="30"/>
        <v/>
      </c>
      <c r="H317" s="91"/>
      <c r="I317" s="79">
        <f t="shared" si="21"/>
        <v>54</v>
      </c>
      <c r="J317" s="76"/>
      <c r="K317" s="74"/>
      <c r="L317" s="75"/>
      <c r="M317" s="74"/>
      <c r="N317" s="74"/>
      <c r="O317" s="74"/>
      <c r="P317" s="74"/>
      <c r="Q317" s="74"/>
      <c r="R317" s="74"/>
      <c r="S317" s="74"/>
      <c r="T317" s="74"/>
      <c r="U317" s="74"/>
      <c r="V317" s="74"/>
      <c r="W317" s="74"/>
      <c r="X317" s="74"/>
      <c r="Y317" s="74"/>
    </row>
    <row r="318" spans="1:25" ht="33.6" outlineLevel="1">
      <c r="A318" s="74"/>
      <c r="B318" s="91" t="str">
        <f t="shared" si="41"/>
        <v/>
      </c>
      <c r="C318" s="94"/>
      <c r="D318" s="95"/>
      <c r="E318" s="94" t="s">
        <v>438</v>
      </c>
      <c r="F318" s="91" t="str">
        <f t="shared" si="29"/>
        <v/>
      </c>
      <c r="G318" s="91" t="str">
        <f t="shared" si="30"/>
        <v/>
      </c>
      <c r="H318" s="91"/>
      <c r="I318" s="79">
        <f t="shared" si="21"/>
        <v>54</v>
      </c>
      <c r="J318" s="76"/>
      <c r="K318" s="74"/>
      <c r="L318" s="75"/>
      <c r="M318" s="74"/>
      <c r="N318" s="74"/>
      <c r="O318" s="74"/>
      <c r="P318" s="74"/>
      <c r="Q318" s="74"/>
      <c r="R318" s="74"/>
      <c r="S318" s="74"/>
      <c r="T318" s="74"/>
      <c r="U318" s="74"/>
      <c r="V318" s="74"/>
      <c r="W318" s="74"/>
      <c r="X318" s="74"/>
      <c r="Y318" s="74"/>
    </row>
    <row r="319" spans="1:25" ht="33.6" outlineLevel="1">
      <c r="A319" s="74"/>
      <c r="B319" s="91" t="str">
        <f t="shared" si="41"/>
        <v/>
      </c>
      <c r="C319" s="94"/>
      <c r="D319" s="95"/>
      <c r="E319" s="94" t="s">
        <v>439</v>
      </c>
      <c r="F319" s="91" t="str">
        <f t="shared" si="29"/>
        <v/>
      </c>
      <c r="G319" s="91" t="str">
        <f t="shared" si="30"/>
        <v/>
      </c>
      <c r="H319" s="91"/>
      <c r="I319" s="79">
        <f t="shared" si="21"/>
        <v>54</v>
      </c>
      <c r="J319" s="76"/>
      <c r="K319" s="74"/>
      <c r="L319" s="75"/>
      <c r="M319" s="74"/>
      <c r="N319" s="74"/>
      <c r="O319" s="74"/>
      <c r="P319" s="74"/>
      <c r="Q319" s="74"/>
      <c r="R319" s="74"/>
      <c r="S319" s="74"/>
      <c r="T319" s="74"/>
      <c r="U319" s="74"/>
      <c r="V319" s="74"/>
      <c r="W319" s="74"/>
      <c r="X319" s="74"/>
      <c r="Y319" s="74"/>
    </row>
    <row r="320" spans="1:25" ht="33.6" outlineLevel="1">
      <c r="A320" s="74"/>
      <c r="B320" s="91" t="str">
        <f t="shared" si="41"/>
        <v/>
      </c>
      <c r="C320" s="94"/>
      <c r="D320" s="95"/>
      <c r="E320" s="94" t="s">
        <v>440</v>
      </c>
      <c r="F320" s="91" t="str">
        <f t="shared" si="29"/>
        <v/>
      </c>
      <c r="G320" s="91" t="str">
        <f t="shared" si="30"/>
        <v/>
      </c>
      <c r="H320" s="91"/>
      <c r="I320" s="79">
        <f t="shared" si="21"/>
        <v>54</v>
      </c>
      <c r="J320" s="76"/>
      <c r="K320" s="74"/>
      <c r="L320" s="75"/>
      <c r="M320" s="74"/>
      <c r="N320" s="74"/>
      <c r="O320" s="74"/>
      <c r="P320" s="74"/>
      <c r="Q320" s="74"/>
      <c r="R320" s="74"/>
      <c r="S320" s="74"/>
      <c r="T320" s="74"/>
      <c r="U320" s="74"/>
      <c r="V320" s="74"/>
      <c r="W320" s="74"/>
      <c r="X320" s="74"/>
      <c r="Y320" s="74"/>
    </row>
    <row r="321" spans="1:25" ht="50.45" outlineLevel="1">
      <c r="A321" s="74"/>
      <c r="B321" s="91" t="str">
        <f t="shared" si="41"/>
        <v/>
      </c>
      <c r="C321" s="94"/>
      <c r="D321" s="95"/>
      <c r="E321" s="94" t="s">
        <v>441</v>
      </c>
      <c r="F321" s="91" t="str">
        <f t="shared" si="29"/>
        <v/>
      </c>
      <c r="G321" s="91" t="str">
        <f t="shared" si="30"/>
        <v/>
      </c>
      <c r="H321" s="91"/>
      <c r="I321" s="79">
        <f t="shared" si="21"/>
        <v>54</v>
      </c>
      <c r="J321" s="76"/>
      <c r="K321" s="74"/>
      <c r="L321" s="75"/>
      <c r="M321" s="74"/>
      <c r="N321" s="74"/>
      <c r="O321" s="74"/>
      <c r="P321" s="74"/>
      <c r="Q321" s="74"/>
      <c r="R321" s="74"/>
      <c r="S321" s="74"/>
      <c r="T321" s="74"/>
      <c r="U321" s="74"/>
      <c r="V321" s="74"/>
      <c r="W321" s="74"/>
      <c r="X321" s="74"/>
      <c r="Y321" s="74"/>
    </row>
    <row r="322" spans="1:25" ht="33.6" outlineLevel="1">
      <c r="A322" s="74"/>
      <c r="B322" s="91" t="str">
        <f t="shared" si="41"/>
        <v/>
      </c>
      <c r="C322" s="94"/>
      <c r="D322" s="95"/>
      <c r="E322" s="94" t="s">
        <v>442</v>
      </c>
      <c r="F322" s="91" t="str">
        <f t="shared" si="29"/>
        <v/>
      </c>
      <c r="G322" s="91" t="str">
        <f t="shared" si="30"/>
        <v/>
      </c>
      <c r="H322" s="91" t="str">
        <f t="shared" ref="H322:H323" si="43">IF(AND(B322&lt;&gt;"",C322&lt;&gt;"",D322&lt;&gt;""),COUNTIF(I322:I553,B322),"")</f>
        <v/>
      </c>
      <c r="I322" s="79">
        <f t="shared" si="21"/>
        <v>54</v>
      </c>
      <c r="J322" s="76"/>
      <c r="K322" s="74"/>
      <c r="L322" s="75"/>
      <c r="M322" s="74"/>
      <c r="N322" s="74"/>
      <c r="O322" s="74"/>
      <c r="P322" s="74"/>
      <c r="Q322" s="74"/>
      <c r="R322" s="74"/>
      <c r="S322" s="74"/>
      <c r="T322" s="74"/>
      <c r="U322" s="74"/>
      <c r="V322" s="74"/>
      <c r="W322" s="74"/>
      <c r="X322" s="74"/>
      <c r="Y322" s="74"/>
    </row>
    <row r="323" spans="1:25" ht="33.6" outlineLevel="1">
      <c r="A323" s="74"/>
      <c r="B323" s="91" t="str">
        <f t="shared" si="41"/>
        <v/>
      </c>
      <c r="C323" s="94"/>
      <c r="D323" s="95"/>
      <c r="E323" s="94" t="s">
        <v>443</v>
      </c>
      <c r="F323" s="91" t="str">
        <f t="shared" si="29"/>
        <v/>
      </c>
      <c r="G323" s="91" t="str">
        <f t="shared" si="30"/>
        <v/>
      </c>
      <c r="H323" s="91" t="str">
        <f t="shared" si="43"/>
        <v/>
      </c>
      <c r="I323" s="79">
        <f t="shared" si="21"/>
        <v>54</v>
      </c>
      <c r="J323" s="76"/>
      <c r="K323" s="74"/>
      <c r="L323" s="75"/>
      <c r="M323" s="74"/>
      <c r="N323" s="74"/>
      <c r="O323" s="74"/>
      <c r="P323" s="74"/>
      <c r="Q323" s="74"/>
      <c r="R323" s="74"/>
      <c r="S323" s="74"/>
      <c r="T323" s="74"/>
      <c r="U323" s="74"/>
      <c r="V323" s="74"/>
      <c r="W323" s="74"/>
      <c r="X323" s="74"/>
      <c r="Y323" s="74"/>
    </row>
    <row r="324" spans="1:25" ht="33.6" outlineLevel="1">
      <c r="A324" s="74"/>
      <c r="B324" s="91" t="str">
        <f t="shared" si="41"/>
        <v/>
      </c>
      <c r="C324" s="94"/>
      <c r="D324" s="95"/>
      <c r="E324" s="94" t="s">
        <v>444</v>
      </c>
      <c r="F324" s="91"/>
      <c r="G324" s="91"/>
      <c r="H324" s="91"/>
      <c r="I324" s="79">
        <f t="shared" si="21"/>
        <v>54</v>
      </c>
      <c r="J324" s="76"/>
      <c r="K324" s="74"/>
      <c r="L324" s="75"/>
      <c r="M324" s="74"/>
      <c r="N324" s="74"/>
      <c r="O324" s="74"/>
      <c r="P324" s="74"/>
      <c r="Q324" s="74"/>
      <c r="R324" s="74"/>
      <c r="S324" s="74"/>
      <c r="T324" s="74"/>
      <c r="U324" s="74"/>
      <c r="V324" s="74"/>
      <c r="W324" s="74"/>
      <c r="X324" s="74"/>
      <c r="Y324" s="74"/>
    </row>
    <row r="325" spans="1:25" ht="33.6" outlineLevel="1">
      <c r="A325" s="74"/>
      <c r="B325" s="91" t="str">
        <f t="shared" si="41"/>
        <v/>
      </c>
      <c r="C325" s="94"/>
      <c r="D325" s="95"/>
      <c r="E325" s="94" t="s">
        <v>445</v>
      </c>
      <c r="F325" s="91" t="str">
        <f t="shared" ref="F325:F393" si="44">IF(D325="","","B")</f>
        <v/>
      </c>
      <c r="G325" s="91" t="str">
        <f t="shared" ref="G325:G394" si="45">IF(AND(B325&lt;&gt;"",C325&lt;&gt;"",D325&lt;&gt;""),IF(H325&lt;4,$K$1,IF(H325&lt;8,$K$2,$K$3)),"")</f>
        <v/>
      </c>
      <c r="H325" s="91" t="str">
        <f>IF(AND(B325&lt;&gt;"",C325&lt;&gt;"",D325&lt;&gt;""),COUNTIF(I325:I536,B325),"")</f>
        <v/>
      </c>
      <c r="I325" s="79">
        <f t="shared" si="21"/>
        <v>54</v>
      </c>
      <c r="J325" s="76"/>
      <c r="K325" s="74"/>
      <c r="L325" s="75"/>
      <c r="M325" s="74"/>
      <c r="N325" s="74"/>
      <c r="O325" s="74"/>
      <c r="P325" s="74"/>
      <c r="Q325" s="74"/>
      <c r="R325" s="74"/>
      <c r="S325" s="74"/>
      <c r="T325" s="74"/>
      <c r="U325" s="74"/>
      <c r="V325" s="74"/>
      <c r="W325" s="74"/>
      <c r="X325" s="74"/>
      <c r="Y325" s="74"/>
    </row>
    <row r="326" spans="1:25" ht="50.45" outlineLevel="1">
      <c r="A326" s="74"/>
      <c r="B326" s="91" t="str">
        <f t="shared" si="41"/>
        <v/>
      </c>
      <c r="C326" s="94"/>
      <c r="D326" s="95"/>
      <c r="E326" s="94" t="s">
        <v>446</v>
      </c>
      <c r="F326" s="91" t="str">
        <f t="shared" si="44"/>
        <v/>
      </c>
      <c r="G326" s="91" t="str">
        <f t="shared" si="45"/>
        <v/>
      </c>
      <c r="H326" s="91" t="str">
        <f t="shared" ref="H326:H333" si="46">IF(AND(B326&lt;&gt;"",C326&lt;&gt;"",D326&lt;&gt;""),COUNTIF(I326:I537,B326)-1,"")</f>
        <v/>
      </c>
      <c r="I326" s="79">
        <f t="shared" si="21"/>
        <v>54</v>
      </c>
      <c r="J326" s="76"/>
      <c r="K326" s="74"/>
      <c r="L326" s="75"/>
      <c r="M326" s="74"/>
      <c r="N326" s="74"/>
      <c r="O326" s="74"/>
      <c r="P326" s="74"/>
      <c r="Q326" s="74"/>
      <c r="R326" s="74"/>
      <c r="S326" s="74"/>
      <c r="T326" s="74"/>
      <c r="U326" s="74"/>
      <c r="V326" s="74"/>
      <c r="W326" s="74"/>
      <c r="X326" s="74"/>
      <c r="Y326" s="74"/>
    </row>
    <row r="327" spans="1:25" ht="18" outlineLevel="1">
      <c r="A327" s="74"/>
      <c r="B327" s="79">
        <f t="shared" si="41"/>
        <v>55</v>
      </c>
      <c r="C327" s="94" t="s">
        <v>447</v>
      </c>
      <c r="D327" s="95" t="s">
        <v>127</v>
      </c>
      <c r="E327" s="94"/>
      <c r="F327" s="91" t="str">
        <f t="shared" si="44"/>
        <v>B</v>
      </c>
      <c r="G327" s="91" t="str">
        <f t="shared" si="45"/>
        <v>Phức tạp</v>
      </c>
      <c r="H327" s="91">
        <f t="shared" si="46"/>
        <v>9</v>
      </c>
      <c r="I327" s="79" t="str">
        <f t="shared" si="21"/>
        <v/>
      </c>
      <c r="J327" s="76"/>
      <c r="K327" s="74"/>
      <c r="L327" s="75"/>
      <c r="M327" s="74"/>
      <c r="N327" s="74"/>
      <c r="O327" s="74"/>
      <c r="P327" s="74"/>
      <c r="Q327" s="74"/>
      <c r="R327" s="74"/>
      <c r="S327" s="74"/>
      <c r="T327" s="74"/>
      <c r="U327" s="74"/>
      <c r="V327" s="74"/>
      <c r="W327" s="74"/>
      <c r="X327" s="74"/>
      <c r="Y327" s="74"/>
    </row>
    <row r="328" spans="1:25" ht="50.45" outlineLevel="1">
      <c r="A328" s="74"/>
      <c r="B328" s="91" t="str">
        <f t="shared" si="41"/>
        <v/>
      </c>
      <c r="C328" s="94"/>
      <c r="D328" s="95"/>
      <c r="E328" s="94" t="s">
        <v>448</v>
      </c>
      <c r="F328" s="91" t="str">
        <f t="shared" si="44"/>
        <v/>
      </c>
      <c r="G328" s="91" t="str">
        <f t="shared" si="45"/>
        <v/>
      </c>
      <c r="H328" s="91" t="str">
        <f t="shared" si="46"/>
        <v/>
      </c>
      <c r="I328" s="79">
        <f t="shared" si="21"/>
        <v>55</v>
      </c>
      <c r="J328" s="76"/>
      <c r="K328" s="74"/>
      <c r="L328" s="75"/>
      <c r="M328" s="74"/>
      <c r="N328" s="74"/>
      <c r="O328" s="74"/>
      <c r="P328" s="74"/>
      <c r="Q328" s="74"/>
      <c r="R328" s="74"/>
      <c r="S328" s="74"/>
      <c r="T328" s="74"/>
      <c r="U328" s="74"/>
      <c r="V328" s="74"/>
      <c r="W328" s="74"/>
      <c r="X328" s="74"/>
      <c r="Y328" s="74"/>
    </row>
    <row r="329" spans="1:25" ht="50.45" outlineLevel="1">
      <c r="A329" s="74"/>
      <c r="B329" s="91" t="str">
        <f t="shared" si="41"/>
        <v/>
      </c>
      <c r="C329" s="94"/>
      <c r="D329" s="95"/>
      <c r="E329" s="94" t="s">
        <v>449</v>
      </c>
      <c r="F329" s="91" t="str">
        <f t="shared" si="44"/>
        <v/>
      </c>
      <c r="G329" s="91" t="str">
        <f t="shared" si="45"/>
        <v/>
      </c>
      <c r="H329" s="91" t="str">
        <f t="shared" si="46"/>
        <v/>
      </c>
      <c r="I329" s="79">
        <f t="shared" si="21"/>
        <v>55</v>
      </c>
      <c r="J329" s="76"/>
      <c r="K329" s="74"/>
      <c r="L329" s="75"/>
      <c r="M329" s="74"/>
      <c r="N329" s="74"/>
      <c r="O329" s="74"/>
      <c r="P329" s="74"/>
      <c r="Q329" s="74"/>
      <c r="R329" s="74"/>
      <c r="S329" s="74"/>
      <c r="T329" s="74"/>
      <c r="U329" s="74"/>
      <c r="V329" s="74"/>
      <c r="W329" s="74"/>
      <c r="X329" s="74"/>
      <c r="Y329" s="74"/>
    </row>
    <row r="330" spans="1:25" ht="50.45" outlineLevel="1">
      <c r="A330" s="74"/>
      <c r="B330" s="91" t="str">
        <f t="shared" si="41"/>
        <v/>
      </c>
      <c r="C330" s="94"/>
      <c r="D330" s="95"/>
      <c r="E330" s="94" t="s">
        <v>450</v>
      </c>
      <c r="F330" s="91" t="str">
        <f t="shared" si="44"/>
        <v/>
      </c>
      <c r="G330" s="91" t="str">
        <f t="shared" si="45"/>
        <v/>
      </c>
      <c r="H330" s="91" t="str">
        <f t="shared" si="46"/>
        <v/>
      </c>
      <c r="I330" s="79">
        <f t="shared" si="21"/>
        <v>55</v>
      </c>
      <c r="J330" s="76"/>
      <c r="K330" s="74"/>
      <c r="L330" s="75"/>
      <c r="M330" s="74"/>
      <c r="N330" s="74"/>
      <c r="O330" s="74"/>
      <c r="P330" s="74"/>
      <c r="Q330" s="74"/>
      <c r="R330" s="74"/>
      <c r="S330" s="74"/>
      <c r="T330" s="74"/>
      <c r="U330" s="74"/>
      <c r="V330" s="74"/>
      <c r="W330" s="74"/>
      <c r="X330" s="74"/>
      <c r="Y330" s="74"/>
    </row>
    <row r="331" spans="1:25" ht="50.45" outlineLevel="1">
      <c r="A331" s="74"/>
      <c r="B331" s="91" t="str">
        <f t="shared" si="41"/>
        <v/>
      </c>
      <c r="C331" s="94"/>
      <c r="D331" s="95"/>
      <c r="E331" s="94" t="s">
        <v>451</v>
      </c>
      <c r="F331" s="91" t="str">
        <f t="shared" si="44"/>
        <v/>
      </c>
      <c r="G331" s="91" t="str">
        <f t="shared" si="45"/>
        <v/>
      </c>
      <c r="H331" s="91" t="str">
        <f t="shared" si="46"/>
        <v/>
      </c>
      <c r="I331" s="79">
        <f t="shared" ref="I331:I355" si="47">IF(OR(E331="",B331&lt;&gt;""),"",IF(I330&lt;&gt;"",I330,B330))</f>
        <v>55</v>
      </c>
      <c r="J331" s="76"/>
      <c r="K331" s="74"/>
      <c r="L331" s="75"/>
      <c r="M331" s="74"/>
      <c r="N331" s="74"/>
      <c r="O331" s="74"/>
      <c r="P331" s="74"/>
      <c r="Q331" s="74"/>
      <c r="R331" s="74"/>
      <c r="S331" s="74"/>
      <c r="T331" s="74"/>
      <c r="U331" s="74"/>
      <c r="V331" s="74"/>
      <c r="W331" s="74"/>
      <c r="X331" s="74"/>
      <c r="Y331" s="74"/>
    </row>
    <row r="332" spans="1:25" ht="50.45" outlineLevel="1">
      <c r="A332" s="74"/>
      <c r="B332" s="91" t="str">
        <f t="shared" si="41"/>
        <v/>
      </c>
      <c r="C332" s="94"/>
      <c r="D332" s="95"/>
      <c r="E332" s="94" t="s">
        <v>452</v>
      </c>
      <c r="F332" s="91" t="str">
        <f t="shared" si="44"/>
        <v/>
      </c>
      <c r="G332" s="91" t="str">
        <f t="shared" si="45"/>
        <v/>
      </c>
      <c r="H332" s="91" t="str">
        <f t="shared" si="46"/>
        <v/>
      </c>
      <c r="I332" s="79">
        <f t="shared" si="47"/>
        <v>55</v>
      </c>
      <c r="J332" s="76"/>
      <c r="K332" s="74"/>
      <c r="L332" s="75"/>
      <c r="M332" s="74"/>
      <c r="N332" s="74"/>
      <c r="O332" s="74"/>
      <c r="P332" s="74"/>
      <c r="Q332" s="74"/>
      <c r="R332" s="74"/>
      <c r="S332" s="74"/>
      <c r="T332" s="74"/>
      <c r="U332" s="74"/>
      <c r="V332" s="74"/>
      <c r="W332" s="74"/>
      <c r="X332" s="74"/>
      <c r="Y332" s="74"/>
    </row>
    <row r="333" spans="1:25" ht="50.45" outlineLevel="1">
      <c r="A333" s="74"/>
      <c r="B333" s="91" t="str">
        <f t="shared" si="41"/>
        <v/>
      </c>
      <c r="C333" s="94"/>
      <c r="D333" s="95"/>
      <c r="E333" s="94" t="s">
        <v>453</v>
      </c>
      <c r="F333" s="91" t="str">
        <f t="shared" si="44"/>
        <v/>
      </c>
      <c r="G333" s="91" t="str">
        <f t="shared" si="45"/>
        <v/>
      </c>
      <c r="H333" s="91" t="str">
        <f t="shared" si="46"/>
        <v/>
      </c>
      <c r="I333" s="79">
        <f t="shared" si="47"/>
        <v>55</v>
      </c>
      <c r="J333" s="76"/>
      <c r="K333" s="74"/>
      <c r="L333" s="75"/>
      <c r="M333" s="74"/>
      <c r="N333" s="74"/>
      <c r="O333" s="74"/>
      <c r="P333" s="74"/>
      <c r="Q333" s="74"/>
      <c r="R333" s="74"/>
      <c r="S333" s="74"/>
      <c r="T333" s="74"/>
      <c r="U333" s="74"/>
      <c r="V333" s="74"/>
      <c r="W333" s="74"/>
      <c r="X333" s="74"/>
      <c r="Y333" s="74"/>
    </row>
    <row r="334" spans="1:25" ht="50.45" outlineLevel="1">
      <c r="A334" s="74"/>
      <c r="B334" s="91" t="str">
        <f t="shared" si="41"/>
        <v/>
      </c>
      <c r="C334" s="94"/>
      <c r="D334" s="95"/>
      <c r="E334" s="94" t="s">
        <v>454</v>
      </c>
      <c r="F334" s="302" t="str">
        <f t="shared" si="44"/>
        <v/>
      </c>
      <c r="G334" s="91" t="str">
        <f t="shared" si="45"/>
        <v/>
      </c>
      <c r="H334" s="91" t="str">
        <f t="shared" ref="H334:H342" si="48">IF(AND(B334&lt;&gt;"",C334&lt;&gt;"",D334&lt;&gt;""),COUNTIF(I334:I545,B334),"")</f>
        <v/>
      </c>
      <c r="I334" s="79">
        <f t="shared" si="47"/>
        <v>55</v>
      </c>
      <c r="J334" s="76"/>
      <c r="K334" s="74"/>
      <c r="L334" s="75"/>
      <c r="M334" s="74"/>
      <c r="N334" s="74"/>
      <c r="O334" s="74"/>
      <c r="P334" s="74"/>
      <c r="Q334" s="74"/>
      <c r="R334" s="74"/>
      <c r="S334" s="74"/>
      <c r="T334" s="74"/>
      <c r="U334" s="74"/>
      <c r="V334" s="74"/>
      <c r="W334" s="74"/>
      <c r="X334" s="74"/>
      <c r="Y334" s="74"/>
    </row>
    <row r="335" spans="1:25" ht="50.45" outlineLevel="1">
      <c r="A335" s="74"/>
      <c r="B335" s="91" t="str">
        <f t="shared" si="41"/>
        <v/>
      </c>
      <c r="C335" s="94"/>
      <c r="D335" s="95"/>
      <c r="E335" s="94" t="s">
        <v>455</v>
      </c>
      <c r="F335" s="302" t="str">
        <f t="shared" si="44"/>
        <v/>
      </c>
      <c r="G335" s="91" t="str">
        <f t="shared" si="45"/>
        <v/>
      </c>
      <c r="H335" s="91" t="str">
        <f t="shared" si="48"/>
        <v/>
      </c>
      <c r="I335" s="79">
        <f t="shared" si="47"/>
        <v>55</v>
      </c>
      <c r="J335" s="76"/>
      <c r="K335" s="74"/>
      <c r="L335" s="75"/>
      <c r="M335" s="74"/>
      <c r="N335" s="74"/>
      <c r="O335" s="74"/>
      <c r="P335" s="74"/>
      <c r="Q335" s="74"/>
      <c r="R335" s="74"/>
      <c r="S335" s="74"/>
      <c r="T335" s="74"/>
      <c r="U335" s="74"/>
      <c r="V335" s="74"/>
      <c r="W335" s="74"/>
      <c r="X335" s="74"/>
      <c r="Y335" s="74"/>
    </row>
    <row r="336" spans="1:25" ht="50.45" outlineLevel="1">
      <c r="A336" s="74"/>
      <c r="B336" s="91" t="str">
        <f t="shared" si="41"/>
        <v/>
      </c>
      <c r="C336" s="94"/>
      <c r="D336" s="95"/>
      <c r="E336" s="94" t="s">
        <v>456</v>
      </c>
      <c r="F336" s="302" t="str">
        <f t="shared" si="44"/>
        <v/>
      </c>
      <c r="G336" s="91" t="str">
        <f t="shared" si="45"/>
        <v/>
      </c>
      <c r="H336" s="91" t="str">
        <f t="shared" si="48"/>
        <v/>
      </c>
      <c r="I336" s="79">
        <f t="shared" si="47"/>
        <v>55</v>
      </c>
      <c r="J336" s="76"/>
      <c r="K336" s="74"/>
      <c r="L336" s="75"/>
      <c r="M336" s="74"/>
      <c r="N336" s="74"/>
      <c r="O336" s="74"/>
      <c r="P336" s="74"/>
      <c r="Q336" s="74"/>
      <c r="R336" s="74"/>
      <c r="S336" s="74"/>
      <c r="T336" s="74"/>
      <c r="U336" s="74"/>
      <c r="V336" s="74"/>
      <c r="W336" s="74"/>
      <c r="X336" s="74"/>
      <c r="Y336" s="74"/>
    </row>
    <row r="337" spans="1:25" ht="50.45" outlineLevel="1">
      <c r="A337" s="74"/>
      <c r="B337" s="91" t="str">
        <f t="shared" si="41"/>
        <v/>
      </c>
      <c r="C337" s="94"/>
      <c r="D337" s="95"/>
      <c r="E337" s="94" t="s">
        <v>457</v>
      </c>
      <c r="F337" s="302" t="str">
        <f t="shared" si="44"/>
        <v/>
      </c>
      <c r="G337" s="91" t="str">
        <f t="shared" si="45"/>
        <v/>
      </c>
      <c r="H337" s="91" t="str">
        <f t="shared" si="48"/>
        <v/>
      </c>
      <c r="I337" s="79">
        <f t="shared" si="47"/>
        <v>55</v>
      </c>
      <c r="J337" s="76"/>
      <c r="K337" s="74"/>
      <c r="L337" s="75"/>
      <c r="M337" s="74"/>
      <c r="N337" s="74"/>
      <c r="O337" s="74"/>
      <c r="P337" s="74"/>
      <c r="Q337" s="74"/>
      <c r="R337" s="74"/>
      <c r="S337" s="74"/>
      <c r="T337" s="74"/>
      <c r="U337" s="74"/>
      <c r="V337" s="74"/>
      <c r="W337" s="74"/>
      <c r="X337" s="74"/>
      <c r="Y337" s="74"/>
    </row>
    <row r="338" spans="1:25" ht="18" outlineLevel="1">
      <c r="A338" s="74"/>
      <c r="B338" s="79">
        <f t="shared" si="41"/>
        <v>56</v>
      </c>
      <c r="C338" s="94" t="s">
        <v>458</v>
      </c>
      <c r="D338" s="95" t="s">
        <v>127</v>
      </c>
      <c r="E338" s="94"/>
      <c r="F338" s="302" t="str">
        <f t="shared" si="44"/>
        <v>B</v>
      </c>
      <c r="G338" s="91" t="str">
        <f t="shared" si="45"/>
        <v>Phức tạp</v>
      </c>
      <c r="H338" s="91">
        <f t="shared" si="48"/>
        <v>10</v>
      </c>
      <c r="I338" s="79" t="str">
        <f t="shared" si="47"/>
        <v/>
      </c>
      <c r="J338" s="76"/>
      <c r="K338" s="74"/>
      <c r="L338" s="75"/>
      <c r="M338" s="74"/>
      <c r="N338" s="74"/>
      <c r="O338" s="74"/>
      <c r="P338" s="74"/>
      <c r="Q338" s="74"/>
      <c r="R338" s="74"/>
      <c r="S338" s="74"/>
      <c r="T338" s="74"/>
      <c r="U338" s="74"/>
      <c r="V338" s="74"/>
      <c r="W338" s="74"/>
      <c r="X338" s="74"/>
      <c r="Y338" s="74"/>
    </row>
    <row r="339" spans="1:25" ht="50.45" outlineLevel="1">
      <c r="A339" s="74"/>
      <c r="B339" s="91" t="str">
        <f t="shared" si="41"/>
        <v/>
      </c>
      <c r="C339" s="94"/>
      <c r="D339" s="95"/>
      <c r="E339" s="94" t="s">
        <v>459</v>
      </c>
      <c r="F339" s="302" t="str">
        <f t="shared" si="44"/>
        <v/>
      </c>
      <c r="G339" s="91" t="str">
        <f t="shared" si="45"/>
        <v/>
      </c>
      <c r="H339" s="91" t="str">
        <f t="shared" si="48"/>
        <v/>
      </c>
      <c r="I339" s="79">
        <f t="shared" si="47"/>
        <v>56</v>
      </c>
      <c r="J339" s="76"/>
      <c r="K339" s="74"/>
      <c r="L339" s="75"/>
      <c r="M339" s="74"/>
      <c r="N339" s="74"/>
      <c r="O339" s="74"/>
      <c r="P339" s="74"/>
      <c r="Q339" s="74"/>
      <c r="R339" s="74"/>
      <c r="S339" s="74"/>
      <c r="T339" s="74"/>
      <c r="U339" s="74"/>
      <c r="V339" s="74"/>
      <c r="W339" s="74"/>
      <c r="X339" s="74"/>
      <c r="Y339" s="74"/>
    </row>
    <row r="340" spans="1:25" ht="50.45" outlineLevel="1">
      <c r="A340" s="74"/>
      <c r="B340" s="91" t="str">
        <f t="shared" si="41"/>
        <v/>
      </c>
      <c r="C340" s="94"/>
      <c r="D340" s="95"/>
      <c r="E340" s="94" t="s">
        <v>460</v>
      </c>
      <c r="F340" s="302" t="str">
        <f t="shared" si="44"/>
        <v/>
      </c>
      <c r="G340" s="91" t="str">
        <f t="shared" si="45"/>
        <v/>
      </c>
      <c r="H340" s="91" t="str">
        <f t="shared" si="48"/>
        <v/>
      </c>
      <c r="I340" s="79">
        <f t="shared" si="47"/>
        <v>56</v>
      </c>
      <c r="J340" s="76"/>
      <c r="K340" s="74"/>
      <c r="L340" s="75"/>
      <c r="M340" s="74"/>
      <c r="N340" s="74"/>
      <c r="O340" s="74"/>
      <c r="P340" s="74"/>
      <c r="Q340" s="74"/>
      <c r="R340" s="74"/>
      <c r="S340" s="74"/>
      <c r="T340" s="74"/>
      <c r="U340" s="74"/>
      <c r="V340" s="74"/>
      <c r="W340" s="74"/>
      <c r="X340" s="74"/>
      <c r="Y340" s="74"/>
    </row>
    <row r="341" spans="1:25" ht="50.45" outlineLevel="1">
      <c r="A341" s="74"/>
      <c r="B341" s="91" t="str">
        <f t="shared" si="41"/>
        <v/>
      </c>
      <c r="C341" s="94"/>
      <c r="D341" s="95"/>
      <c r="E341" s="94" t="s">
        <v>461</v>
      </c>
      <c r="F341" s="302" t="str">
        <f t="shared" si="44"/>
        <v/>
      </c>
      <c r="G341" s="91" t="str">
        <f t="shared" si="45"/>
        <v/>
      </c>
      <c r="H341" s="91" t="str">
        <f t="shared" si="48"/>
        <v/>
      </c>
      <c r="I341" s="79">
        <f t="shared" si="47"/>
        <v>56</v>
      </c>
      <c r="J341" s="76"/>
      <c r="K341" s="74"/>
      <c r="L341" s="75"/>
      <c r="M341" s="74"/>
      <c r="N341" s="74"/>
      <c r="O341" s="74"/>
      <c r="P341" s="74"/>
      <c r="Q341" s="74"/>
      <c r="R341" s="74"/>
      <c r="S341" s="74"/>
      <c r="T341" s="74"/>
      <c r="U341" s="74"/>
      <c r="V341" s="74"/>
      <c r="W341" s="74"/>
      <c r="X341" s="74"/>
      <c r="Y341" s="74"/>
    </row>
    <row r="342" spans="1:25" ht="50.45" outlineLevel="1">
      <c r="A342" s="74"/>
      <c r="B342" s="91" t="str">
        <f t="shared" si="41"/>
        <v/>
      </c>
      <c r="C342" s="94"/>
      <c r="D342" s="95"/>
      <c r="E342" s="94" t="s">
        <v>462</v>
      </c>
      <c r="F342" s="302" t="str">
        <f t="shared" si="44"/>
        <v/>
      </c>
      <c r="G342" s="91" t="str">
        <f t="shared" si="45"/>
        <v/>
      </c>
      <c r="H342" s="91" t="str">
        <f t="shared" si="48"/>
        <v/>
      </c>
      <c r="I342" s="79">
        <f t="shared" si="47"/>
        <v>56</v>
      </c>
      <c r="J342" s="76"/>
      <c r="K342" s="74"/>
      <c r="L342" s="75"/>
      <c r="M342" s="74"/>
      <c r="N342" s="74"/>
      <c r="O342" s="74"/>
      <c r="P342" s="74"/>
      <c r="Q342" s="74"/>
      <c r="R342" s="74"/>
      <c r="S342" s="74"/>
      <c r="T342" s="74"/>
      <c r="U342" s="74"/>
      <c r="V342" s="74"/>
      <c r="W342" s="74"/>
      <c r="X342" s="74"/>
      <c r="Y342" s="74"/>
    </row>
    <row r="343" spans="1:25" ht="50.45" outlineLevel="1">
      <c r="A343" s="74"/>
      <c r="B343" s="91" t="str">
        <f t="shared" si="41"/>
        <v/>
      </c>
      <c r="C343" s="94"/>
      <c r="D343" s="95"/>
      <c r="E343" s="94" t="s">
        <v>463</v>
      </c>
      <c r="F343" s="302" t="str">
        <f t="shared" si="44"/>
        <v/>
      </c>
      <c r="G343" s="91" t="str">
        <f t="shared" si="45"/>
        <v/>
      </c>
      <c r="H343" s="91" t="str">
        <f t="shared" ref="H343:H356" si="49">IF(AND(B343&lt;&gt;"",C343&lt;&gt;"",D343&lt;&gt;""),COUNTIF(I343:I555,B343),"")</f>
        <v/>
      </c>
      <c r="I343" s="79">
        <f t="shared" si="47"/>
        <v>56</v>
      </c>
      <c r="J343" s="76"/>
      <c r="K343" s="74"/>
      <c r="L343" s="75"/>
      <c r="M343" s="74"/>
      <c r="N343" s="74"/>
      <c r="O343" s="74"/>
      <c r="P343" s="74"/>
      <c r="Q343" s="74"/>
      <c r="R343" s="74"/>
      <c r="S343" s="74"/>
      <c r="T343" s="74"/>
      <c r="U343" s="74"/>
      <c r="V343" s="74"/>
      <c r="W343" s="74"/>
      <c r="X343" s="74"/>
      <c r="Y343" s="74"/>
    </row>
    <row r="344" spans="1:25" ht="50.45" outlineLevel="1">
      <c r="A344" s="74"/>
      <c r="B344" s="91" t="str">
        <f t="shared" si="41"/>
        <v/>
      </c>
      <c r="C344" s="94"/>
      <c r="D344" s="95"/>
      <c r="E344" s="94" t="s">
        <v>464</v>
      </c>
      <c r="F344" s="302" t="str">
        <f t="shared" si="44"/>
        <v/>
      </c>
      <c r="G344" s="91" t="str">
        <f t="shared" si="45"/>
        <v/>
      </c>
      <c r="H344" s="91" t="str">
        <f t="shared" si="49"/>
        <v/>
      </c>
      <c r="I344" s="79">
        <f t="shared" si="47"/>
        <v>56</v>
      </c>
      <c r="J344" s="76"/>
      <c r="K344" s="74"/>
      <c r="L344" s="75"/>
      <c r="M344" s="74"/>
      <c r="N344" s="74"/>
      <c r="O344" s="74"/>
      <c r="P344" s="74"/>
      <c r="Q344" s="74"/>
      <c r="R344" s="74"/>
      <c r="S344" s="74"/>
      <c r="T344" s="74"/>
      <c r="U344" s="74"/>
      <c r="V344" s="74"/>
      <c r="W344" s="74"/>
      <c r="X344" s="74"/>
      <c r="Y344" s="74"/>
    </row>
    <row r="345" spans="1:25" ht="50.45" outlineLevel="1">
      <c r="A345" s="74"/>
      <c r="B345" s="91" t="str">
        <f t="shared" si="41"/>
        <v/>
      </c>
      <c r="C345" s="94"/>
      <c r="D345" s="95"/>
      <c r="E345" s="94" t="s">
        <v>465</v>
      </c>
      <c r="F345" s="91" t="str">
        <f t="shared" si="44"/>
        <v/>
      </c>
      <c r="G345" s="91" t="str">
        <f t="shared" si="45"/>
        <v/>
      </c>
      <c r="H345" s="91" t="str">
        <f t="shared" si="49"/>
        <v/>
      </c>
      <c r="I345" s="79">
        <f t="shared" si="47"/>
        <v>56</v>
      </c>
      <c r="J345" s="76"/>
      <c r="K345" s="74"/>
      <c r="L345" s="75"/>
      <c r="M345" s="74"/>
      <c r="N345" s="74"/>
      <c r="O345" s="74"/>
      <c r="P345" s="74"/>
      <c r="Q345" s="74"/>
      <c r="R345" s="74"/>
      <c r="S345" s="74"/>
      <c r="T345" s="74"/>
      <c r="U345" s="74"/>
      <c r="V345" s="74"/>
      <c r="W345" s="74"/>
      <c r="X345" s="74"/>
      <c r="Y345" s="74"/>
    </row>
    <row r="346" spans="1:25" ht="50.45" outlineLevel="1">
      <c r="A346" s="74"/>
      <c r="B346" s="91" t="str">
        <f t="shared" si="41"/>
        <v/>
      </c>
      <c r="C346" s="94"/>
      <c r="D346" s="95"/>
      <c r="E346" s="94" t="s">
        <v>466</v>
      </c>
      <c r="F346" s="91" t="str">
        <f t="shared" si="44"/>
        <v/>
      </c>
      <c r="G346" s="91" t="str">
        <f t="shared" si="45"/>
        <v/>
      </c>
      <c r="H346" s="91" t="str">
        <f t="shared" si="49"/>
        <v/>
      </c>
      <c r="I346" s="79">
        <f t="shared" si="47"/>
        <v>56</v>
      </c>
      <c r="J346" s="76"/>
      <c r="K346" s="74"/>
      <c r="L346" s="75"/>
      <c r="M346" s="74"/>
      <c r="N346" s="74"/>
      <c r="O346" s="74"/>
      <c r="P346" s="74"/>
      <c r="Q346" s="74"/>
      <c r="R346" s="74"/>
      <c r="S346" s="74"/>
      <c r="T346" s="74"/>
      <c r="U346" s="74"/>
      <c r="V346" s="74"/>
      <c r="W346" s="74"/>
      <c r="X346" s="74"/>
      <c r="Y346" s="74"/>
    </row>
    <row r="347" spans="1:25" ht="50.45" outlineLevel="1">
      <c r="A347" s="74"/>
      <c r="B347" s="91" t="str">
        <f t="shared" si="41"/>
        <v/>
      </c>
      <c r="C347" s="94"/>
      <c r="D347" s="95"/>
      <c r="E347" s="94" t="s">
        <v>467</v>
      </c>
      <c r="F347" s="91" t="str">
        <f t="shared" si="44"/>
        <v/>
      </c>
      <c r="G347" s="91" t="str">
        <f t="shared" si="45"/>
        <v/>
      </c>
      <c r="H347" s="91" t="str">
        <f t="shared" si="49"/>
        <v/>
      </c>
      <c r="I347" s="79">
        <f t="shared" si="47"/>
        <v>56</v>
      </c>
      <c r="J347" s="76"/>
      <c r="K347" s="74"/>
      <c r="L347" s="75"/>
      <c r="M347" s="74"/>
      <c r="N347" s="74"/>
      <c r="O347" s="74"/>
      <c r="P347" s="74"/>
      <c r="Q347" s="74"/>
      <c r="R347" s="74"/>
      <c r="S347" s="74"/>
      <c r="T347" s="74"/>
      <c r="U347" s="74"/>
      <c r="V347" s="74"/>
      <c r="W347" s="74"/>
      <c r="X347" s="74"/>
      <c r="Y347" s="74"/>
    </row>
    <row r="348" spans="1:25" ht="50.45" outlineLevel="1">
      <c r="A348" s="74"/>
      <c r="B348" s="91" t="str">
        <f t="shared" si="41"/>
        <v/>
      </c>
      <c r="C348" s="94"/>
      <c r="D348" s="95"/>
      <c r="E348" s="94" t="s">
        <v>468</v>
      </c>
      <c r="F348" s="91" t="str">
        <f t="shared" si="44"/>
        <v/>
      </c>
      <c r="G348" s="91" t="str">
        <f t="shared" si="45"/>
        <v/>
      </c>
      <c r="H348" s="91" t="str">
        <f t="shared" si="49"/>
        <v/>
      </c>
      <c r="I348" s="79">
        <f t="shared" si="47"/>
        <v>56</v>
      </c>
      <c r="J348" s="76"/>
      <c r="K348" s="74"/>
      <c r="L348" s="75"/>
      <c r="M348" s="74"/>
      <c r="N348" s="74"/>
      <c r="O348" s="74"/>
      <c r="P348" s="74"/>
      <c r="Q348" s="74"/>
      <c r="R348" s="74"/>
      <c r="S348" s="74"/>
      <c r="T348" s="74"/>
      <c r="U348" s="74"/>
      <c r="V348" s="74"/>
      <c r="W348" s="74"/>
      <c r="X348" s="74"/>
      <c r="Y348" s="74"/>
    </row>
    <row r="349" spans="1:25" ht="18" outlineLevel="1">
      <c r="A349" s="74"/>
      <c r="B349" s="79">
        <f t="shared" si="41"/>
        <v>57</v>
      </c>
      <c r="C349" s="94" t="s">
        <v>469</v>
      </c>
      <c r="D349" s="95" t="s">
        <v>127</v>
      </c>
      <c r="E349" s="94"/>
      <c r="F349" s="91" t="str">
        <f t="shared" si="44"/>
        <v>B</v>
      </c>
      <c r="G349" s="91" t="str">
        <f t="shared" si="45"/>
        <v>Phức tạp</v>
      </c>
      <c r="H349" s="91">
        <f t="shared" si="49"/>
        <v>13</v>
      </c>
      <c r="I349" s="79" t="str">
        <f t="shared" si="47"/>
        <v/>
      </c>
      <c r="J349" s="76"/>
      <c r="K349" s="74"/>
      <c r="L349" s="75"/>
      <c r="M349" s="74"/>
      <c r="N349" s="74"/>
      <c r="O349" s="74"/>
      <c r="P349" s="74"/>
      <c r="Q349" s="74"/>
      <c r="R349" s="74"/>
      <c r="S349" s="74"/>
      <c r="T349" s="74"/>
      <c r="U349" s="74"/>
      <c r="V349" s="74"/>
      <c r="W349" s="74"/>
      <c r="X349" s="74"/>
      <c r="Y349" s="74"/>
    </row>
    <row r="350" spans="1:25" ht="50.45" outlineLevel="1">
      <c r="A350" s="74"/>
      <c r="B350" s="91" t="str">
        <f t="shared" si="41"/>
        <v/>
      </c>
      <c r="C350" s="94"/>
      <c r="D350" s="95"/>
      <c r="E350" s="94" t="s">
        <v>470</v>
      </c>
      <c r="F350" s="91" t="str">
        <f t="shared" si="44"/>
        <v/>
      </c>
      <c r="G350" s="91" t="str">
        <f t="shared" si="45"/>
        <v/>
      </c>
      <c r="H350" s="91" t="str">
        <f t="shared" si="49"/>
        <v/>
      </c>
      <c r="I350" s="79">
        <f t="shared" si="47"/>
        <v>57</v>
      </c>
      <c r="J350" s="76"/>
      <c r="K350" s="74"/>
      <c r="L350" s="75"/>
      <c r="M350" s="74"/>
      <c r="N350" s="74"/>
      <c r="O350" s="74"/>
      <c r="P350" s="74"/>
      <c r="Q350" s="74"/>
      <c r="R350" s="74"/>
      <c r="S350" s="74"/>
      <c r="T350" s="74"/>
      <c r="U350" s="74"/>
      <c r="V350" s="74"/>
      <c r="W350" s="74"/>
      <c r="X350" s="74"/>
      <c r="Y350" s="74"/>
    </row>
    <row r="351" spans="1:25" ht="50.45" outlineLevel="1">
      <c r="A351" s="74"/>
      <c r="B351" s="91" t="str">
        <f t="shared" si="41"/>
        <v/>
      </c>
      <c r="C351" s="94"/>
      <c r="D351" s="95"/>
      <c r="E351" s="94" t="s">
        <v>471</v>
      </c>
      <c r="F351" s="91" t="str">
        <f t="shared" si="44"/>
        <v/>
      </c>
      <c r="G351" s="91" t="str">
        <f t="shared" si="45"/>
        <v/>
      </c>
      <c r="H351" s="91" t="str">
        <f t="shared" si="49"/>
        <v/>
      </c>
      <c r="I351" s="79">
        <f t="shared" si="47"/>
        <v>57</v>
      </c>
      <c r="J351" s="76"/>
      <c r="K351" s="74"/>
      <c r="L351" s="75"/>
      <c r="M351" s="74"/>
      <c r="N351" s="74"/>
      <c r="O351" s="74"/>
      <c r="P351" s="74"/>
      <c r="Q351" s="74"/>
      <c r="R351" s="74"/>
      <c r="S351" s="74"/>
      <c r="T351" s="74"/>
      <c r="U351" s="74"/>
      <c r="V351" s="74"/>
      <c r="W351" s="74"/>
      <c r="X351" s="74"/>
      <c r="Y351" s="74"/>
    </row>
    <row r="352" spans="1:25" ht="50.45" outlineLevel="1">
      <c r="A352" s="74"/>
      <c r="B352" s="91" t="str">
        <f t="shared" si="41"/>
        <v/>
      </c>
      <c r="C352" s="94"/>
      <c r="D352" s="95"/>
      <c r="E352" s="94" t="s">
        <v>472</v>
      </c>
      <c r="F352" s="91" t="str">
        <f t="shared" si="44"/>
        <v/>
      </c>
      <c r="G352" s="91" t="str">
        <f t="shared" si="45"/>
        <v/>
      </c>
      <c r="H352" s="91" t="str">
        <f t="shared" si="49"/>
        <v/>
      </c>
      <c r="I352" s="79">
        <f t="shared" si="47"/>
        <v>57</v>
      </c>
      <c r="J352" s="76"/>
      <c r="K352" s="74"/>
      <c r="L352" s="75"/>
      <c r="M352" s="74"/>
      <c r="N352" s="74"/>
      <c r="O352" s="74"/>
      <c r="P352" s="74"/>
      <c r="Q352" s="74"/>
      <c r="R352" s="74"/>
      <c r="S352" s="74"/>
      <c r="T352" s="74"/>
      <c r="U352" s="74"/>
      <c r="V352" s="74"/>
      <c r="W352" s="74"/>
      <c r="X352" s="74"/>
      <c r="Y352" s="74"/>
    </row>
    <row r="353" spans="1:25" ht="50.45" outlineLevel="1">
      <c r="A353" s="74"/>
      <c r="B353" s="91" t="str">
        <f t="shared" si="41"/>
        <v/>
      </c>
      <c r="C353" s="94"/>
      <c r="D353" s="95"/>
      <c r="E353" s="94" t="s">
        <v>473</v>
      </c>
      <c r="F353" s="91" t="str">
        <f t="shared" si="44"/>
        <v/>
      </c>
      <c r="G353" s="91" t="str">
        <f t="shared" si="45"/>
        <v/>
      </c>
      <c r="H353" s="91" t="str">
        <f t="shared" si="49"/>
        <v/>
      </c>
      <c r="I353" s="79">
        <f t="shared" si="47"/>
        <v>57</v>
      </c>
      <c r="J353" s="76"/>
      <c r="K353" s="74"/>
      <c r="L353" s="75"/>
      <c r="M353" s="74"/>
      <c r="N353" s="74"/>
      <c r="O353" s="74"/>
      <c r="P353" s="74"/>
      <c r="Q353" s="74"/>
      <c r="R353" s="74"/>
      <c r="S353" s="74"/>
      <c r="T353" s="74"/>
      <c r="U353" s="74"/>
      <c r="V353" s="74"/>
      <c r="W353" s="74"/>
      <c r="X353" s="74"/>
      <c r="Y353" s="74"/>
    </row>
    <row r="354" spans="1:25" ht="50.45" outlineLevel="1">
      <c r="A354" s="74"/>
      <c r="B354" s="91" t="str">
        <f t="shared" si="41"/>
        <v/>
      </c>
      <c r="C354" s="94"/>
      <c r="D354" s="95"/>
      <c r="E354" s="94" t="s">
        <v>474</v>
      </c>
      <c r="F354" s="91" t="str">
        <f t="shared" si="44"/>
        <v/>
      </c>
      <c r="G354" s="91" t="str">
        <f t="shared" si="45"/>
        <v/>
      </c>
      <c r="H354" s="91" t="str">
        <f t="shared" si="49"/>
        <v/>
      </c>
      <c r="I354" s="79">
        <f t="shared" si="47"/>
        <v>57</v>
      </c>
      <c r="J354" s="76"/>
      <c r="K354" s="74"/>
      <c r="L354" s="75"/>
      <c r="M354" s="74"/>
      <c r="N354" s="74"/>
      <c r="O354" s="74"/>
      <c r="P354" s="74"/>
      <c r="Q354" s="74"/>
      <c r="R354" s="74"/>
      <c r="S354" s="74"/>
      <c r="T354" s="74"/>
      <c r="U354" s="74"/>
      <c r="V354" s="74"/>
      <c r="W354" s="74"/>
      <c r="X354" s="74"/>
      <c r="Y354" s="74"/>
    </row>
    <row r="355" spans="1:25" ht="50.45" outlineLevel="1">
      <c r="A355" s="74"/>
      <c r="B355" s="91" t="str">
        <f t="shared" si="41"/>
        <v/>
      </c>
      <c r="C355" s="94"/>
      <c r="D355" s="95"/>
      <c r="E355" s="94" t="s">
        <v>475</v>
      </c>
      <c r="F355" s="91" t="str">
        <f t="shared" si="44"/>
        <v/>
      </c>
      <c r="G355" s="91" t="str">
        <f t="shared" si="45"/>
        <v/>
      </c>
      <c r="H355" s="91" t="str">
        <f t="shared" si="49"/>
        <v/>
      </c>
      <c r="I355" s="79">
        <f t="shared" si="47"/>
        <v>57</v>
      </c>
      <c r="J355" s="76"/>
      <c r="K355" s="74"/>
      <c r="L355" s="75"/>
      <c r="M355" s="74"/>
      <c r="N355" s="74"/>
      <c r="O355" s="74"/>
      <c r="P355" s="74"/>
      <c r="Q355" s="74"/>
      <c r="R355" s="74"/>
      <c r="S355" s="74"/>
      <c r="T355" s="74"/>
      <c r="U355" s="74"/>
      <c r="V355" s="74"/>
      <c r="W355" s="74"/>
      <c r="X355" s="74"/>
      <c r="Y355" s="74"/>
    </row>
    <row r="356" spans="1:25" ht="50.45" outlineLevel="1">
      <c r="A356" s="74"/>
      <c r="B356" s="91" t="str">
        <f t="shared" si="41"/>
        <v/>
      </c>
      <c r="C356" s="94"/>
      <c r="D356" s="95"/>
      <c r="E356" s="94" t="s">
        <v>476</v>
      </c>
      <c r="F356" s="91" t="str">
        <f t="shared" si="44"/>
        <v/>
      </c>
      <c r="G356" s="91" t="str">
        <f t="shared" si="45"/>
        <v/>
      </c>
      <c r="H356" s="91" t="str">
        <f t="shared" si="49"/>
        <v/>
      </c>
      <c r="I356" s="79">
        <f>IF(OR(E356="",B356&lt;&gt;""),"",IF(I351&lt;&gt;"",I351,B351))</f>
        <v>57</v>
      </c>
      <c r="J356" s="76"/>
      <c r="K356" s="74"/>
      <c r="L356" s="75"/>
      <c r="M356" s="74"/>
      <c r="N356" s="74"/>
      <c r="O356" s="74"/>
      <c r="P356" s="74"/>
      <c r="Q356" s="74"/>
      <c r="R356" s="74"/>
      <c r="S356" s="74"/>
      <c r="T356" s="74"/>
      <c r="U356" s="74"/>
      <c r="V356" s="74"/>
      <c r="W356" s="74"/>
      <c r="X356" s="74"/>
      <c r="Y356" s="74"/>
    </row>
    <row r="357" spans="1:25" ht="50.45" outlineLevel="1">
      <c r="A357" s="74"/>
      <c r="B357" s="91" t="str">
        <f t="shared" si="41"/>
        <v/>
      </c>
      <c r="C357" s="94"/>
      <c r="D357" s="95"/>
      <c r="E357" s="94" t="s">
        <v>477</v>
      </c>
      <c r="F357" s="91" t="str">
        <f t="shared" si="44"/>
        <v/>
      </c>
      <c r="G357" s="91" t="str">
        <f t="shared" si="45"/>
        <v/>
      </c>
      <c r="H357" s="91" t="str">
        <f>IF(AND(B357&lt;&gt;"",C357&lt;&gt;"",D357&lt;&gt;""),COUNTIF(I357:I568,B357),"")</f>
        <v/>
      </c>
      <c r="I357" s="79">
        <f t="shared" ref="I357:I408" si="50">IF(OR(E357="",B357&lt;&gt;""),"",IF(I356&lt;&gt;"",I356,B356))</f>
        <v>57</v>
      </c>
      <c r="J357" s="76"/>
      <c r="K357" s="74"/>
      <c r="L357" s="75"/>
      <c r="M357" s="74"/>
      <c r="N357" s="74"/>
      <c r="O357" s="74"/>
      <c r="P357" s="74"/>
      <c r="Q357" s="74"/>
      <c r="R357" s="74"/>
      <c r="S357" s="74"/>
      <c r="T357" s="74"/>
      <c r="U357" s="74"/>
      <c r="V357" s="74"/>
      <c r="W357" s="74"/>
      <c r="X357" s="74"/>
      <c r="Y357" s="74"/>
    </row>
    <row r="358" spans="1:25" ht="50.45" outlineLevel="1">
      <c r="A358" s="74"/>
      <c r="B358" s="91" t="str">
        <f t="shared" si="41"/>
        <v/>
      </c>
      <c r="C358" s="94"/>
      <c r="D358" s="95"/>
      <c r="E358" s="94" t="s">
        <v>478</v>
      </c>
      <c r="F358" s="91" t="str">
        <f t="shared" si="44"/>
        <v/>
      </c>
      <c r="G358" s="91" t="str">
        <f t="shared" si="45"/>
        <v/>
      </c>
      <c r="H358" s="91" t="str">
        <f>IF(AND(B358&lt;&gt;"",C358&lt;&gt;"",D358&lt;&gt;""),COUNTIF(I358:I568,B358),"")</f>
        <v/>
      </c>
      <c r="I358" s="79">
        <f t="shared" si="50"/>
        <v>57</v>
      </c>
      <c r="J358" s="76"/>
      <c r="K358" s="74"/>
      <c r="L358" s="75"/>
      <c r="M358" s="74"/>
      <c r="N358" s="74"/>
      <c r="O358" s="74"/>
      <c r="P358" s="74"/>
      <c r="Q358" s="74"/>
      <c r="R358" s="74"/>
      <c r="S358" s="74"/>
      <c r="T358" s="74"/>
      <c r="U358" s="74"/>
      <c r="V358" s="74"/>
      <c r="W358" s="74"/>
      <c r="X358" s="74"/>
      <c r="Y358" s="74"/>
    </row>
    <row r="359" spans="1:25" ht="50.45" outlineLevel="1">
      <c r="A359" s="74"/>
      <c r="B359" s="91" t="str">
        <f t="shared" si="41"/>
        <v/>
      </c>
      <c r="C359" s="94"/>
      <c r="D359" s="95"/>
      <c r="E359" s="94" t="s">
        <v>479</v>
      </c>
      <c r="F359" s="91" t="str">
        <f t="shared" si="44"/>
        <v/>
      </c>
      <c r="G359" s="91" t="str">
        <f t="shared" si="45"/>
        <v/>
      </c>
      <c r="H359" s="91" t="str">
        <f>IF(AND(B359&lt;&gt;"",C359&lt;&gt;"",D359&lt;&gt;""),COUNTIF(I359:I568,B359),"")</f>
        <v/>
      </c>
      <c r="I359" s="79">
        <f t="shared" si="50"/>
        <v>57</v>
      </c>
      <c r="J359" s="76"/>
      <c r="K359" s="74"/>
      <c r="L359" s="75"/>
      <c r="M359" s="74"/>
      <c r="N359" s="74"/>
      <c r="O359" s="74"/>
      <c r="P359" s="74"/>
      <c r="Q359" s="74"/>
      <c r="R359" s="74"/>
      <c r="S359" s="74"/>
      <c r="T359" s="74"/>
      <c r="U359" s="74"/>
      <c r="V359" s="74"/>
      <c r="W359" s="74"/>
      <c r="X359" s="74"/>
      <c r="Y359" s="74"/>
    </row>
    <row r="360" spans="1:25" ht="50.45" outlineLevel="1">
      <c r="A360" s="74"/>
      <c r="B360" s="91" t="str">
        <f t="shared" si="41"/>
        <v/>
      </c>
      <c r="C360" s="94"/>
      <c r="D360" s="95"/>
      <c r="E360" s="94" t="s">
        <v>480</v>
      </c>
      <c r="F360" s="91" t="str">
        <f t="shared" si="44"/>
        <v/>
      </c>
      <c r="G360" s="91" t="str">
        <f t="shared" si="45"/>
        <v/>
      </c>
      <c r="H360" s="91" t="str">
        <f>IF(AND(B360&lt;&gt;"",C360&lt;&gt;"",D360&lt;&gt;""),COUNTIF(I360:I568,B360),"")</f>
        <v/>
      </c>
      <c r="I360" s="79">
        <f t="shared" si="50"/>
        <v>57</v>
      </c>
      <c r="J360" s="76"/>
      <c r="K360" s="74"/>
      <c r="L360" s="75"/>
      <c r="M360" s="74"/>
      <c r="N360" s="74"/>
      <c r="O360" s="74"/>
      <c r="P360" s="74"/>
      <c r="Q360" s="74"/>
      <c r="R360" s="74"/>
      <c r="S360" s="74"/>
      <c r="T360" s="74"/>
      <c r="U360" s="74"/>
      <c r="V360" s="74"/>
      <c r="W360" s="74"/>
      <c r="X360" s="74"/>
      <c r="Y360" s="74"/>
    </row>
    <row r="361" spans="1:25" ht="50.45" outlineLevel="1">
      <c r="A361" s="74"/>
      <c r="B361" s="91" t="str">
        <f t="shared" si="41"/>
        <v/>
      </c>
      <c r="C361" s="94"/>
      <c r="D361" s="95"/>
      <c r="E361" s="94" t="s">
        <v>481</v>
      </c>
      <c r="F361" s="91" t="str">
        <f t="shared" si="44"/>
        <v/>
      </c>
      <c r="G361" s="91" t="str">
        <f t="shared" si="45"/>
        <v/>
      </c>
      <c r="H361" s="91" t="str">
        <f>IF(AND(B361&lt;&gt;"",C361&lt;&gt;"",D361&lt;&gt;""),COUNTIF(I361:I568,B361),"")</f>
        <v/>
      </c>
      <c r="I361" s="79">
        <f t="shared" si="50"/>
        <v>57</v>
      </c>
      <c r="J361" s="76"/>
      <c r="K361" s="74"/>
      <c r="L361" s="75"/>
      <c r="M361" s="74"/>
      <c r="N361" s="74"/>
      <c r="O361" s="74"/>
      <c r="P361" s="74"/>
      <c r="Q361" s="74"/>
      <c r="R361" s="74"/>
      <c r="S361" s="74"/>
      <c r="T361" s="74"/>
      <c r="U361" s="74"/>
      <c r="V361" s="74"/>
      <c r="W361" s="74"/>
      <c r="X361" s="74"/>
      <c r="Y361" s="74"/>
    </row>
    <row r="362" spans="1:25" ht="50.45" outlineLevel="1">
      <c r="A362" s="74"/>
      <c r="B362" s="91" t="str">
        <f t="shared" si="41"/>
        <v/>
      </c>
      <c r="C362" s="94"/>
      <c r="D362" s="95"/>
      <c r="E362" s="94" t="s">
        <v>482</v>
      </c>
      <c r="F362" s="91" t="str">
        <f t="shared" si="44"/>
        <v/>
      </c>
      <c r="G362" s="91" t="str">
        <f t="shared" si="45"/>
        <v/>
      </c>
      <c r="H362" s="91"/>
      <c r="I362" s="79">
        <f t="shared" si="50"/>
        <v>57</v>
      </c>
      <c r="J362" s="76"/>
      <c r="K362" s="74"/>
      <c r="L362" s="75"/>
      <c r="M362" s="74"/>
      <c r="N362" s="74"/>
      <c r="O362" s="74"/>
      <c r="P362" s="74"/>
      <c r="Q362" s="74"/>
      <c r="R362" s="74"/>
      <c r="S362" s="74"/>
      <c r="T362" s="74"/>
      <c r="U362" s="74"/>
      <c r="V362" s="74"/>
      <c r="W362" s="74"/>
      <c r="X362" s="74"/>
      <c r="Y362" s="74"/>
    </row>
    <row r="363" spans="1:25" ht="18" outlineLevel="1">
      <c r="A363" s="74"/>
      <c r="B363" s="79">
        <f t="shared" si="41"/>
        <v>58</v>
      </c>
      <c r="C363" s="94" t="s">
        <v>483</v>
      </c>
      <c r="D363" s="95" t="s">
        <v>127</v>
      </c>
      <c r="E363" s="94"/>
      <c r="F363" s="91" t="str">
        <f t="shared" si="44"/>
        <v>B</v>
      </c>
      <c r="G363" s="91" t="str">
        <f t="shared" si="45"/>
        <v>Đơn giản</v>
      </c>
      <c r="H363" s="91"/>
      <c r="I363" s="79" t="str">
        <f t="shared" si="50"/>
        <v/>
      </c>
      <c r="J363" s="76"/>
      <c r="K363" s="74"/>
      <c r="L363" s="75"/>
      <c r="M363" s="74"/>
      <c r="N363" s="74"/>
      <c r="O363" s="74"/>
      <c r="P363" s="74"/>
      <c r="Q363" s="74"/>
      <c r="R363" s="74"/>
      <c r="S363" s="74"/>
      <c r="T363" s="74"/>
      <c r="U363" s="74"/>
      <c r="V363" s="74"/>
      <c r="W363" s="74"/>
      <c r="X363" s="74"/>
      <c r="Y363" s="74"/>
    </row>
    <row r="364" spans="1:25" ht="50.45" outlineLevel="1">
      <c r="A364" s="74"/>
      <c r="B364" s="91" t="str">
        <f t="shared" si="41"/>
        <v/>
      </c>
      <c r="C364" s="94"/>
      <c r="D364" s="95"/>
      <c r="E364" s="94" t="s">
        <v>484</v>
      </c>
      <c r="F364" s="91" t="str">
        <f t="shared" si="44"/>
        <v/>
      </c>
      <c r="G364" s="91" t="str">
        <f t="shared" si="45"/>
        <v/>
      </c>
      <c r="H364" s="91"/>
      <c r="I364" s="79">
        <f t="shared" si="50"/>
        <v>58</v>
      </c>
      <c r="J364" s="76"/>
      <c r="K364" s="74"/>
      <c r="L364" s="75"/>
      <c r="M364" s="74"/>
      <c r="N364" s="74"/>
      <c r="O364" s="74"/>
      <c r="P364" s="74"/>
      <c r="Q364" s="74"/>
      <c r="R364" s="74"/>
      <c r="S364" s="74"/>
      <c r="T364" s="74"/>
      <c r="U364" s="74"/>
      <c r="V364" s="74"/>
      <c r="W364" s="74"/>
      <c r="X364" s="74"/>
      <c r="Y364" s="74"/>
    </row>
    <row r="365" spans="1:25" ht="50.45" outlineLevel="1">
      <c r="A365" s="74"/>
      <c r="B365" s="91" t="str">
        <f t="shared" si="41"/>
        <v/>
      </c>
      <c r="C365" s="94"/>
      <c r="D365" s="95"/>
      <c r="E365" s="94" t="s">
        <v>485</v>
      </c>
      <c r="F365" s="91" t="str">
        <f t="shared" si="44"/>
        <v/>
      </c>
      <c r="G365" s="91" t="str">
        <f t="shared" si="45"/>
        <v/>
      </c>
      <c r="H365" s="91" t="str">
        <f>IF(AND(B365&lt;&gt;"",C365&lt;&gt;"",D365&lt;&gt;""),COUNTIF(I365:I568,B365),"")</f>
        <v/>
      </c>
      <c r="I365" s="79">
        <f t="shared" si="50"/>
        <v>58</v>
      </c>
      <c r="J365" s="76"/>
      <c r="K365" s="74"/>
      <c r="L365" s="75"/>
      <c r="M365" s="74"/>
      <c r="N365" s="74"/>
      <c r="O365" s="74"/>
      <c r="P365" s="74"/>
      <c r="Q365" s="74"/>
      <c r="R365" s="74"/>
      <c r="S365" s="74"/>
      <c r="T365" s="74"/>
      <c r="U365" s="74"/>
      <c r="V365" s="74"/>
      <c r="W365" s="74"/>
      <c r="X365" s="74"/>
      <c r="Y365" s="74"/>
    </row>
    <row r="366" spans="1:25" ht="33.6" outlineLevel="1">
      <c r="A366" s="74"/>
      <c r="B366" s="91" t="str">
        <f t="shared" si="41"/>
        <v/>
      </c>
      <c r="C366" s="94"/>
      <c r="D366" s="95"/>
      <c r="E366" s="94" t="s">
        <v>486</v>
      </c>
      <c r="F366" s="91" t="str">
        <f t="shared" si="44"/>
        <v/>
      </c>
      <c r="G366" s="91" t="str">
        <f t="shared" si="45"/>
        <v/>
      </c>
      <c r="H366" s="91" t="str">
        <f t="shared" ref="H366:H374" si="51">IF(AND(B366&lt;&gt;"",C366&lt;&gt;"",D366&lt;&gt;""),COUNTIF(I366:I568,B366),"")</f>
        <v/>
      </c>
      <c r="I366" s="79">
        <f t="shared" si="50"/>
        <v>58</v>
      </c>
      <c r="J366" s="341"/>
      <c r="K366" s="74"/>
      <c r="L366" s="75"/>
      <c r="M366" s="74"/>
      <c r="N366" s="74"/>
      <c r="O366" s="74"/>
      <c r="P366" s="74"/>
      <c r="Q366" s="74"/>
      <c r="R366" s="74"/>
      <c r="S366" s="74"/>
      <c r="T366" s="74"/>
      <c r="U366" s="74"/>
      <c r="V366" s="74"/>
      <c r="W366" s="74"/>
      <c r="X366" s="74"/>
      <c r="Y366" s="74"/>
    </row>
    <row r="367" spans="1:25" ht="50.45" outlineLevel="1">
      <c r="A367" s="74"/>
      <c r="B367" s="91" t="str">
        <f t="shared" si="41"/>
        <v/>
      </c>
      <c r="C367" s="94"/>
      <c r="D367" s="95"/>
      <c r="E367" s="94" t="s">
        <v>487</v>
      </c>
      <c r="F367" s="91" t="str">
        <f t="shared" si="44"/>
        <v/>
      </c>
      <c r="G367" s="91" t="str">
        <f t="shared" si="45"/>
        <v/>
      </c>
      <c r="H367" s="91" t="str">
        <f t="shared" si="51"/>
        <v/>
      </c>
      <c r="I367" s="79">
        <f t="shared" si="50"/>
        <v>58</v>
      </c>
      <c r="J367" s="383"/>
      <c r="K367" s="74"/>
      <c r="L367" s="75"/>
      <c r="M367" s="74"/>
      <c r="N367" s="74"/>
      <c r="O367" s="74"/>
      <c r="P367" s="74"/>
      <c r="Q367" s="74"/>
      <c r="R367" s="74"/>
      <c r="S367" s="74"/>
      <c r="T367" s="74"/>
      <c r="U367" s="74"/>
      <c r="V367" s="74"/>
      <c r="W367" s="74"/>
      <c r="X367" s="74"/>
      <c r="Y367" s="74"/>
    </row>
    <row r="368" spans="1:25" ht="50.45" outlineLevel="1">
      <c r="A368" s="74"/>
      <c r="B368" s="91" t="str">
        <f t="shared" si="41"/>
        <v/>
      </c>
      <c r="C368" s="94"/>
      <c r="D368" s="95"/>
      <c r="E368" s="94" t="s">
        <v>488</v>
      </c>
      <c r="F368" s="91" t="str">
        <f t="shared" si="44"/>
        <v/>
      </c>
      <c r="G368" s="91" t="str">
        <f t="shared" si="45"/>
        <v/>
      </c>
      <c r="H368" s="91" t="str">
        <f t="shared" si="51"/>
        <v/>
      </c>
      <c r="I368" s="79">
        <f t="shared" si="50"/>
        <v>58</v>
      </c>
      <c r="J368" s="76"/>
      <c r="K368" s="74"/>
      <c r="L368" s="75"/>
      <c r="M368" s="74"/>
      <c r="N368" s="74"/>
      <c r="O368" s="74"/>
      <c r="P368" s="74"/>
      <c r="Q368" s="74"/>
      <c r="R368" s="74"/>
      <c r="S368" s="74"/>
      <c r="T368" s="74"/>
      <c r="U368" s="74"/>
      <c r="V368" s="74"/>
      <c r="W368" s="74"/>
      <c r="X368" s="74"/>
      <c r="Y368" s="74"/>
    </row>
    <row r="369" spans="1:25" ht="50.45" outlineLevel="1">
      <c r="A369" s="74"/>
      <c r="B369" s="91" t="str">
        <f t="shared" si="41"/>
        <v/>
      </c>
      <c r="C369" s="94"/>
      <c r="D369" s="95"/>
      <c r="E369" s="94" t="s">
        <v>489</v>
      </c>
      <c r="F369" s="91" t="str">
        <f t="shared" si="44"/>
        <v/>
      </c>
      <c r="G369" s="91" t="str">
        <f t="shared" si="45"/>
        <v/>
      </c>
      <c r="H369" s="91" t="str">
        <f t="shared" si="51"/>
        <v/>
      </c>
      <c r="I369" s="79">
        <f t="shared" si="50"/>
        <v>58</v>
      </c>
      <c r="J369" s="76"/>
      <c r="K369" s="74"/>
      <c r="L369" s="75"/>
      <c r="M369" s="74"/>
      <c r="N369" s="74"/>
      <c r="O369" s="74"/>
      <c r="P369" s="74"/>
      <c r="Q369" s="74"/>
      <c r="R369" s="74"/>
      <c r="S369" s="74"/>
      <c r="T369" s="74"/>
      <c r="U369" s="74"/>
      <c r="V369" s="74"/>
      <c r="W369" s="74"/>
      <c r="X369" s="74"/>
      <c r="Y369" s="74"/>
    </row>
    <row r="370" spans="1:25" ht="50.45" outlineLevel="1">
      <c r="A370" s="74"/>
      <c r="B370" s="91" t="str">
        <f t="shared" si="41"/>
        <v/>
      </c>
      <c r="C370" s="94"/>
      <c r="D370" s="95"/>
      <c r="E370" s="94" t="s">
        <v>490</v>
      </c>
      <c r="F370" s="91" t="str">
        <f t="shared" si="44"/>
        <v/>
      </c>
      <c r="G370" s="91" t="str">
        <f t="shared" si="45"/>
        <v/>
      </c>
      <c r="H370" s="91" t="str">
        <f t="shared" si="51"/>
        <v/>
      </c>
      <c r="I370" s="79">
        <f t="shared" si="50"/>
        <v>58</v>
      </c>
      <c r="J370" s="76"/>
      <c r="K370" s="74"/>
      <c r="L370" s="75"/>
      <c r="M370" s="74"/>
      <c r="N370" s="74"/>
      <c r="O370" s="74"/>
      <c r="P370" s="74"/>
      <c r="Q370" s="74"/>
      <c r="R370" s="74"/>
      <c r="S370" s="74"/>
      <c r="T370" s="74"/>
      <c r="U370" s="74"/>
      <c r="V370" s="74"/>
      <c r="W370" s="74"/>
      <c r="X370" s="74"/>
      <c r="Y370" s="74"/>
    </row>
    <row r="371" spans="1:25" ht="50.45" outlineLevel="1">
      <c r="A371" s="74"/>
      <c r="B371" s="91" t="str">
        <f t="shared" si="41"/>
        <v/>
      </c>
      <c r="C371" s="94"/>
      <c r="D371" s="95"/>
      <c r="E371" s="94" t="s">
        <v>491</v>
      </c>
      <c r="F371" s="91" t="str">
        <f t="shared" si="44"/>
        <v/>
      </c>
      <c r="G371" s="91" t="str">
        <f t="shared" si="45"/>
        <v/>
      </c>
      <c r="H371" s="91" t="str">
        <f t="shared" si="51"/>
        <v/>
      </c>
      <c r="I371" s="79">
        <f t="shared" si="50"/>
        <v>58</v>
      </c>
      <c r="J371" s="76"/>
      <c r="K371" s="74"/>
      <c r="L371" s="75"/>
      <c r="M371" s="74"/>
      <c r="N371" s="74"/>
      <c r="O371" s="74"/>
      <c r="P371" s="74"/>
      <c r="Q371" s="74"/>
      <c r="R371" s="74"/>
      <c r="S371" s="74"/>
      <c r="T371" s="74"/>
      <c r="U371" s="74"/>
      <c r="V371" s="74"/>
      <c r="W371" s="74"/>
      <c r="X371" s="74"/>
      <c r="Y371" s="74"/>
    </row>
    <row r="372" spans="1:25" ht="50.45" outlineLevel="1">
      <c r="A372" s="74"/>
      <c r="B372" s="91" t="str">
        <f t="shared" si="41"/>
        <v/>
      </c>
      <c r="C372" s="94"/>
      <c r="D372" s="95"/>
      <c r="E372" s="94" t="s">
        <v>492</v>
      </c>
      <c r="F372" s="91" t="str">
        <f t="shared" si="44"/>
        <v/>
      </c>
      <c r="G372" s="91" t="str">
        <f t="shared" si="45"/>
        <v/>
      </c>
      <c r="H372" s="91" t="str">
        <f t="shared" si="51"/>
        <v/>
      </c>
      <c r="I372" s="79">
        <f t="shared" si="50"/>
        <v>58</v>
      </c>
      <c r="J372" s="76"/>
      <c r="K372" s="74"/>
      <c r="L372" s="75"/>
      <c r="M372" s="74"/>
      <c r="N372" s="74"/>
      <c r="O372" s="74"/>
      <c r="P372" s="74"/>
      <c r="Q372" s="74"/>
      <c r="R372" s="74"/>
      <c r="S372" s="74"/>
      <c r="T372" s="74"/>
      <c r="U372" s="74"/>
      <c r="V372" s="74"/>
      <c r="W372" s="74"/>
      <c r="X372" s="74"/>
      <c r="Y372" s="74"/>
    </row>
    <row r="373" spans="1:25" ht="50.45" outlineLevel="1">
      <c r="A373" s="74"/>
      <c r="B373" s="91" t="str">
        <f t="shared" si="41"/>
        <v/>
      </c>
      <c r="C373" s="94"/>
      <c r="D373" s="95"/>
      <c r="E373" s="94" t="s">
        <v>493</v>
      </c>
      <c r="F373" s="91" t="str">
        <f t="shared" si="44"/>
        <v/>
      </c>
      <c r="G373" s="91" t="str">
        <f t="shared" si="45"/>
        <v/>
      </c>
      <c r="H373" s="91" t="str">
        <f t="shared" si="51"/>
        <v/>
      </c>
      <c r="I373" s="79">
        <f t="shared" si="50"/>
        <v>58</v>
      </c>
      <c r="J373" s="76"/>
      <c r="K373" s="74"/>
      <c r="L373" s="75"/>
      <c r="M373" s="74"/>
      <c r="N373" s="74"/>
      <c r="O373" s="74"/>
      <c r="P373" s="74"/>
      <c r="Q373" s="74"/>
      <c r="R373" s="74"/>
      <c r="S373" s="74"/>
      <c r="T373" s="74"/>
      <c r="U373" s="74"/>
      <c r="V373" s="74"/>
      <c r="W373" s="74"/>
      <c r="X373" s="74"/>
      <c r="Y373" s="74"/>
    </row>
    <row r="374" spans="1:25" ht="50.45" outlineLevel="1">
      <c r="A374" s="74"/>
      <c r="B374" s="91" t="str">
        <f t="shared" si="41"/>
        <v/>
      </c>
      <c r="C374" s="94"/>
      <c r="D374" s="95"/>
      <c r="E374" s="94" t="s">
        <v>494</v>
      </c>
      <c r="F374" s="91" t="str">
        <f t="shared" si="44"/>
        <v/>
      </c>
      <c r="G374" s="91" t="str">
        <f t="shared" si="45"/>
        <v/>
      </c>
      <c r="H374" s="91" t="str">
        <f t="shared" si="51"/>
        <v/>
      </c>
      <c r="I374" s="79">
        <f t="shared" si="50"/>
        <v>58</v>
      </c>
      <c r="J374" s="76"/>
      <c r="K374" s="74"/>
      <c r="L374" s="75"/>
      <c r="M374" s="74"/>
      <c r="N374" s="74"/>
      <c r="O374" s="74"/>
      <c r="P374" s="74"/>
      <c r="Q374" s="74"/>
      <c r="R374" s="74"/>
      <c r="S374" s="74"/>
      <c r="T374" s="74"/>
      <c r="U374" s="74"/>
      <c r="V374" s="74"/>
      <c r="W374" s="74"/>
      <c r="X374" s="74"/>
      <c r="Y374" s="74"/>
    </row>
    <row r="375" spans="1:25" ht="33.6" outlineLevel="1">
      <c r="A375" s="74"/>
      <c r="B375" s="91" t="str">
        <f t="shared" si="41"/>
        <v/>
      </c>
      <c r="C375" s="94"/>
      <c r="D375" s="95"/>
      <c r="E375" s="94" t="s">
        <v>495</v>
      </c>
      <c r="F375" s="91" t="str">
        <f t="shared" si="44"/>
        <v/>
      </c>
      <c r="G375" s="91" t="str">
        <f t="shared" si="45"/>
        <v/>
      </c>
      <c r="H375" s="91" t="str">
        <f t="shared" ref="H375:H376" si="52">IF(AND(B375&lt;&gt;"",C375&lt;&gt;"",D375&lt;&gt;""),COUNTIF(I375:I578,B375),"")</f>
        <v/>
      </c>
      <c r="I375" s="79">
        <f t="shared" si="50"/>
        <v>58</v>
      </c>
      <c r="J375" s="76"/>
      <c r="K375" s="74"/>
      <c r="L375" s="75"/>
      <c r="M375" s="74"/>
      <c r="N375" s="74"/>
      <c r="O375" s="74"/>
      <c r="P375" s="74"/>
      <c r="Q375" s="74"/>
      <c r="R375" s="74"/>
      <c r="S375" s="74"/>
      <c r="T375" s="74"/>
      <c r="U375" s="74"/>
      <c r="V375" s="74"/>
      <c r="W375" s="74"/>
      <c r="X375" s="74"/>
      <c r="Y375" s="74"/>
    </row>
    <row r="376" spans="1:25" ht="33.6" outlineLevel="1">
      <c r="A376" s="74"/>
      <c r="B376" s="91" t="str">
        <f t="shared" si="41"/>
        <v/>
      </c>
      <c r="C376" s="94"/>
      <c r="D376" s="95"/>
      <c r="E376" s="94" t="s">
        <v>496</v>
      </c>
      <c r="F376" s="91" t="str">
        <f t="shared" si="44"/>
        <v/>
      </c>
      <c r="G376" s="91" t="str">
        <f t="shared" si="45"/>
        <v/>
      </c>
      <c r="H376" s="91" t="str">
        <f t="shared" si="52"/>
        <v/>
      </c>
      <c r="I376" s="79">
        <f t="shared" si="50"/>
        <v>58</v>
      </c>
      <c r="J376" s="76"/>
      <c r="K376" s="74"/>
      <c r="L376" s="75"/>
      <c r="M376" s="74"/>
      <c r="N376" s="74"/>
      <c r="O376" s="74"/>
      <c r="P376" s="74"/>
      <c r="Q376" s="74"/>
      <c r="R376" s="74"/>
      <c r="S376" s="74"/>
      <c r="T376" s="74"/>
      <c r="U376" s="74"/>
      <c r="V376" s="74"/>
      <c r="W376" s="74"/>
      <c r="X376" s="74"/>
      <c r="Y376" s="74"/>
    </row>
    <row r="377" spans="1:25" ht="18">
      <c r="A377" s="74"/>
      <c r="B377" s="79">
        <f t="shared" si="41"/>
        <v>59</v>
      </c>
      <c r="C377" s="94" t="s">
        <v>497</v>
      </c>
      <c r="D377" s="95" t="s">
        <v>127</v>
      </c>
      <c r="E377" s="94"/>
      <c r="F377" s="91" t="str">
        <f t="shared" si="44"/>
        <v>B</v>
      </c>
      <c r="G377" s="91" t="str">
        <f t="shared" si="45"/>
        <v>Phức tạp</v>
      </c>
      <c r="H377" s="91">
        <f t="shared" ref="H377:H386" si="53">IF(AND(B377&lt;&gt;"",C377&lt;&gt;"",D377&lt;&gt;""),COUNTIF(I377:I774,B377),"")</f>
        <v>13</v>
      </c>
      <c r="I377" s="79" t="str">
        <f t="shared" si="50"/>
        <v/>
      </c>
      <c r="J377" s="76"/>
      <c r="K377" s="74"/>
      <c r="L377" s="75"/>
      <c r="M377" s="74"/>
      <c r="N377" s="74"/>
      <c r="O377" s="74"/>
      <c r="P377" s="74"/>
      <c r="Q377" s="74"/>
      <c r="R377" s="74"/>
      <c r="S377" s="74"/>
      <c r="T377" s="74"/>
      <c r="U377" s="74"/>
      <c r="V377" s="74"/>
      <c r="W377" s="74"/>
      <c r="X377" s="74"/>
      <c r="Y377" s="74"/>
    </row>
    <row r="378" spans="1:25" ht="50.45" outlineLevel="1">
      <c r="A378" s="74"/>
      <c r="B378" s="91" t="str">
        <f t="shared" si="41"/>
        <v/>
      </c>
      <c r="C378" s="94"/>
      <c r="D378" s="95"/>
      <c r="E378" s="94" t="s">
        <v>498</v>
      </c>
      <c r="F378" s="91" t="str">
        <f t="shared" si="44"/>
        <v/>
      </c>
      <c r="G378" s="91" t="str">
        <f t="shared" si="45"/>
        <v/>
      </c>
      <c r="H378" s="91" t="str">
        <f t="shared" si="53"/>
        <v/>
      </c>
      <c r="I378" s="79">
        <f t="shared" si="50"/>
        <v>59</v>
      </c>
      <c r="J378" s="76"/>
      <c r="K378" s="74"/>
      <c r="L378" s="75"/>
      <c r="M378" s="74"/>
      <c r="N378" s="74"/>
      <c r="O378" s="74"/>
      <c r="P378" s="74"/>
      <c r="Q378" s="74"/>
      <c r="R378" s="74"/>
      <c r="S378" s="74"/>
      <c r="T378" s="74"/>
      <c r="U378" s="74"/>
      <c r="V378" s="74"/>
      <c r="W378" s="74"/>
      <c r="X378" s="74"/>
      <c r="Y378" s="74"/>
    </row>
    <row r="379" spans="1:25" ht="50.45" outlineLevel="1">
      <c r="A379" s="74"/>
      <c r="B379" s="91" t="str">
        <f t="shared" si="41"/>
        <v/>
      </c>
      <c r="C379" s="94"/>
      <c r="D379" s="95"/>
      <c r="E379" s="94" t="s">
        <v>499</v>
      </c>
      <c r="F379" s="91" t="str">
        <f t="shared" si="44"/>
        <v/>
      </c>
      <c r="G379" s="91" t="str">
        <f t="shared" si="45"/>
        <v/>
      </c>
      <c r="H379" s="91" t="str">
        <f t="shared" si="53"/>
        <v/>
      </c>
      <c r="I379" s="79">
        <f t="shared" si="50"/>
        <v>59</v>
      </c>
      <c r="J379" s="76"/>
      <c r="K379" s="74"/>
      <c r="L379" s="75"/>
      <c r="M379" s="74"/>
      <c r="N379" s="74"/>
      <c r="O379" s="74"/>
      <c r="P379" s="74"/>
      <c r="Q379" s="74"/>
      <c r="R379" s="74"/>
      <c r="S379" s="74"/>
      <c r="T379" s="74"/>
      <c r="U379" s="74"/>
      <c r="V379" s="74"/>
      <c r="W379" s="74"/>
      <c r="X379" s="74"/>
      <c r="Y379" s="74"/>
    </row>
    <row r="380" spans="1:25" ht="50.45" outlineLevel="1">
      <c r="A380" s="74"/>
      <c r="B380" s="91" t="str">
        <f t="shared" si="41"/>
        <v/>
      </c>
      <c r="C380" s="94"/>
      <c r="D380" s="95"/>
      <c r="E380" s="94" t="s">
        <v>500</v>
      </c>
      <c r="F380" s="91" t="str">
        <f t="shared" si="44"/>
        <v/>
      </c>
      <c r="G380" s="91" t="str">
        <f t="shared" si="45"/>
        <v/>
      </c>
      <c r="H380" s="91" t="str">
        <f t="shared" si="53"/>
        <v/>
      </c>
      <c r="I380" s="79">
        <f t="shared" si="50"/>
        <v>59</v>
      </c>
      <c r="J380" s="76"/>
      <c r="K380" s="74"/>
      <c r="L380" s="75"/>
      <c r="M380" s="74"/>
      <c r="N380" s="74"/>
      <c r="O380" s="74"/>
      <c r="P380" s="74"/>
      <c r="Q380" s="74"/>
      <c r="R380" s="74"/>
      <c r="S380" s="74"/>
      <c r="T380" s="74"/>
      <c r="U380" s="74"/>
      <c r="V380" s="74"/>
      <c r="W380" s="74"/>
      <c r="X380" s="74"/>
      <c r="Y380" s="74"/>
    </row>
    <row r="381" spans="1:25" ht="50.45" outlineLevel="1">
      <c r="A381" s="74"/>
      <c r="B381" s="91" t="str">
        <f t="shared" si="41"/>
        <v/>
      </c>
      <c r="C381" s="94"/>
      <c r="D381" s="95"/>
      <c r="E381" s="94" t="s">
        <v>501</v>
      </c>
      <c r="F381" s="91" t="str">
        <f t="shared" si="44"/>
        <v/>
      </c>
      <c r="G381" s="91" t="str">
        <f t="shared" si="45"/>
        <v/>
      </c>
      <c r="H381" s="91" t="str">
        <f t="shared" si="53"/>
        <v/>
      </c>
      <c r="I381" s="79">
        <f t="shared" si="50"/>
        <v>59</v>
      </c>
      <c r="J381" s="76"/>
      <c r="K381" s="74"/>
      <c r="L381" s="75"/>
      <c r="M381" s="74"/>
      <c r="N381" s="74"/>
      <c r="O381" s="74"/>
      <c r="P381" s="74"/>
      <c r="Q381" s="74"/>
      <c r="R381" s="74"/>
      <c r="S381" s="74"/>
      <c r="T381" s="74"/>
      <c r="U381" s="74"/>
      <c r="V381" s="74"/>
      <c r="W381" s="74"/>
      <c r="X381" s="74"/>
      <c r="Y381" s="74"/>
    </row>
    <row r="382" spans="1:25" ht="50.45" outlineLevel="1">
      <c r="A382" s="74"/>
      <c r="B382" s="91" t="str">
        <f t="shared" si="41"/>
        <v/>
      </c>
      <c r="C382" s="94"/>
      <c r="D382" s="95"/>
      <c r="E382" s="94" t="s">
        <v>502</v>
      </c>
      <c r="F382" s="91" t="str">
        <f t="shared" si="44"/>
        <v/>
      </c>
      <c r="G382" s="91" t="str">
        <f t="shared" si="45"/>
        <v/>
      </c>
      <c r="H382" s="91" t="str">
        <f t="shared" si="53"/>
        <v/>
      </c>
      <c r="I382" s="79">
        <f t="shared" si="50"/>
        <v>59</v>
      </c>
      <c r="J382" s="76"/>
      <c r="K382" s="74"/>
      <c r="L382" s="75"/>
      <c r="M382" s="74"/>
      <c r="N382" s="74"/>
      <c r="O382" s="74"/>
      <c r="P382" s="74"/>
      <c r="Q382" s="74"/>
      <c r="R382" s="74"/>
      <c r="S382" s="74"/>
      <c r="T382" s="74"/>
      <c r="U382" s="74"/>
      <c r="V382" s="74"/>
      <c r="W382" s="74"/>
      <c r="X382" s="74"/>
      <c r="Y382" s="74"/>
    </row>
    <row r="383" spans="1:25" ht="50.45" outlineLevel="1">
      <c r="A383" s="74"/>
      <c r="B383" s="91" t="str">
        <f t="shared" si="41"/>
        <v/>
      </c>
      <c r="C383" s="94"/>
      <c r="D383" s="95"/>
      <c r="E383" s="94" t="s">
        <v>503</v>
      </c>
      <c r="F383" s="91" t="str">
        <f t="shared" si="44"/>
        <v/>
      </c>
      <c r="G383" s="91" t="str">
        <f t="shared" si="45"/>
        <v/>
      </c>
      <c r="H383" s="91" t="str">
        <f t="shared" si="53"/>
        <v/>
      </c>
      <c r="I383" s="79">
        <f t="shared" si="50"/>
        <v>59</v>
      </c>
      <c r="J383" s="76"/>
      <c r="K383" s="74"/>
      <c r="L383" s="75"/>
      <c r="M383" s="74"/>
      <c r="N383" s="74"/>
      <c r="O383" s="74"/>
      <c r="P383" s="74"/>
      <c r="Q383" s="74"/>
      <c r="R383" s="74"/>
      <c r="S383" s="74"/>
      <c r="T383" s="74"/>
      <c r="U383" s="74"/>
      <c r="V383" s="74"/>
      <c r="W383" s="74"/>
      <c r="X383" s="74"/>
      <c r="Y383" s="74"/>
    </row>
    <row r="384" spans="1:25" ht="50.45" outlineLevel="1">
      <c r="A384" s="74"/>
      <c r="B384" s="91" t="str">
        <f t="shared" si="41"/>
        <v/>
      </c>
      <c r="C384" s="94"/>
      <c r="D384" s="95"/>
      <c r="E384" s="94" t="s">
        <v>504</v>
      </c>
      <c r="F384" s="91" t="str">
        <f t="shared" si="44"/>
        <v/>
      </c>
      <c r="G384" s="91" t="str">
        <f t="shared" si="45"/>
        <v/>
      </c>
      <c r="H384" s="91" t="str">
        <f t="shared" si="53"/>
        <v/>
      </c>
      <c r="I384" s="79">
        <f t="shared" si="50"/>
        <v>59</v>
      </c>
      <c r="J384" s="76"/>
      <c r="K384" s="74"/>
      <c r="L384" s="75"/>
      <c r="M384" s="74"/>
      <c r="N384" s="74"/>
      <c r="O384" s="74"/>
      <c r="P384" s="74"/>
      <c r="Q384" s="74"/>
      <c r="R384" s="74"/>
      <c r="S384" s="74"/>
      <c r="T384" s="74"/>
      <c r="U384" s="74"/>
      <c r="V384" s="74"/>
      <c r="W384" s="74"/>
      <c r="X384" s="74"/>
      <c r="Y384" s="74"/>
    </row>
    <row r="385" spans="1:25" ht="50.45" outlineLevel="1">
      <c r="A385" s="74"/>
      <c r="B385" s="91" t="str">
        <f t="shared" si="41"/>
        <v/>
      </c>
      <c r="C385" s="94"/>
      <c r="D385" s="95"/>
      <c r="E385" s="94" t="s">
        <v>505</v>
      </c>
      <c r="F385" s="91" t="str">
        <f t="shared" si="44"/>
        <v/>
      </c>
      <c r="G385" s="91" t="str">
        <f t="shared" si="45"/>
        <v/>
      </c>
      <c r="H385" s="91" t="str">
        <f t="shared" si="53"/>
        <v/>
      </c>
      <c r="I385" s="79">
        <f t="shared" si="50"/>
        <v>59</v>
      </c>
      <c r="J385" s="76"/>
      <c r="K385" s="74"/>
      <c r="L385" s="75"/>
      <c r="M385" s="74"/>
      <c r="N385" s="74"/>
      <c r="O385" s="74"/>
      <c r="P385" s="74"/>
      <c r="Q385" s="74"/>
      <c r="R385" s="74"/>
      <c r="S385" s="74"/>
      <c r="T385" s="74"/>
      <c r="U385" s="74"/>
      <c r="V385" s="74"/>
      <c r="W385" s="74"/>
      <c r="X385" s="74"/>
      <c r="Y385" s="74"/>
    </row>
    <row r="386" spans="1:25" ht="50.45" outlineLevel="1">
      <c r="A386" s="74"/>
      <c r="B386" s="91" t="str">
        <f t="shared" si="41"/>
        <v/>
      </c>
      <c r="C386" s="94"/>
      <c r="D386" s="95"/>
      <c r="E386" s="94" t="s">
        <v>506</v>
      </c>
      <c r="F386" s="91" t="str">
        <f t="shared" si="44"/>
        <v/>
      </c>
      <c r="G386" s="91" t="str">
        <f t="shared" si="45"/>
        <v/>
      </c>
      <c r="H386" s="91" t="str">
        <f t="shared" si="53"/>
        <v/>
      </c>
      <c r="I386" s="79">
        <f t="shared" si="50"/>
        <v>59</v>
      </c>
      <c r="J386" s="76"/>
      <c r="K386" s="74"/>
      <c r="L386" s="75"/>
      <c r="M386" s="74"/>
      <c r="N386" s="74"/>
      <c r="O386" s="74"/>
      <c r="P386" s="74"/>
      <c r="Q386" s="74"/>
      <c r="R386" s="74"/>
      <c r="S386" s="74"/>
      <c r="T386" s="74"/>
      <c r="U386" s="74"/>
      <c r="V386" s="74"/>
      <c r="W386" s="74"/>
      <c r="X386" s="74"/>
      <c r="Y386" s="74"/>
    </row>
    <row r="387" spans="1:25" ht="50.45" outlineLevel="1">
      <c r="A387" s="74"/>
      <c r="B387" s="91" t="str">
        <f t="shared" si="41"/>
        <v/>
      </c>
      <c r="C387" s="94"/>
      <c r="D387" s="95"/>
      <c r="E387" s="94" t="s">
        <v>507</v>
      </c>
      <c r="F387" s="91" t="str">
        <f t="shared" si="44"/>
        <v/>
      </c>
      <c r="G387" s="91" t="str">
        <f t="shared" si="45"/>
        <v/>
      </c>
      <c r="H387" s="91" t="str">
        <f>IF(AND(B387&lt;&gt;"",C387&lt;&gt;"",D387&lt;&gt;""),COUNTIF(I387:I783,B387),"")</f>
        <v/>
      </c>
      <c r="I387" s="79">
        <f t="shared" si="50"/>
        <v>59</v>
      </c>
      <c r="J387" s="76"/>
      <c r="K387" s="74"/>
      <c r="L387" s="75"/>
      <c r="M387" s="74"/>
      <c r="N387" s="74"/>
      <c r="O387" s="74"/>
      <c r="P387" s="74"/>
      <c r="Q387" s="74"/>
      <c r="R387" s="74"/>
      <c r="S387" s="74"/>
      <c r="T387" s="74"/>
      <c r="U387" s="74"/>
      <c r="V387" s="74"/>
      <c r="W387" s="74"/>
      <c r="X387" s="74"/>
      <c r="Y387" s="74"/>
    </row>
    <row r="388" spans="1:25" ht="50.45" outlineLevel="1">
      <c r="A388" s="74"/>
      <c r="B388" s="91" t="str">
        <f t="shared" si="41"/>
        <v/>
      </c>
      <c r="C388" s="94"/>
      <c r="D388" s="95"/>
      <c r="E388" s="94" t="s">
        <v>508</v>
      </c>
      <c r="F388" s="91" t="str">
        <f t="shared" si="44"/>
        <v/>
      </c>
      <c r="G388" s="91" t="str">
        <f t="shared" si="45"/>
        <v/>
      </c>
      <c r="H388" s="91" t="str">
        <f>IF(AND(B388&lt;&gt;"",C388&lt;&gt;"",D388&lt;&gt;""),COUNTIF(I388:I783,B388),"")</f>
        <v/>
      </c>
      <c r="I388" s="79">
        <f t="shared" si="50"/>
        <v>59</v>
      </c>
      <c r="J388" s="76"/>
      <c r="K388" s="74"/>
      <c r="L388" s="75"/>
      <c r="M388" s="74"/>
      <c r="N388" s="74"/>
      <c r="O388" s="74"/>
      <c r="P388" s="74"/>
      <c r="Q388" s="74"/>
      <c r="R388" s="74"/>
      <c r="S388" s="74"/>
      <c r="T388" s="74"/>
      <c r="U388" s="74"/>
      <c r="V388" s="74"/>
      <c r="W388" s="74"/>
      <c r="X388" s="74"/>
      <c r="Y388" s="74"/>
    </row>
    <row r="389" spans="1:25" ht="50.45" outlineLevel="1">
      <c r="A389" s="74"/>
      <c r="B389" s="91" t="str">
        <f t="shared" si="41"/>
        <v/>
      </c>
      <c r="C389" s="94"/>
      <c r="D389" s="95"/>
      <c r="E389" s="94" t="s">
        <v>509</v>
      </c>
      <c r="F389" s="91" t="str">
        <f t="shared" si="44"/>
        <v/>
      </c>
      <c r="G389" s="91" t="str">
        <f t="shared" si="45"/>
        <v/>
      </c>
      <c r="H389" s="91" t="str">
        <f t="shared" ref="H389:H394" si="54">IF(AND(B389&lt;&gt;"",C389&lt;&gt;"",D389&lt;&gt;""),COUNTIF(I389:I783,B389),"")</f>
        <v/>
      </c>
      <c r="I389" s="79">
        <f t="shared" si="50"/>
        <v>59</v>
      </c>
      <c r="J389" s="76"/>
      <c r="K389" s="74"/>
      <c r="L389" s="75"/>
      <c r="M389" s="74"/>
      <c r="N389" s="74"/>
      <c r="O389" s="74"/>
      <c r="P389" s="74"/>
      <c r="Q389" s="74"/>
      <c r="R389" s="74"/>
      <c r="S389" s="74"/>
      <c r="T389" s="74"/>
      <c r="U389" s="74"/>
      <c r="V389" s="74"/>
      <c r="W389" s="74"/>
      <c r="X389" s="74"/>
      <c r="Y389" s="74"/>
    </row>
    <row r="390" spans="1:25" ht="50.45" outlineLevel="1">
      <c r="A390" s="74"/>
      <c r="B390" s="91" t="str">
        <f t="shared" si="41"/>
        <v/>
      </c>
      <c r="C390" s="94"/>
      <c r="D390" s="95"/>
      <c r="E390" s="94" t="s">
        <v>510</v>
      </c>
      <c r="F390" s="91" t="str">
        <f t="shared" si="44"/>
        <v/>
      </c>
      <c r="G390" s="91" t="str">
        <f t="shared" si="45"/>
        <v/>
      </c>
      <c r="H390" s="91" t="str">
        <f t="shared" si="54"/>
        <v/>
      </c>
      <c r="I390" s="79">
        <f t="shared" si="50"/>
        <v>59</v>
      </c>
      <c r="J390" s="76"/>
      <c r="K390" s="74"/>
      <c r="L390" s="75"/>
      <c r="M390" s="74"/>
      <c r="N390" s="74"/>
      <c r="O390" s="74"/>
      <c r="P390" s="74"/>
      <c r="Q390" s="74"/>
      <c r="R390" s="74"/>
      <c r="S390" s="74"/>
      <c r="T390" s="74"/>
      <c r="U390" s="74"/>
      <c r="V390" s="74"/>
      <c r="W390" s="74"/>
      <c r="X390" s="74"/>
      <c r="Y390" s="74"/>
    </row>
    <row r="391" spans="1:25" ht="18" outlineLevel="1">
      <c r="A391" s="74"/>
      <c r="B391" s="79">
        <f t="shared" si="41"/>
        <v>60</v>
      </c>
      <c r="C391" s="94" t="s">
        <v>511</v>
      </c>
      <c r="D391" s="95" t="s">
        <v>127</v>
      </c>
      <c r="E391" s="94"/>
      <c r="F391" s="91" t="str">
        <f t="shared" si="44"/>
        <v>B</v>
      </c>
      <c r="G391" s="91" t="str">
        <f t="shared" si="45"/>
        <v>Phức tạp</v>
      </c>
      <c r="H391" s="91">
        <f t="shared" si="54"/>
        <v>13</v>
      </c>
      <c r="I391" s="79" t="str">
        <f t="shared" si="50"/>
        <v/>
      </c>
      <c r="J391" s="76"/>
      <c r="K391" s="74"/>
      <c r="L391" s="75"/>
      <c r="M391" s="74"/>
      <c r="N391" s="74"/>
      <c r="O391" s="74"/>
      <c r="P391" s="74"/>
      <c r="Q391" s="74"/>
      <c r="R391" s="74"/>
      <c r="S391" s="74"/>
      <c r="T391" s="74"/>
      <c r="U391" s="74"/>
      <c r="V391" s="74"/>
      <c r="W391" s="74"/>
      <c r="X391" s="74"/>
      <c r="Y391" s="74"/>
    </row>
    <row r="392" spans="1:25" ht="50.45" outlineLevel="1">
      <c r="A392" s="74"/>
      <c r="B392" s="91" t="str">
        <f t="shared" si="41"/>
        <v/>
      </c>
      <c r="C392" s="94"/>
      <c r="D392" s="95"/>
      <c r="E392" s="94" t="s">
        <v>512</v>
      </c>
      <c r="F392" s="91" t="str">
        <f t="shared" si="44"/>
        <v/>
      </c>
      <c r="G392" s="91" t="str">
        <f t="shared" si="45"/>
        <v/>
      </c>
      <c r="H392" s="91" t="str">
        <f t="shared" si="54"/>
        <v/>
      </c>
      <c r="I392" s="79">
        <f t="shared" si="50"/>
        <v>60</v>
      </c>
      <c r="J392" s="76"/>
      <c r="K392" s="74"/>
      <c r="L392" s="75"/>
      <c r="M392" s="74"/>
      <c r="N392" s="74"/>
      <c r="O392" s="74"/>
      <c r="P392" s="74"/>
      <c r="Q392" s="74"/>
      <c r="R392" s="74"/>
      <c r="S392" s="74"/>
      <c r="T392" s="74"/>
      <c r="U392" s="74"/>
      <c r="V392" s="74"/>
      <c r="W392" s="74"/>
      <c r="X392" s="74"/>
      <c r="Y392" s="74"/>
    </row>
    <row r="393" spans="1:25" ht="50.45" outlineLevel="1">
      <c r="A393" s="74"/>
      <c r="B393" s="91" t="str">
        <f t="shared" si="41"/>
        <v/>
      </c>
      <c r="C393" s="94"/>
      <c r="D393" s="95"/>
      <c r="E393" s="94" t="s">
        <v>513</v>
      </c>
      <c r="F393" s="91" t="str">
        <f t="shared" si="44"/>
        <v/>
      </c>
      <c r="G393" s="91" t="str">
        <f t="shared" si="45"/>
        <v/>
      </c>
      <c r="H393" s="91" t="str">
        <f t="shared" si="54"/>
        <v/>
      </c>
      <c r="I393" s="79">
        <f t="shared" si="50"/>
        <v>60</v>
      </c>
      <c r="J393" s="76"/>
      <c r="K393" s="74"/>
      <c r="L393" s="75"/>
      <c r="M393" s="74"/>
      <c r="N393" s="74"/>
      <c r="O393" s="74"/>
      <c r="P393" s="74"/>
      <c r="Q393" s="74"/>
      <c r="R393" s="74"/>
      <c r="S393" s="74"/>
      <c r="T393" s="74"/>
      <c r="U393" s="74"/>
      <c r="V393" s="74"/>
      <c r="W393" s="74"/>
      <c r="X393" s="74"/>
      <c r="Y393" s="74"/>
    </row>
    <row r="394" spans="1:25" ht="33.6" outlineLevel="1">
      <c r="A394" s="74"/>
      <c r="B394" s="91" t="str">
        <f t="shared" si="41"/>
        <v/>
      </c>
      <c r="C394" s="94"/>
      <c r="D394" s="95"/>
      <c r="E394" s="94" t="s">
        <v>514</v>
      </c>
      <c r="F394" s="91" t="str">
        <f>IF(D394="","","M")</f>
        <v/>
      </c>
      <c r="G394" s="91" t="str">
        <f t="shared" si="45"/>
        <v/>
      </c>
      <c r="H394" s="91" t="str">
        <f t="shared" si="54"/>
        <v/>
      </c>
      <c r="I394" s="79">
        <f t="shared" si="50"/>
        <v>60</v>
      </c>
      <c r="J394" s="76"/>
      <c r="K394" s="74"/>
      <c r="L394" s="75"/>
      <c r="M394" s="74"/>
      <c r="N394" s="74"/>
      <c r="O394" s="74"/>
      <c r="P394" s="74"/>
      <c r="Q394" s="74"/>
      <c r="R394" s="74"/>
      <c r="S394" s="74"/>
      <c r="T394" s="74"/>
      <c r="U394" s="74"/>
      <c r="V394" s="74"/>
      <c r="W394" s="74"/>
      <c r="X394" s="74"/>
      <c r="Y394" s="74"/>
    </row>
    <row r="395" spans="1:25" ht="50.45" outlineLevel="1">
      <c r="A395" s="74"/>
      <c r="B395" s="91" t="str">
        <f t="shared" si="41"/>
        <v/>
      </c>
      <c r="C395" s="94"/>
      <c r="D395" s="95"/>
      <c r="E395" s="94" t="s">
        <v>515</v>
      </c>
      <c r="F395" s="91"/>
      <c r="G395" s="91"/>
      <c r="H395" s="91" t="str">
        <f>IF(AND(B395&lt;&gt;"",C395&lt;&gt;"",D395&lt;&gt;""),COUNTIF(I395:I1207,B395),"")</f>
        <v/>
      </c>
      <c r="I395" s="79">
        <f t="shared" si="50"/>
        <v>60</v>
      </c>
      <c r="J395" s="76"/>
      <c r="K395" s="74"/>
      <c r="L395" s="75"/>
      <c r="M395" s="74"/>
      <c r="N395" s="74"/>
      <c r="O395" s="74"/>
      <c r="P395" s="74"/>
      <c r="Q395" s="74"/>
      <c r="R395" s="74"/>
      <c r="S395" s="74"/>
      <c r="T395" s="74"/>
      <c r="U395" s="74"/>
      <c r="V395" s="74"/>
      <c r="W395" s="74"/>
      <c r="X395" s="74"/>
      <c r="Y395" s="74"/>
    </row>
    <row r="396" spans="1:25" ht="50.45">
      <c r="A396" s="74"/>
      <c r="B396" s="91" t="str">
        <f t="shared" si="41"/>
        <v/>
      </c>
      <c r="C396" s="94"/>
      <c r="D396" s="95"/>
      <c r="E396" s="94" t="s">
        <v>516</v>
      </c>
      <c r="F396" s="91" t="str">
        <f>IF(D396="","","M")</f>
        <v/>
      </c>
      <c r="G396" s="91" t="str">
        <f t="shared" ref="G396:G407" si="55">IF(AND(B396&lt;&gt;"",C396&lt;&gt;"",D396&lt;&gt;""),IF(H396&lt;4,$K$1,IF(H396&lt;8,$K$2,$K$3)),"")</f>
        <v/>
      </c>
      <c r="H396" s="91" t="str">
        <f t="shared" ref="H396:H422" si="56">IF(AND(B396&lt;&gt;"",C396&lt;&gt;"",D396&lt;&gt;""),COUNTIF(I396:I1204,B396),"")</f>
        <v/>
      </c>
      <c r="I396" s="79">
        <f t="shared" si="50"/>
        <v>60</v>
      </c>
      <c r="J396" s="76"/>
      <c r="K396" s="74"/>
      <c r="L396" s="75"/>
      <c r="M396" s="74"/>
      <c r="N396" s="74"/>
      <c r="O396" s="74"/>
      <c r="P396" s="74"/>
      <c r="Q396" s="74"/>
      <c r="R396" s="74"/>
      <c r="S396" s="74"/>
      <c r="T396" s="74"/>
      <c r="U396" s="74"/>
      <c r="V396" s="74"/>
      <c r="W396" s="74"/>
      <c r="X396" s="74"/>
      <c r="Y396" s="74"/>
    </row>
    <row r="397" spans="1:25" ht="50.45" outlineLevel="1">
      <c r="A397" s="74"/>
      <c r="B397" s="91" t="str">
        <f t="shared" si="41"/>
        <v/>
      </c>
      <c r="C397" s="94"/>
      <c r="D397" s="95"/>
      <c r="E397" s="94" t="s">
        <v>517</v>
      </c>
      <c r="F397" s="91" t="str">
        <f t="shared" ref="F397:F498" si="57">IF(D397="","","B")</f>
        <v/>
      </c>
      <c r="G397" s="91" t="str">
        <f t="shared" si="55"/>
        <v/>
      </c>
      <c r="H397" s="91" t="str">
        <f t="shared" si="56"/>
        <v/>
      </c>
      <c r="I397" s="79">
        <f t="shared" si="50"/>
        <v>60</v>
      </c>
      <c r="J397" s="76"/>
      <c r="K397" s="74"/>
      <c r="L397" s="75"/>
      <c r="M397" s="74"/>
      <c r="N397" s="74"/>
      <c r="O397" s="74"/>
      <c r="P397" s="74"/>
      <c r="Q397" s="74"/>
      <c r="R397" s="74"/>
      <c r="S397" s="74"/>
      <c r="T397" s="74"/>
      <c r="U397" s="74"/>
      <c r="V397" s="74"/>
      <c r="W397" s="74"/>
      <c r="X397" s="74"/>
      <c r="Y397" s="74"/>
    </row>
    <row r="398" spans="1:25" ht="50.45" outlineLevel="1">
      <c r="A398" s="74"/>
      <c r="B398" s="91" t="str">
        <f t="shared" si="41"/>
        <v/>
      </c>
      <c r="C398" s="94"/>
      <c r="D398" s="95"/>
      <c r="E398" s="94" t="s">
        <v>518</v>
      </c>
      <c r="F398" s="91" t="str">
        <f t="shared" si="57"/>
        <v/>
      </c>
      <c r="G398" s="91" t="str">
        <f t="shared" si="55"/>
        <v/>
      </c>
      <c r="H398" s="91" t="str">
        <f t="shared" si="56"/>
        <v/>
      </c>
      <c r="I398" s="79">
        <f t="shared" si="50"/>
        <v>60</v>
      </c>
      <c r="J398" s="76"/>
      <c r="K398" s="74"/>
      <c r="L398" s="75"/>
      <c r="M398" s="74"/>
      <c r="N398" s="74"/>
      <c r="O398" s="74"/>
      <c r="P398" s="74"/>
      <c r="Q398" s="74"/>
      <c r="R398" s="74"/>
      <c r="S398" s="74"/>
      <c r="T398" s="74"/>
      <c r="U398" s="74"/>
      <c r="V398" s="74"/>
      <c r="W398" s="74"/>
      <c r="X398" s="74"/>
      <c r="Y398" s="74"/>
    </row>
    <row r="399" spans="1:25" ht="50.45" outlineLevel="1">
      <c r="A399" s="74"/>
      <c r="B399" s="91" t="str">
        <f t="shared" si="41"/>
        <v/>
      </c>
      <c r="C399" s="94"/>
      <c r="D399" s="95"/>
      <c r="E399" s="94" t="s">
        <v>519</v>
      </c>
      <c r="F399" s="91" t="str">
        <f t="shared" si="57"/>
        <v/>
      </c>
      <c r="G399" s="91" t="str">
        <f t="shared" si="55"/>
        <v/>
      </c>
      <c r="H399" s="91" t="str">
        <f t="shared" si="56"/>
        <v/>
      </c>
      <c r="I399" s="79">
        <f t="shared" si="50"/>
        <v>60</v>
      </c>
      <c r="J399" s="76"/>
      <c r="K399" s="74"/>
      <c r="L399" s="75"/>
      <c r="M399" s="74"/>
      <c r="N399" s="74"/>
      <c r="O399" s="74"/>
      <c r="P399" s="74"/>
      <c r="Q399" s="74"/>
      <c r="R399" s="74"/>
      <c r="S399" s="74"/>
      <c r="T399" s="74"/>
      <c r="U399" s="74"/>
      <c r="V399" s="74"/>
      <c r="W399" s="74"/>
      <c r="X399" s="74"/>
      <c r="Y399" s="74"/>
    </row>
    <row r="400" spans="1:25" ht="50.45" outlineLevel="1">
      <c r="A400" s="74"/>
      <c r="B400" s="91" t="str">
        <f>IF(C400="","",IF(F400="M",COUNTIF($F$6:F400,"M"),""))</f>
        <v/>
      </c>
      <c r="C400" s="94"/>
      <c r="D400" s="95"/>
      <c r="E400" s="94" t="s">
        <v>520</v>
      </c>
      <c r="F400" s="91" t="str">
        <f t="shared" si="57"/>
        <v/>
      </c>
      <c r="G400" s="91" t="str">
        <f t="shared" si="55"/>
        <v/>
      </c>
      <c r="H400" s="91" t="str">
        <f t="shared" si="56"/>
        <v/>
      </c>
      <c r="I400" s="79">
        <f t="shared" si="50"/>
        <v>60</v>
      </c>
      <c r="J400" s="76"/>
      <c r="K400" s="74"/>
      <c r="L400" s="75"/>
      <c r="M400" s="74"/>
      <c r="N400" s="74"/>
      <c r="O400" s="74"/>
      <c r="P400" s="74"/>
      <c r="Q400" s="74"/>
      <c r="R400" s="74"/>
      <c r="S400" s="74"/>
      <c r="T400" s="74"/>
      <c r="U400" s="74"/>
      <c r="V400" s="74"/>
      <c r="W400" s="74"/>
      <c r="X400" s="74"/>
      <c r="Y400" s="74"/>
    </row>
    <row r="401" spans="1:25" ht="50.45" outlineLevel="1">
      <c r="A401" s="74"/>
      <c r="B401" s="91" t="str">
        <f t="shared" ref="B401:B470" si="58">IF(C401="","",IF(F401="B",COUNTIF($F$6:F401,"B"),""))</f>
        <v/>
      </c>
      <c r="C401" s="94"/>
      <c r="D401" s="95"/>
      <c r="E401" s="94" t="s">
        <v>521</v>
      </c>
      <c r="F401" s="91" t="str">
        <f t="shared" si="57"/>
        <v/>
      </c>
      <c r="G401" s="91" t="str">
        <f t="shared" si="55"/>
        <v/>
      </c>
      <c r="H401" s="91" t="str">
        <f t="shared" si="56"/>
        <v/>
      </c>
      <c r="I401" s="79">
        <f t="shared" si="50"/>
        <v>60</v>
      </c>
      <c r="J401" s="76"/>
      <c r="K401" s="74"/>
      <c r="L401" s="75"/>
      <c r="M401" s="74"/>
      <c r="N401" s="74"/>
      <c r="O401" s="74"/>
      <c r="P401" s="74"/>
      <c r="Q401" s="74"/>
      <c r="R401" s="74"/>
      <c r="S401" s="74"/>
      <c r="T401" s="74"/>
      <c r="U401" s="74"/>
      <c r="V401" s="74"/>
      <c r="W401" s="74"/>
      <c r="X401" s="74"/>
      <c r="Y401" s="74"/>
    </row>
    <row r="402" spans="1:25" ht="50.45" outlineLevel="1">
      <c r="A402" s="74"/>
      <c r="B402" s="91" t="str">
        <f t="shared" si="58"/>
        <v/>
      </c>
      <c r="C402" s="94"/>
      <c r="D402" s="95"/>
      <c r="E402" s="94" t="s">
        <v>522</v>
      </c>
      <c r="F402" s="91" t="str">
        <f t="shared" si="57"/>
        <v/>
      </c>
      <c r="G402" s="91" t="str">
        <f t="shared" si="55"/>
        <v/>
      </c>
      <c r="H402" s="91" t="str">
        <f t="shared" si="56"/>
        <v/>
      </c>
      <c r="I402" s="79">
        <f t="shared" si="50"/>
        <v>60</v>
      </c>
      <c r="J402" s="76"/>
      <c r="K402" s="74"/>
      <c r="L402" s="75"/>
      <c r="M402" s="74"/>
      <c r="N402" s="74"/>
      <c r="O402" s="74"/>
      <c r="P402" s="74"/>
      <c r="Q402" s="74"/>
      <c r="R402" s="74"/>
      <c r="S402" s="74"/>
      <c r="T402" s="74"/>
      <c r="U402" s="74"/>
      <c r="V402" s="74"/>
      <c r="W402" s="74"/>
      <c r="X402" s="74"/>
      <c r="Y402" s="74"/>
    </row>
    <row r="403" spans="1:25" ht="50.45" outlineLevel="1">
      <c r="A403" s="74"/>
      <c r="B403" s="91" t="str">
        <f t="shared" si="58"/>
        <v/>
      </c>
      <c r="C403" s="94"/>
      <c r="D403" s="95"/>
      <c r="E403" s="94" t="s">
        <v>523</v>
      </c>
      <c r="F403" s="91" t="str">
        <f t="shared" si="57"/>
        <v/>
      </c>
      <c r="G403" s="91" t="str">
        <f t="shared" si="55"/>
        <v/>
      </c>
      <c r="H403" s="91" t="str">
        <f t="shared" si="56"/>
        <v/>
      </c>
      <c r="I403" s="79">
        <f t="shared" si="50"/>
        <v>60</v>
      </c>
      <c r="J403" s="76"/>
      <c r="K403" s="74"/>
      <c r="L403" s="75"/>
      <c r="M403" s="74"/>
      <c r="N403" s="74"/>
      <c r="O403" s="74"/>
      <c r="P403" s="74"/>
      <c r="Q403" s="74"/>
      <c r="R403" s="74"/>
      <c r="S403" s="74"/>
      <c r="T403" s="74"/>
      <c r="U403" s="74"/>
      <c r="V403" s="74"/>
      <c r="W403" s="74"/>
      <c r="X403" s="74"/>
      <c r="Y403" s="74"/>
    </row>
    <row r="404" spans="1:25" ht="50.45" outlineLevel="1">
      <c r="A404" s="74"/>
      <c r="B404" s="91" t="str">
        <f t="shared" si="58"/>
        <v/>
      </c>
      <c r="C404" s="94"/>
      <c r="D404" s="95"/>
      <c r="E404" s="94" t="s">
        <v>524</v>
      </c>
      <c r="F404" s="91" t="str">
        <f t="shared" si="57"/>
        <v/>
      </c>
      <c r="G404" s="91" t="str">
        <f t="shared" si="55"/>
        <v/>
      </c>
      <c r="H404" s="91" t="str">
        <f t="shared" si="56"/>
        <v/>
      </c>
      <c r="I404" s="79">
        <f t="shared" si="50"/>
        <v>60</v>
      </c>
      <c r="J404" s="76"/>
      <c r="K404" s="74"/>
      <c r="L404" s="75"/>
      <c r="M404" s="74"/>
      <c r="N404" s="74"/>
      <c r="O404" s="74"/>
      <c r="P404" s="74"/>
      <c r="Q404" s="74"/>
      <c r="R404" s="74"/>
      <c r="S404" s="74"/>
      <c r="T404" s="74"/>
      <c r="U404" s="74"/>
      <c r="V404" s="74"/>
      <c r="W404" s="74"/>
      <c r="X404" s="74"/>
      <c r="Y404" s="74"/>
    </row>
    <row r="405" spans="1:25" ht="18" outlineLevel="1">
      <c r="A405" s="74"/>
      <c r="B405" s="79">
        <f t="shared" si="58"/>
        <v>61</v>
      </c>
      <c r="C405" s="94" t="s">
        <v>525</v>
      </c>
      <c r="D405" s="95" t="s">
        <v>127</v>
      </c>
      <c r="E405" s="94"/>
      <c r="F405" s="91" t="str">
        <f t="shared" si="57"/>
        <v>B</v>
      </c>
      <c r="G405" s="91" t="str">
        <f t="shared" si="55"/>
        <v>Phức tạp</v>
      </c>
      <c r="H405" s="91">
        <f t="shared" si="56"/>
        <v>13</v>
      </c>
      <c r="I405" s="79" t="str">
        <f t="shared" si="50"/>
        <v/>
      </c>
      <c r="J405" s="76"/>
      <c r="K405" s="74"/>
      <c r="L405" s="75"/>
      <c r="M405" s="74"/>
      <c r="N405" s="74"/>
      <c r="O405" s="74"/>
      <c r="P405" s="74"/>
      <c r="Q405" s="74"/>
      <c r="R405" s="74"/>
      <c r="S405" s="74"/>
      <c r="T405" s="74"/>
      <c r="U405" s="74"/>
      <c r="V405" s="74"/>
      <c r="W405" s="74"/>
      <c r="X405" s="74"/>
      <c r="Y405" s="74"/>
    </row>
    <row r="406" spans="1:25" ht="50.45" outlineLevel="1">
      <c r="A406" s="74"/>
      <c r="B406" s="91" t="str">
        <f t="shared" si="58"/>
        <v/>
      </c>
      <c r="C406" s="94"/>
      <c r="D406" s="95"/>
      <c r="E406" s="94" t="s">
        <v>526</v>
      </c>
      <c r="F406" s="91" t="str">
        <f t="shared" si="57"/>
        <v/>
      </c>
      <c r="G406" s="91" t="str">
        <f t="shared" si="55"/>
        <v/>
      </c>
      <c r="H406" s="91" t="str">
        <f t="shared" si="56"/>
        <v/>
      </c>
      <c r="I406" s="79">
        <f t="shared" si="50"/>
        <v>61</v>
      </c>
      <c r="J406" s="76"/>
      <c r="K406" s="74"/>
      <c r="L406" s="75"/>
      <c r="M406" s="74"/>
      <c r="N406" s="74"/>
      <c r="O406" s="74"/>
      <c r="P406" s="74"/>
      <c r="Q406" s="74"/>
      <c r="R406" s="74"/>
      <c r="S406" s="74"/>
      <c r="T406" s="74"/>
      <c r="U406" s="74"/>
      <c r="V406" s="74"/>
      <c r="W406" s="74"/>
      <c r="X406" s="74"/>
      <c r="Y406" s="74"/>
    </row>
    <row r="407" spans="1:25" ht="50.45" outlineLevel="1">
      <c r="A407" s="74"/>
      <c r="B407" s="91" t="str">
        <f t="shared" si="58"/>
        <v/>
      </c>
      <c r="C407" s="94"/>
      <c r="D407" s="95"/>
      <c r="E407" s="94" t="s">
        <v>527</v>
      </c>
      <c r="F407" s="91" t="str">
        <f t="shared" si="57"/>
        <v/>
      </c>
      <c r="G407" s="91" t="str">
        <f t="shared" si="55"/>
        <v/>
      </c>
      <c r="H407" s="91" t="str">
        <f t="shared" si="56"/>
        <v/>
      </c>
      <c r="I407" s="79">
        <f t="shared" si="50"/>
        <v>61</v>
      </c>
      <c r="J407" s="76"/>
      <c r="K407" s="74"/>
      <c r="L407" s="75"/>
      <c r="M407" s="74"/>
      <c r="N407" s="74"/>
      <c r="O407" s="74"/>
      <c r="P407" s="74"/>
      <c r="Q407" s="74"/>
      <c r="R407" s="74"/>
      <c r="S407" s="74"/>
      <c r="T407" s="74"/>
      <c r="U407" s="74"/>
      <c r="V407" s="74"/>
      <c r="W407" s="74"/>
      <c r="X407" s="74"/>
      <c r="Y407" s="74"/>
    </row>
    <row r="408" spans="1:25" ht="50.45" outlineLevel="1">
      <c r="A408" s="74"/>
      <c r="B408" s="91" t="str">
        <f t="shared" si="58"/>
        <v/>
      </c>
      <c r="C408" s="94"/>
      <c r="D408" s="95"/>
      <c r="E408" s="94" t="s">
        <v>528</v>
      </c>
      <c r="F408" s="91" t="str">
        <f t="shared" si="57"/>
        <v/>
      </c>
      <c r="G408" s="91"/>
      <c r="H408" s="91" t="str">
        <f t="shared" si="56"/>
        <v/>
      </c>
      <c r="I408" s="79">
        <f t="shared" si="50"/>
        <v>61</v>
      </c>
      <c r="J408" s="76"/>
      <c r="K408" s="74"/>
      <c r="L408" s="75"/>
      <c r="M408" s="74"/>
      <c r="N408" s="74"/>
      <c r="O408" s="74"/>
      <c r="P408" s="74"/>
      <c r="Q408" s="74"/>
      <c r="R408" s="74"/>
      <c r="S408" s="74"/>
      <c r="T408" s="74"/>
      <c r="U408" s="74"/>
      <c r="V408" s="74"/>
      <c r="W408" s="74"/>
      <c r="X408" s="74"/>
      <c r="Y408" s="74"/>
    </row>
    <row r="409" spans="1:25" ht="50.45" outlineLevel="1">
      <c r="A409" s="74"/>
      <c r="B409" s="91" t="str">
        <f t="shared" si="58"/>
        <v/>
      </c>
      <c r="C409" s="94"/>
      <c r="D409" s="95"/>
      <c r="E409" s="94" t="s">
        <v>529</v>
      </c>
      <c r="F409" s="91" t="str">
        <f t="shared" si="57"/>
        <v/>
      </c>
      <c r="G409" s="91" t="str">
        <f t="shared" ref="G409:G498" si="59">IF(AND(B409&lt;&gt;"",C409&lt;&gt;"",D409&lt;&gt;""),IF(H409&lt;4,$K$1,IF(H409&lt;8,$K$2,$K$3)),"")</f>
        <v/>
      </c>
      <c r="H409" s="91" t="str">
        <f t="shared" si="56"/>
        <v/>
      </c>
      <c r="I409" s="79">
        <f>IF(OR(E409="",B409&lt;&gt;""),"",IF(I407&lt;&gt;"",I407,B407))</f>
        <v>61</v>
      </c>
      <c r="J409" s="76"/>
      <c r="K409" s="74"/>
      <c r="L409" s="75"/>
      <c r="M409" s="74"/>
      <c r="N409" s="74"/>
      <c r="O409" s="74"/>
      <c r="P409" s="74"/>
      <c r="Q409" s="74"/>
      <c r="R409" s="74"/>
      <c r="S409" s="74"/>
      <c r="T409" s="74"/>
      <c r="U409" s="74"/>
      <c r="V409" s="74"/>
      <c r="W409" s="74"/>
      <c r="X409" s="74"/>
      <c r="Y409" s="74"/>
    </row>
    <row r="410" spans="1:25" ht="50.45" outlineLevel="1">
      <c r="A410" s="74"/>
      <c r="B410" s="91" t="str">
        <f t="shared" si="58"/>
        <v/>
      </c>
      <c r="C410" s="94"/>
      <c r="D410" s="95"/>
      <c r="E410" s="94" t="s">
        <v>530</v>
      </c>
      <c r="F410" s="91" t="str">
        <f t="shared" si="57"/>
        <v/>
      </c>
      <c r="G410" s="91" t="str">
        <f t="shared" si="59"/>
        <v/>
      </c>
      <c r="H410" s="91" t="str">
        <f t="shared" si="56"/>
        <v/>
      </c>
      <c r="I410" s="79">
        <f t="shared" ref="I410:I498" si="60">IF(OR(E410="",B410&lt;&gt;""),"",IF(I409&lt;&gt;"",I409,B409))</f>
        <v>61</v>
      </c>
      <c r="J410" s="76"/>
      <c r="K410" s="74"/>
      <c r="L410" s="75"/>
      <c r="M410" s="74"/>
      <c r="N410" s="74"/>
      <c r="O410" s="74"/>
      <c r="P410" s="74"/>
      <c r="Q410" s="74"/>
      <c r="R410" s="74"/>
      <c r="S410" s="74"/>
      <c r="T410" s="74"/>
      <c r="U410" s="74"/>
      <c r="V410" s="74"/>
      <c r="W410" s="74"/>
      <c r="X410" s="74"/>
      <c r="Y410" s="74"/>
    </row>
    <row r="411" spans="1:25" ht="50.45" outlineLevel="1">
      <c r="A411" s="74"/>
      <c r="B411" s="91" t="str">
        <f t="shared" si="58"/>
        <v/>
      </c>
      <c r="C411" s="94"/>
      <c r="D411" s="95"/>
      <c r="E411" s="94" t="s">
        <v>531</v>
      </c>
      <c r="F411" s="91" t="str">
        <f t="shared" si="57"/>
        <v/>
      </c>
      <c r="G411" s="91" t="str">
        <f t="shared" si="59"/>
        <v/>
      </c>
      <c r="H411" s="91" t="str">
        <f t="shared" si="56"/>
        <v/>
      </c>
      <c r="I411" s="79">
        <f t="shared" si="60"/>
        <v>61</v>
      </c>
      <c r="J411" s="76"/>
      <c r="K411" s="74"/>
      <c r="L411" s="75"/>
      <c r="M411" s="74"/>
      <c r="N411" s="74"/>
      <c r="O411" s="74"/>
      <c r="P411" s="74"/>
      <c r="Q411" s="74"/>
      <c r="R411" s="74"/>
      <c r="S411" s="74"/>
      <c r="T411" s="74"/>
      <c r="U411" s="74"/>
      <c r="V411" s="74"/>
      <c r="W411" s="74"/>
      <c r="X411" s="74"/>
      <c r="Y411" s="74"/>
    </row>
    <row r="412" spans="1:25" ht="50.45" outlineLevel="1">
      <c r="A412" s="74"/>
      <c r="B412" s="91" t="str">
        <f t="shared" si="58"/>
        <v/>
      </c>
      <c r="C412" s="94"/>
      <c r="D412" s="95"/>
      <c r="E412" s="94" t="s">
        <v>532</v>
      </c>
      <c r="F412" s="91" t="str">
        <f t="shared" si="57"/>
        <v/>
      </c>
      <c r="G412" s="91" t="str">
        <f t="shared" si="59"/>
        <v/>
      </c>
      <c r="H412" s="91" t="str">
        <f t="shared" si="56"/>
        <v/>
      </c>
      <c r="I412" s="79">
        <f t="shared" si="60"/>
        <v>61</v>
      </c>
      <c r="J412" s="76"/>
      <c r="K412" s="74"/>
      <c r="L412" s="75"/>
      <c r="M412" s="74"/>
      <c r="N412" s="74"/>
      <c r="O412" s="74"/>
      <c r="P412" s="74"/>
      <c r="Q412" s="74"/>
      <c r="R412" s="74"/>
      <c r="S412" s="74"/>
      <c r="T412" s="74"/>
      <c r="U412" s="74"/>
      <c r="V412" s="74"/>
      <c r="W412" s="74"/>
      <c r="X412" s="74"/>
      <c r="Y412" s="74"/>
    </row>
    <row r="413" spans="1:25" ht="50.45" outlineLevel="1">
      <c r="A413" s="74"/>
      <c r="B413" s="91" t="str">
        <f t="shared" si="58"/>
        <v/>
      </c>
      <c r="C413" s="94"/>
      <c r="D413" s="95"/>
      <c r="E413" s="94" t="s">
        <v>533</v>
      </c>
      <c r="F413" s="91" t="str">
        <f t="shared" si="57"/>
        <v/>
      </c>
      <c r="G413" s="91" t="str">
        <f t="shared" si="59"/>
        <v/>
      </c>
      <c r="H413" s="91" t="str">
        <f t="shared" si="56"/>
        <v/>
      </c>
      <c r="I413" s="79">
        <f t="shared" si="60"/>
        <v>61</v>
      </c>
      <c r="J413" s="76"/>
      <c r="K413" s="74"/>
      <c r="L413" s="75"/>
      <c r="M413" s="74"/>
      <c r="N413" s="74"/>
      <c r="O413" s="74"/>
      <c r="P413" s="74"/>
      <c r="Q413" s="74"/>
      <c r="R413" s="74"/>
      <c r="S413" s="74"/>
      <c r="T413" s="74"/>
      <c r="U413" s="74"/>
      <c r="V413" s="74"/>
      <c r="W413" s="74"/>
      <c r="X413" s="74"/>
      <c r="Y413" s="74"/>
    </row>
    <row r="414" spans="1:25" ht="50.45" outlineLevel="1">
      <c r="A414" s="74"/>
      <c r="B414" s="91" t="str">
        <f t="shared" si="58"/>
        <v/>
      </c>
      <c r="C414" s="94"/>
      <c r="D414" s="95"/>
      <c r="E414" s="94" t="s">
        <v>534</v>
      </c>
      <c r="F414" s="91" t="str">
        <f t="shared" si="57"/>
        <v/>
      </c>
      <c r="G414" s="91" t="str">
        <f t="shared" si="59"/>
        <v/>
      </c>
      <c r="H414" s="91" t="str">
        <f t="shared" si="56"/>
        <v/>
      </c>
      <c r="I414" s="79">
        <f t="shared" si="60"/>
        <v>61</v>
      </c>
      <c r="J414" s="76"/>
      <c r="K414" s="74"/>
      <c r="L414" s="75"/>
      <c r="M414" s="74"/>
      <c r="N414" s="74"/>
      <c r="O414" s="74"/>
      <c r="P414" s="74"/>
      <c r="Q414" s="74"/>
      <c r="R414" s="74"/>
      <c r="S414" s="74"/>
      <c r="T414" s="74"/>
      <c r="U414" s="74"/>
      <c r="V414" s="74"/>
      <c r="W414" s="74"/>
      <c r="X414" s="74"/>
      <c r="Y414" s="74"/>
    </row>
    <row r="415" spans="1:25" ht="50.45" outlineLevel="1">
      <c r="A415" s="74"/>
      <c r="B415" s="91" t="str">
        <f t="shared" si="58"/>
        <v/>
      </c>
      <c r="C415" s="94"/>
      <c r="D415" s="95"/>
      <c r="E415" s="94" t="s">
        <v>535</v>
      </c>
      <c r="F415" s="91" t="str">
        <f t="shared" si="57"/>
        <v/>
      </c>
      <c r="G415" s="91" t="str">
        <f t="shared" si="59"/>
        <v/>
      </c>
      <c r="H415" s="91" t="str">
        <f t="shared" si="56"/>
        <v/>
      </c>
      <c r="I415" s="79">
        <f t="shared" si="60"/>
        <v>61</v>
      </c>
      <c r="J415" s="76"/>
      <c r="K415" s="74"/>
      <c r="L415" s="75"/>
      <c r="M415" s="74"/>
      <c r="N415" s="74"/>
      <c r="O415" s="74"/>
      <c r="P415" s="74"/>
      <c r="Q415" s="74"/>
      <c r="R415" s="74"/>
      <c r="S415" s="74"/>
      <c r="T415" s="74"/>
      <c r="U415" s="74"/>
      <c r="V415" s="74"/>
      <c r="W415" s="74"/>
      <c r="X415" s="74"/>
      <c r="Y415" s="74"/>
    </row>
    <row r="416" spans="1:25" ht="50.45" outlineLevel="1">
      <c r="A416" s="74"/>
      <c r="B416" s="91" t="str">
        <f t="shared" si="58"/>
        <v/>
      </c>
      <c r="C416" s="94"/>
      <c r="D416" s="95"/>
      <c r="E416" s="94" t="s">
        <v>536</v>
      </c>
      <c r="F416" s="91" t="str">
        <f t="shared" si="57"/>
        <v/>
      </c>
      <c r="G416" s="91" t="str">
        <f t="shared" si="59"/>
        <v/>
      </c>
      <c r="H416" s="91" t="str">
        <f t="shared" si="56"/>
        <v/>
      </c>
      <c r="I416" s="79">
        <f t="shared" si="60"/>
        <v>61</v>
      </c>
      <c r="J416" s="76"/>
      <c r="K416" s="74"/>
      <c r="L416" s="75"/>
      <c r="M416" s="74"/>
      <c r="N416" s="74"/>
      <c r="O416" s="74"/>
      <c r="P416" s="74"/>
      <c r="Q416" s="74"/>
      <c r="R416" s="74"/>
      <c r="S416" s="74"/>
      <c r="T416" s="74"/>
      <c r="U416" s="74"/>
      <c r="V416" s="74"/>
      <c r="W416" s="74"/>
      <c r="X416" s="74"/>
      <c r="Y416" s="74"/>
    </row>
    <row r="417" spans="1:25" ht="50.45" outlineLevel="1">
      <c r="A417" s="74"/>
      <c r="B417" s="91" t="str">
        <f t="shared" si="58"/>
        <v/>
      </c>
      <c r="C417" s="94"/>
      <c r="D417" s="95"/>
      <c r="E417" s="94" t="s">
        <v>537</v>
      </c>
      <c r="F417" s="91" t="str">
        <f t="shared" si="57"/>
        <v/>
      </c>
      <c r="G417" s="91" t="str">
        <f t="shared" si="59"/>
        <v/>
      </c>
      <c r="H417" s="91" t="str">
        <f t="shared" si="56"/>
        <v/>
      </c>
      <c r="I417" s="79">
        <f t="shared" si="60"/>
        <v>61</v>
      </c>
      <c r="J417" s="76"/>
      <c r="K417" s="74"/>
      <c r="L417" s="75"/>
      <c r="M417" s="74"/>
      <c r="N417" s="74"/>
      <c r="O417" s="74"/>
      <c r="P417" s="74"/>
      <c r="Q417" s="74"/>
      <c r="R417" s="74"/>
      <c r="S417" s="74"/>
      <c r="T417" s="74"/>
      <c r="U417" s="74"/>
      <c r="V417" s="74"/>
      <c r="W417" s="74"/>
      <c r="X417" s="74"/>
      <c r="Y417" s="74"/>
    </row>
    <row r="418" spans="1:25" ht="50.45" outlineLevel="1">
      <c r="A418" s="74"/>
      <c r="B418" s="91" t="str">
        <f t="shared" si="58"/>
        <v/>
      </c>
      <c r="C418" s="94"/>
      <c r="D418" s="95"/>
      <c r="E418" s="94" t="s">
        <v>538</v>
      </c>
      <c r="F418" s="91" t="str">
        <f t="shared" si="57"/>
        <v/>
      </c>
      <c r="G418" s="91" t="str">
        <f t="shared" si="59"/>
        <v/>
      </c>
      <c r="H418" s="91" t="str">
        <f t="shared" si="56"/>
        <v/>
      </c>
      <c r="I418" s="79">
        <f t="shared" si="60"/>
        <v>61</v>
      </c>
      <c r="J418" s="76"/>
      <c r="K418" s="74"/>
      <c r="L418" s="75"/>
      <c r="M418" s="74"/>
      <c r="N418" s="74"/>
      <c r="O418" s="74"/>
      <c r="P418" s="74"/>
      <c r="Q418" s="74"/>
      <c r="R418" s="74"/>
      <c r="S418" s="74"/>
      <c r="T418" s="74"/>
      <c r="U418" s="74"/>
      <c r="V418" s="74"/>
      <c r="W418" s="74"/>
      <c r="X418" s="74"/>
      <c r="Y418" s="74"/>
    </row>
    <row r="419" spans="1:25" ht="18" outlineLevel="1">
      <c r="A419" s="74"/>
      <c r="B419" s="79">
        <f t="shared" si="58"/>
        <v>62</v>
      </c>
      <c r="C419" s="94" t="s">
        <v>539</v>
      </c>
      <c r="D419" s="95" t="s">
        <v>127</v>
      </c>
      <c r="E419" s="94"/>
      <c r="F419" s="91" t="str">
        <f t="shared" si="57"/>
        <v>B</v>
      </c>
      <c r="G419" s="91" t="str">
        <f t="shared" si="59"/>
        <v>Phức tạp</v>
      </c>
      <c r="H419" s="91">
        <f t="shared" si="56"/>
        <v>13</v>
      </c>
      <c r="I419" s="79" t="str">
        <f t="shared" si="60"/>
        <v/>
      </c>
      <c r="J419" s="76"/>
      <c r="K419" s="74"/>
      <c r="L419" s="75"/>
      <c r="M419" s="74"/>
      <c r="N419" s="74"/>
      <c r="O419" s="74"/>
      <c r="P419" s="74"/>
      <c r="Q419" s="74"/>
      <c r="R419" s="74"/>
      <c r="S419" s="74"/>
      <c r="T419" s="74"/>
      <c r="U419" s="74"/>
      <c r="V419" s="74"/>
      <c r="W419" s="74"/>
      <c r="X419" s="74"/>
      <c r="Y419" s="74"/>
    </row>
    <row r="420" spans="1:25" ht="33.6" outlineLevel="1">
      <c r="A420" s="74"/>
      <c r="B420" s="91" t="str">
        <f t="shared" si="58"/>
        <v/>
      </c>
      <c r="C420" s="94"/>
      <c r="D420" s="95"/>
      <c r="E420" s="94" t="s">
        <v>540</v>
      </c>
      <c r="F420" s="91" t="str">
        <f t="shared" si="57"/>
        <v/>
      </c>
      <c r="G420" s="91" t="str">
        <f t="shared" si="59"/>
        <v/>
      </c>
      <c r="H420" s="91" t="str">
        <f t="shared" si="56"/>
        <v/>
      </c>
      <c r="I420" s="79">
        <f t="shared" si="60"/>
        <v>62</v>
      </c>
      <c r="J420" s="76"/>
      <c r="K420" s="74"/>
      <c r="L420" s="75"/>
      <c r="M420" s="74"/>
      <c r="N420" s="74"/>
      <c r="O420" s="74"/>
      <c r="P420" s="74"/>
      <c r="Q420" s="74"/>
      <c r="R420" s="74"/>
      <c r="S420" s="74"/>
      <c r="T420" s="74"/>
      <c r="U420" s="74"/>
      <c r="V420" s="74"/>
      <c r="W420" s="74"/>
      <c r="X420" s="74"/>
      <c r="Y420" s="74"/>
    </row>
    <row r="421" spans="1:25" ht="50.45" outlineLevel="1">
      <c r="A421" s="74"/>
      <c r="B421" s="91" t="str">
        <f t="shared" si="58"/>
        <v/>
      </c>
      <c r="C421" s="94"/>
      <c r="D421" s="95"/>
      <c r="E421" s="94" t="s">
        <v>541</v>
      </c>
      <c r="F421" s="91" t="str">
        <f t="shared" si="57"/>
        <v/>
      </c>
      <c r="G421" s="91" t="str">
        <f t="shared" si="59"/>
        <v/>
      </c>
      <c r="H421" s="91" t="str">
        <f t="shared" si="56"/>
        <v/>
      </c>
      <c r="I421" s="79">
        <f t="shared" si="60"/>
        <v>62</v>
      </c>
      <c r="J421" s="76"/>
      <c r="K421" s="74"/>
      <c r="L421" s="75"/>
      <c r="M421" s="74"/>
      <c r="N421" s="74"/>
      <c r="O421" s="74"/>
      <c r="P421" s="74"/>
      <c r="Q421" s="74"/>
      <c r="R421" s="74"/>
      <c r="S421" s="74"/>
      <c r="T421" s="74"/>
      <c r="U421" s="74"/>
      <c r="V421" s="74"/>
      <c r="W421" s="74"/>
      <c r="X421" s="74"/>
      <c r="Y421" s="74"/>
    </row>
    <row r="422" spans="1:25" ht="33.6" outlineLevel="1">
      <c r="A422" s="74"/>
      <c r="B422" s="91" t="str">
        <f t="shared" si="58"/>
        <v/>
      </c>
      <c r="C422" s="94"/>
      <c r="D422" s="95"/>
      <c r="E422" s="94" t="s">
        <v>542</v>
      </c>
      <c r="F422" s="91" t="str">
        <f t="shared" si="57"/>
        <v/>
      </c>
      <c r="G422" s="91" t="str">
        <f t="shared" si="59"/>
        <v/>
      </c>
      <c r="H422" s="91" t="str">
        <f t="shared" si="56"/>
        <v/>
      </c>
      <c r="I422" s="79">
        <f t="shared" si="60"/>
        <v>62</v>
      </c>
      <c r="J422" s="76"/>
      <c r="K422" s="74"/>
      <c r="L422" s="75"/>
      <c r="M422" s="74"/>
      <c r="N422" s="74"/>
      <c r="O422" s="74"/>
      <c r="P422" s="74"/>
      <c r="Q422" s="74"/>
      <c r="R422" s="74"/>
      <c r="S422" s="74"/>
      <c r="T422" s="74"/>
      <c r="U422" s="74"/>
      <c r="V422" s="74"/>
      <c r="W422" s="74"/>
      <c r="X422" s="74"/>
      <c r="Y422" s="74"/>
    </row>
    <row r="423" spans="1:25" ht="50.45" outlineLevel="1">
      <c r="A423" s="74"/>
      <c r="B423" s="91" t="str">
        <f t="shared" si="58"/>
        <v/>
      </c>
      <c r="C423" s="94"/>
      <c r="D423" s="95"/>
      <c r="E423" s="94" t="s">
        <v>543</v>
      </c>
      <c r="F423" s="91" t="str">
        <f t="shared" si="57"/>
        <v/>
      </c>
      <c r="G423" s="91" t="str">
        <f t="shared" si="59"/>
        <v/>
      </c>
      <c r="H423" s="91" t="str">
        <f>IF(AND(B423&lt;&gt;"",E422&lt;&gt;"",D423&lt;&gt;""),COUNTIF(I423:I1228,B423),"")</f>
        <v/>
      </c>
      <c r="I423" s="79">
        <f t="shared" si="60"/>
        <v>62</v>
      </c>
      <c r="J423" s="76"/>
      <c r="K423" s="74"/>
      <c r="L423" s="75"/>
      <c r="M423" s="74"/>
      <c r="N423" s="74"/>
      <c r="O423" s="74"/>
      <c r="P423" s="74"/>
      <c r="Q423" s="74"/>
      <c r="R423" s="74"/>
      <c r="S423" s="74"/>
      <c r="T423" s="74"/>
      <c r="U423" s="74"/>
      <c r="V423" s="74"/>
      <c r="W423" s="74"/>
      <c r="X423" s="74"/>
      <c r="Y423" s="74"/>
    </row>
    <row r="424" spans="1:25" ht="50.45" outlineLevel="1">
      <c r="A424" s="74"/>
      <c r="B424" s="91" t="str">
        <f t="shared" si="58"/>
        <v/>
      </c>
      <c r="C424" s="94"/>
      <c r="D424" s="95"/>
      <c r="E424" s="94" t="s">
        <v>544</v>
      </c>
      <c r="F424" s="91" t="str">
        <f t="shared" si="57"/>
        <v/>
      </c>
      <c r="G424" s="91" t="str">
        <f t="shared" si="59"/>
        <v/>
      </c>
      <c r="H424" s="91" t="str">
        <f t="shared" ref="H424:H427" si="61">IF(AND(B424&lt;&gt;"",C424&lt;&gt;"",D424&lt;&gt;""),COUNTIF(I424:I1229,B424),"")</f>
        <v/>
      </c>
      <c r="I424" s="79">
        <f t="shared" si="60"/>
        <v>62</v>
      </c>
      <c r="J424" s="76"/>
      <c r="K424" s="74"/>
      <c r="L424" s="75"/>
      <c r="M424" s="74"/>
      <c r="N424" s="74"/>
      <c r="O424" s="74"/>
      <c r="P424" s="74"/>
      <c r="Q424" s="74"/>
      <c r="R424" s="74"/>
      <c r="S424" s="74"/>
      <c r="T424" s="74"/>
      <c r="U424" s="74"/>
      <c r="V424" s="74"/>
      <c r="W424" s="74"/>
      <c r="X424" s="74"/>
      <c r="Y424" s="74"/>
    </row>
    <row r="425" spans="1:25" ht="50.45" outlineLevel="1">
      <c r="A425" s="74"/>
      <c r="B425" s="91" t="str">
        <f t="shared" si="58"/>
        <v/>
      </c>
      <c r="C425" s="94"/>
      <c r="D425" s="95"/>
      <c r="E425" s="94" t="s">
        <v>545</v>
      </c>
      <c r="F425" s="91" t="str">
        <f t="shared" si="57"/>
        <v/>
      </c>
      <c r="G425" s="91" t="str">
        <f t="shared" si="59"/>
        <v/>
      </c>
      <c r="H425" s="91" t="str">
        <f t="shared" si="61"/>
        <v/>
      </c>
      <c r="I425" s="79">
        <f t="shared" si="60"/>
        <v>62</v>
      </c>
      <c r="J425" s="76"/>
      <c r="K425" s="74"/>
      <c r="L425" s="75"/>
      <c r="M425" s="74"/>
      <c r="N425" s="74"/>
      <c r="O425" s="74"/>
      <c r="P425" s="74"/>
      <c r="Q425" s="74"/>
      <c r="R425" s="74"/>
      <c r="S425" s="74"/>
      <c r="T425" s="74"/>
      <c r="U425" s="74"/>
      <c r="V425" s="74"/>
      <c r="W425" s="74"/>
      <c r="X425" s="74"/>
      <c r="Y425" s="74"/>
    </row>
    <row r="426" spans="1:25" ht="50.45" outlineLevel="1">
      <c r="A426" s="74"/>
      <c r="B426" s="91" t="str">
        <f t="shared" si="58"/>
        <v/>
      </c>
      <c r="C426" s="94"/>
      <c r="D426" s="95"/>
      <c r="E426" s="94" t="s">
        <v>546</v>
      </c>
      <c r="F426" s="91" t="str">
        <f t="shared" si="57"/>
        <v/>
      </c>
      <c r="G426" s="91" t="str">
        <f t="shared" si="59"/>
        <v/>
      </c>
      <c r="H426" s="91" t="str">
        <f t="shared" si="61"/>
        <v/>
      </c>
      <c r="I426" s="79">
        <f t="shared" si="60"/>
        <v>62</v>
      </c>
      <c r="J426" s="76"/>
      <c r="K426" s="74"/>
      <c r="L426" s="75"/>
      <c r="M426" s="74"/>
      <c r="N426" s="74"/>
      <c r="O426" s="74"/>
      <c r="P426" s="74"/>
      <c r="Q426" s="74"/>
      <c r="R426" s="74"/>
      <c r="S426" s="74"/>
      <c r="T426" s="74"/>
      <c r="U426" s="74"/>
      <c r="V426" s="74"/>
      <c r="W426" s="74"/>
      <c r="X426" s="74"/>
      <c r="Y426" s="74"/>
    </row>
    <row r="427" spans="1:25" ht="50.45" outlineLevel="1">
      <c r="A427" s="74"/>
      <c r="B427" s="91" t="str">
        <f t="shared" si="58"/>
        <v/>
      </c>
      <c r="C427" s="94"/>
      <c r="D427" s="95"/>
      <c r="E427" s="94" t="s">
        <v>547</v>
      </c>
      <c r="F427" s="91" t="str">
        <f t="shared" si="57"/>
        <v/>
      </c>
      <c r="G427" s="91" t="str">
        <f t="shared" si="59"/>
        <v/>
      </c>
      <c r="H427" s="91" t="str">
        <f t="shared" si="61"/>
        <v/>
      </c>
      <c r="I427" s="79">
        <f t="shared" si="60"/>
        <v>62</v>
      </c>
      <c r="J427" s="76"/>
      <c r="K427" s="74"/>
      <c r="L427" s="75"/>
      <c r="M427" s="74"/>
      <c r="N427" s="74"/>
      <c r="O427" s="74"/>
      <c r="P427" s="74"/>
      <c r="Q427" s="74"/>
      <c r="R427" s="74"/>
      <c r="S427" s="74"/>
      <c r="T427" s="74"/>
      <c r="U427" s="74"/>
      <c r="V427" s="74"/>
      <c r="W427" s="74"/>
      <c r="X427" s="74"/>
      <c r="Y427" s="74"/>
    </row>
    <row r="428" spans="1:25" ht="50.45" outlineLevel="1">
      <c r="A428" s="74"/>
      <c r="B428" s="91" t="str">
        <f t="shared" si="58"/>
        <v/>
      </c>
      <c r="C428" s="94"/>
      <c r="D428" s="95"/>
      <c r="E428" s="94" t="s">
        <v>548</v>
      </c>
      <c r="F428" s="91" t="str">
        <f t="shared" si="57"/>
        <v/>
      </c>
      <c r="G428" s="91" t="str">
        <f t="shared" si="59"/>
        <v/>
      </c>
      <c r="H428" s="91" t="str">
        <f t="shared" ref="H428:H493" si="62">IF(AND(B428&lt;&gt;"",C428&lt;&gt;"",D428&lt;&gt;""),COUNTIF(I428:I1246,B428),"")</f>
        <v/>
      </c>
      <c r="I428" s="79">
        <f t="shared" si="60"/>
        <v>62</v>
      </c>
      <c r="J428" s="76"/>
      <c r="K428" s="74"/>
      <c r="L428" s="75"/>
      <c r="M428" s="74"/>
      <c r="N428" s="74"/>
      <c r="O428" s="74"/>
      <c r="P428" s="74"/>
      <c r="Q428" s="74"/>
      <c r="R428" s="74"/>
      <c r="S428" s="74"/>
      <c r="T428" s="74"/>
      <c r="U428" s="74"/>
      <c r="V428" s="74"/>
      <c r="W428" s="74"/>
      <c r="X428" s="74"/>
      <c r="Y428" s="74"/>
    </row>
    <row r="429" spans="1:25" ht="50.45" outlineLevel="1">
      <c r="A429" s="74"/>
      <c r="B429" s="91" t="str">
        <f t="shared" si="58"/>
        <v/>
      </c>
      <c r="C429" s="94"/>
      <c r="D429" s="95"/>
      <c r="E429" s="94" t="s">
        <v>549</v>
      </c>
      <c r="F429" s="91" t="str">
        <f t="shared" si="57"/>
        <v/>
      </c>
      <c r="G429" s="91" t="str">
        <f t="shared" si="59"/>
        <v/>
      </c>
      <c r="H429" s="91" t="str">
        <f t="shared" si="62"/>
        <v/>
      </c>
      <c r="I429" s="79">
        <f t="shared" si="60"/>
        <v>62</v>
      </c>
      <c r="J429" s="76"/>
      <c r="K429" s="74"/>
      <c r="L429" s="75"/>
      <c r="M429" s="74"/>
      <c r="N429" s="74"/>
      <c r="O429" s="74"/>
      <c r="P429" s="74"/>
      <c r="Q429" s="74"/>
      <c r="R429" s="74"/>
      <c r="S429" s="74"/>
      <c r="T429" s="74"/>
      <c r="U429" s="74"/>
      <c r="V429" s="74"/>
      <c r="W429" s="74"/>
      <c r="X429" s="74"/>
      <c r="Y429" s="74"/>
    </row>
    <row r="430" spans="1:25" ht="50.45" outlineLevel="1">
      <c r="A430" s="74"/>
      <c r="B430" s="91" t="str">
        <f t="shared" si="58"/>
        <v/>
      </c>
      <c r="C430" s="94"/>
      <c r="D430" s="95"/>
      <c r="E430" s="94" t="s">
        <v>550</v>
      </c>
      <c r="F430" s="91" t="str">
        <f t="shared" si="57"/>
        <v/>
      </c>
      <c r="G430" s="91" t="str">
        <f t="shared" si="59"/>
        <v/>
      </c>
      <c r="H430" s="91" t="str">
        <f t="shared" si="62"/>
        <v/>
      </c>
      <c r="I430" s="79">
        <f t="shared" si="60"/>
        <v>62</v>
      </c>
      <c r="J430" s="76"/>
      <c r="K430" s="74"/>
      <c r="L430" s="75"/>
      <c r="M430" s="74"/>
      <c r="N430" s="74"/>
      <c r="O430" s="74"/>
      <c r="P430" s="74"/>
      <c r="Q430" s="74"/>
      <c r="R430" s="74"/>
      <c r="S430" s="74"/>
      <c r="T430" s="74"/>
      <c r="U430" s="74"/>
      <c r="V430" s="74"/>
      <c r="W430" s="74"/>
      <c r="X430" s="74"/>
      <c r="Y430" s="74"/>
    </row>
    <row r="431" spans="1:25" ht="33.6" outlineLevel="1">
      <c r="A431" s="74"/>
      <c r="B431" s="91" t="str">
        <f t="shared" si="58"/>
        <v/>
      </c>
      <c r="C431" s="94"/>
      <c r="D431" s="95"/>
      <c r="E431" s="94" t="s">
        <v>551</v>
      </c>
      <c r="F431" s="91" t="str">
        <f t="shared" si="57"/>
        <v/>
      </c>
      <c r="G431" s="91" t="str">
        <f t="shared" si="59"/>
        <v/>
      </c>
      <c r="H431" s="91" t="str">
        <f t="shared" si="62"/>
        <v/>
      </c>
      <c r="I431" s="79">
        <f t="shared" si="60"/>
        <v>62</v>
      </c>
      <c r="J431" s="76"/>
      <c r="K431" s="74"/>
      <c r="L431" s="75"/>
      <c r="M431" s="74"/>
      <c r="N431" s="74"/>
      <c r="O431" s="74"/>
      <c r="P431" s="74"/>
      <c r="Q431" s="74"/>
      <c r="R431" s="74"/>
      <c r="S431" s="74"/>
      <c r="T431" s="74"/>
      <c r="U431" s="74"/>
      <c r="V431" s="74"/>
      <c r="W431" s="74"/>
      <c r="X431" s="74"/>
      <c r="Y431" s="74"/>
    </row>
    <row r="432" spans="1:25" ht="50.45" outlineLevel="1">
      <c r="A432" s="74"/>
      <c r="B432" s="91" t="str">
        <f t="shared" si="58"/>
        <v/>
      </c>
      <c r="C432" s="94"/>
      <c r="D432" s="95"/>
      <c r="E432" s="94" t="s">
        <v>552</v>
      </c>
      <c r="F432" s="91" t="str">
        <f t="shared" si="57"/>
        <v/>
      </c>
      <c r="G432" s="91" t="str">
        <f t="shared" si="59"/>
        <v/>
      </c>
      <c r="H432" s="91" t="str">
        <f t="shared" si="62"/>
        <v/>
      </c>
      <c r="I432" s="79">
        <f t="shared" si="60"/>
        <v>62</v>
      </c>
      <c r="J432" s="76"/>
      <c r="K432" s="74"/>
      <c r="L432" s="75"/>
      <c r="M432" s="74"/>
      <c r="N432" s="74"/>
      <c r="O432" s="74"/>
      <c r="P432" s="74"/>
      <c r="Q432" s="74"/>
      <c r="R432" s="74"/>
      <c r="S432" s="74"/>
      <c r="T432" s="74"/>
      <c r="U432" s="74"/>
      <c r="V432" s="74"/>
      <c r="W432" s="74"/>
      <c r="X432" s="74"/>
      <c r="Y432" s="74"/>
    </row>
    <row r="433" spans="1:25" ht="18" outlineLevel="1">
      <c r="A433" s="74"/>
      <c r="B433" s="79">
        <f t="shared" si="58"/>
        <v>63</v>
      </c>
      <c r="C433" s="94" t="s">
        <v>553</v>
      </c>
      <c r="D433" s="95" t="s">
        <v>127</v>
      </c>
      <c r="E433" s="94"/>
      <c r="F433" s="91" t="str">
        <f t="shared" si="57"/>
        <v>B</v>
      </c>
      <c r="G433" s="91" t="str">
        <f t="shared" si="59"/>
        <v>Phức tạp</v>
      </c>
      <c r="H433" s="91">
        <f t="shared" si="62"/>
        <v>13</v>
      </c>
      <c r="I433" s="79" t="str">
        <f t="shared" si="60"/>
        <v/>
      </c>
      <c r="J433" s="76"/>
      <c r="K433" s="74"/>
      <c r="L433" s="75"/>
      <c r="M433" s="74"/>
      <c r="N433" s="74"/>
      <c r="O433" s="74"/>
      <c r="P433" s="74"/>
      <c r="Q433" s="74"/>
      <c r="R433" s="74"/>
      <c r="S433" s="74"/>
      <c r="T433" s="74"/>
      <c r="U433" s="74"/>
      <c r="V433" s="74"/>
      <c r="W433" s="74"/>
      <c r="X433" s="74"/>
      <c r="Y433" s="74"/>
    </row>
    <row r="434" spans="1:25" ht="50.45" outlineLevel="1">
      <c r="A434" s="74"/>
      <c r="B434" s="91" t="str">
        <f t="shared" si="58"/>
        <v/>
      </c>
      <c r="C434" s="94"/>
      <c r="D434" s="95"/>
      <c r="E434" s="94" t="s">
        <v>554</v>
      </c>
      <c r="F434" s="91" t="str">
        <f t="shared" si="57"/>
        <v/>
      </c>
      <c r="G434" s="91" t="str">
        <f t="shared" si="59"/>
        <v/>
      </c>
      <c r="H434" s="91" t="str">
        <f t="shared" si="62"/>
        <v/>
      </c>
      <c r="I434" s="79">
        <f t="shared" si="60"/>
        <v>63</v>
      </c>
      <c r="J434" s="76"/>
      <c r="K434" s="74"/>
      <c r="L434" s="75"/>
      <c r="M434" s="74"/>
      <c r="N434" s="74"/>
      <c r="O434" s="74"/>
      <c r="P434" s="74"/>
      <c r="Q434" s="74"/>
      <c r="R434" s="74"/>
      <c r="S434" s="74"/>
      <c r="T434" s="74"/>
      <c r="U434" s="74"/>
      <c r="V434" s="74"/>
      <c r="W434" s="74"/>
      <c r="X434" s="74"/>
      <c r="Y434" s="74"/>
    </row>
    <row r="435" spans="1:25" ht="50.45" outlineLevel="1">
      <c r="A435" s="74"/>
      <c r="B435" s="91" t="str">
        <f t="shared" si="58"/>
        <v/>
      </c>
      <c r="C435" s="94"/>
      <c r="D435" s="95"/>
      <c r="E435" s="94" t="s">
        <v>555</v>
      </c>
      <c r="F435" s="91" t="str">
        <f t="shared" si="57"/>
        <v/>
      </c>
      <c r="G435" s="91" t="str">
        <f t="shared" si="59"/>
        <v/>
      </c>
      <c r="H435" s="91" t="str">
        <f t="shared" si="62"/>
        <v/>
      </c>
      <c r="I435" s="79">
        <f t="shared" si="60"/>
        <v>63</v>
      </c>
      <c r="J435" s="76"/>
      <c r="K435" s="74"/>
      <c r="L435" s="75"/>
      <c r="M435" s="74"/>
      <c r="N435" s="74"/>
      <c r="O435" s="74"/>
      <c r="P435" s="74"/>
      <c r="Q435" s="74"/>
      <c r="R435" s="74"/>
      <c r="S435" s="74"/>
      <c r="T435" s="74"/>
      <c r="U435" s="74"/>
      <c r="V435" s="74"/>
      <c r="W435" s="74"/>
      <c r="X435" s="74"/>
      <c r="Y435" s="74"/>
    </row>
    <row r="436" spans="1:25" ht="50.45" outlineLevel="1">
      <c r="A436" s="74"/>
      <c r="B436" s="91" t="str">
        <f t="shared" si="58"/>
        <v/>
      </c>
      <c r="C436" s="94"/>
      <c r="D436" s="95"/>
      <c r="E436" s="94" t="s">
        <v>556</v>
      </c>
      <c r="F436" s="91" t="str">
        <f t="shared" si="57"/>
        <v/>
      </c>
      <c r="G436" s="91" t="str">
        <f t="shared" si="59"/>
        <v/>
      </c>
      <c r="H436" s="91" t="str">
        <f t="shared" si="62"/>
        <v/>
      </c>
      <c r="I436" s="79">
        <f t="shared" si="60"/>
        <v>63</v>
      </c>
      <c r="J436" s="76"/>
      <c r="K436" s="74"/>
      <c r="L436" s="75"/>
      <c r="M436" s="74"/>
      <c r="N436" s="74"/>
      <c r="O436" s="74"/>
      <c r="P436" s="74"/>
      <c r="Q436" s="74"/>
      <c r="R436" s="74"/>
      <c r="S436" s="74"/>
      <c r="T436" s="74"/>
      <c r="U436" s="74"/>
      <c r="V436" s="74"/>
      <c r="W436" s="74"/>
      <c r="X436" s="74"/>
      <c r="Y436" s="74"/>
    </row>
    <row r="437" spans="1:25" ht="50.45" outlineLevel="1">
      <c r="A437" s="74"/>
      <c r="B437" s="91" t="str">
        <f t="shared" si="58"/>
        <v/>
      </c>
      <c r="C437" s="94"/>
      <c r="D437" s="95"/>
      <c r="E437" s="94" t="s">
        <v>557</v>
      </c>
      <c r="F437" s="91" t="str">
        <f t="shared" si="57"/>
        <v/>
      </c>
      <c r="G437" s="91" t="str">
        <f t="shared" si="59"/>
        <v/>
      </c>
      <c r="H437" s="91" t="str">
        <f t="shared" si="62"/>
        <v/>
      </c>
      <c r="I437" s="79">
        <f t="shared" si="60"/>
        <v>63</v>
      </c>
      <c r="J437" s="76"/>
      <c r="K437" s="74"/>
      <c r="L437" s="75"/>
      <c r="M437" s="74"/>
      <c r="N437" s="74"/>
      <c r="O437" s="74"/>
      <c r="P437" s="74"/>
      <c r="Q437" s="74"/>
      <c r="R437" s="74"/>
      <c r="S437" s="74"/>
      <c r="T437" s="74"/>
      <c r="U437" s="74"/>
      <c r="V437" s="74"/>
      <c r="W437" s="74"/>
      <c r="X437" s="74"/>
      <c r="Y437" s="74"/>
    </row>
    <row r="438" spans="1:25" ht="50.45" outlineLevel="1">
      <c r="A438" s="74"/>
      <c r="B438" s="91" t="str">
        <f t="shared" si="58"/>
        <v/>
      </c>
      <c r="C438" s="94"/>
      <c r="D438" s="95"/>
      <c r="E438" s="94" t="s">
        <v>558</v>
      </c>
      <c r="F438" s="91" t="str">
        <f t="shared" si="57"/>
        <v/>
      </c>
      <c r="G438" s="91" t="str">
        <f t="shared" si="59"/>
        <v/>
      </c>
      <c r="H438" s="91" t="str">
        <f t="shared" si="62"/>
        <v/>
      </c>
      <c r="I438" s="79">
        <f t="shared" si="60"/>
        <v>63</v>
      </c>
      <c r="J438" s="76"/>
      <c r="K438" s="74"/>
      <c r="L438" s="75"/>
      <c r="M438" s="74"/>
      <c r="N438" s="74"/>
      <c r="O438" s="74"/>
      <c r="P438" s="74"/>
      <c r="Q438" s="74"/>
      <c r="R438" s="74"/>
      <c r="S438" s="74"/>
      <c r="T438" s="74"/>
      <c r="U438" s="74"/>
      <c r="V438" s="74"/>
      <c r="W438" s="74"/>
      <c r="X438" s="74"/>
      <c r="Y438" s="74"/>
    </row>
    <row r="439" spans="1:25" ht="50.45" outlineLevel="1">
      <c r="A439" s="74"/>
      <c r="B439" s="91" t="str">
        <f t="shared" si="58"/>
        <v/>
      </c>
      <c r="C439" s="94"/>
      <c r="D439" s="95"/>
      <c r="E439" s="94" t="s">
        <v>559</v>
      </c>
      <c r="F439" s="91" t="str">
        <f t="shared" si="57"/>
        <v/>
      </c>
      <c r="G439" s="91" t="str">
        <f t="shared" si="59"/>
        <v/>
      </c>
      <c r="H439" s="91" t="str">
        <f t="shared" si="62"/>
        <v/>
      </c>
      <c r="I439" s="79">
        <f t="shared" si="60"/>
        <v>63</v>
      </c>
      <c r="J439" s="76"/>
      <c r="K439" s="74"/>
      <c r="L439" s="75"/>
      <c r="M439" s="74"/>
      <c r="N439" s="74"/>
      <c r="O439" s="74"/>
      <c r="P439" s="74"/>
      <c r="Q439" s="74"/>
      <c r="R439" s="74"/>
      <c r="S439" s="74"/>
      <c r="T439" s="74"/>
      <c r="U439" s="74"/>
      <c r="V439" s="74"/>
      <c r="W439" s="74"/>
      <c r="X439" s="74"/>
      <c r="Y439" s="74"/>
    </row>
    <row r="440" spans="1:25" ht="50.45" outlineLevel="1">
      <c r="A440" s="74"/>
      <c r="B440" s="91" t="str">
        <f t="shared" si="58"/>
        <v/>
      </c>
      <c r="C440" s="94"/>
      <c r="D440" s="95"/>
      <c r="E440" s="94" t="s">
        <v>560</v>
      </c>
      <c r="F440" s="91" t="str">
        <f t="shared" si="57"/>
        <v/>
      </c>
      <c r="G440" s="91" t="str">
        <f t="shared" si="59"/>
        <v/>
      </c>
      <c r="H440" s="91" t="str">
        <f t="shared" si="62"/>
        <v/>
      </c>
      <c r="I440" s="79">
        <f t="shared" si="60"/>
        <v>63</v>
      </c>
      <c r="J440" s="76"/>
      <c r="K440" s="74"/>
      <c r="L440" s="75"/>
      <c r="M440" s="74"/>
      <c r="N440" s="74"/>
      <c r="O440" s="74"/>
      <c r="P440" s="74"/>
      <c r="Q440" s="74"/>
      <c r="R440" s="74"/>
      <c r="S440" s="74"/>
      <c r="T440" s="74"/>
      <c r="U440" s="74"/>
      <c r="V440" s="74"/>
      <c r="W440" s="74"/>
      <c r="X440" s="74"/>
      <c r="Y440" s="74"/>
    </row>
    <row r="441" spans="1:25" ht="50.45" outlineLevel="1">
      <c r="A441" s="74"/>
      <c r="B441" s="91" t="str">
        <f t="shared" si="58"/>
        <v/>
      </c>
      <c r="C441" s="94"/>
      <c r="D441" s="95"/>
      <c r="E441" s="94" t="s">
        <v>561</v>
      </c>
      <c r="F441" s="91" t="str">
        <f t="shared" si="57"/>
        <v/>
      </c>
      <c r="G441" s="91" t="str">
        <f t="shared" si="59"/>
        <v/>
      </c>
      <c r="H441" s="91" t="str">
        <f t="shared" si="62"/>
        <v/>
      </c>
      <c r="I441" s="79">
        <f t="shared" si="60"/>
        <v>63</v>
      </c>
      <c r="J441" s="76"/>
      <c r="K441" s="74"/>
      <c r="L441" s="75"/>
      <c r="M441" s="74"/>
      <c r="N441" s="74"/>
      <c r="O441" s="74"/>
      <c r="P441" s="74"/>
      <c r="Q441" s="74"/>
      <c r="R441" s="74"/>
      <c r="S441" s="74"/>
      <c r="T441" s="74"/>
      <c r="U441" s="74"/>
      <c r="V441" s="74"/>
      <c r="W441" s="74"/>
      <c r="X441" s="74"/>
      <c r="Y441" s="74"/>
    </row>
    <row r="442" spans="1:25" ht="50.45" outlineLevel="1">
      <c r="A442" s="74"/>
      <c r="B442" s="91" t="str">
        <f t="shared" si="58"/>
        <v/>
      </c>
      <c r="C442" s="94"/>
      <c r="D442" s="95"/>
      <c r="E442" s="94" t="s">
        <v>562</v>
      </c>
      <c r="F442" s="91" t="str">
        <f t="shared" si="57"/>
        <v/>
      </c>
      <c r="G442" s="91" t="str">
        <f t="shared" si="59"/>
        <v/>
      </c>
      <c r="H442" s="91" t="str">
        <f t="shared" si="62"/>
        <v/>
      </c>
      <c r="I442" s="79">
        <f t="shared" si="60"/>
        <v>63</v>
      </c>
      <c r="J442" s="76"/>
      <c r="K442" s="74"/>
      <c r="L442" s="75"/>
      <c r="M442" s="74"/>
      <c r="N442" s="74"/>
      <c r="O442" s="74"/>
      <c r="P442" s="74"/>
      <c r="Q442" s="74"/>
      <c r="R442" s="74"/>
      <c r="S442" s="74"/>
      <c r="T442" s="74"/>
      <c r="U442" s="74"/>
      <c r="V442" s="74"/>
      <c r="W442" s="74"/>
      <c r="X442" s="74"/>
      <c r="Y442" s="74"/>
    </row>
    <row r="443" spans="1:25" ht="50.45" outlineLevel="1">
      <c r="A443" s="74"/>
      <c r="B443" s="91" t="str">
        <f t="shared" si="58"/>
        <v/>
      </c>
      <c r="C443" s="94"/>
      <c r="D443" s="95"/>
      <c r="E443" s="94" t="s">
        <v>563</v>
      </c>
      <c r="F443" s="91" t="str">
        <f t="shared" si="57"/>
        <v/>
      </c>
      <c r="G443" s="91" t="str">
        <f t="shared" si="59"/>
        <v/>
      </c>
      <c r="H443" s="91" t="str">
        <f t="shared" si="62"/>
        <v/>
      </c>
      <c r="I443" s="79">
        <f t="shared" si="60"/>
        <v>63</v>
      </c>
      <c r="J443" s="76"/>
      <c r="K443" s="74"/>
      <c r="L443" s="75"/>
      <c r="M443" s="74"/>
      <c r="N443" s="74"/>
      <c r="O443" s="74"/>
      <c r="P443" s="74"/>
      <c r="Q443" s="74"/>
      <c r="R443" s="74"/>
      <c r="S443" s="74"/>
      <c r="T443" s="74"/>
      <c r="U443" s="74"/>
      <c r="V443" s="74"/>
      <c r="W443" s="74"/>
      <c r="X443" s="74"/>
      <c r="Y443" s="74"/>
    </row>
    <row r="444" spans="1:25" ht="50.45" outlineLevel="1">
      <c r="A444" s="74"/>
      <c r="B444" s="91" t="str">
        <f t="shared" si="58"/>
        <v/>
      </c>
      <c r="C444" s="94"/>
      <c r="D444" s="95"/>
      <c r="E444" s="94" t="s">
        <v>564</v>
      </c>
      <c r="F444" s="91" t="str">
        <f t="shared" si="57"/>
        <v/>
      </c>
      <c r="G444" s="91" t="str">
        <f t="shared" si="59"/>
        <v/>
      </c>
      <c r="H444" s="91" t="str">
        <f t="shared" si="62"/>
        <v/>
      </c>
      <c r="I444" s="79">
        <f t="shared" si="60"/>
        <v>63</v>
      </c>
      <c r="J444" s="76"/>
      <c r="K444" s="74"/>
      <c r="L444" s="75"/>
      <c r="M444" s="74"/>
      <c r="N444" s="74"/>
      <c r="O444" s="74"/>
      <c r="P444" s="74"/>
      <c r="Q444" s="74"/>
      <c r="R444" s="74"/>
      <c r="S444" s="74"/>
      <c r="T444" s="74"/>
      <c r="U444" s="74"/>
      <c r="V444" s="74"/>
      <c r="W444" s="74"/>
      <c r="X444" s="74"/>
      <c r="Y444" s="74"/>
    </row>
    <row r="445" spans="1:25" ht="33.6" outlineLevel="1">
      <c r="A445" s="74"/>
      <c r="B445" s="91" t="str">
        <f t="shared" si="58"/>
        <v/>
      </c>
      <c r="C445" s="94"/>
      <c r="D445" s="95"/>
      <c r="E445" s="94" t="s">
        <v>565</v>
      </c>
      <c r="F445" s="91" t="str">
        <f t="shared" si="57"/>
        <v/>
      </c>
      <c r="G445" s="91" t="str">
        <f t="shared" si="59"/>
        <v/>
      </c>
      <c r="H445" s="91" t="str">
        <f t="shared" si="62"/>
        <v/>
      </c>
      <c r="I445" s="79">
        <f t="shared" si="60"/>
        <v>63</v>
      </c>
      <c r="J445" s="76"/>
      <c r="K445" s="74"/>
      <c r="L445" s="75"/>
      <c r="M445" s="74"/>
      <c r="N445" s="74"/>
      <c r="O445" s="74"/>
      <c r="P445" s="74"/>
      <c r="Q445" s="74"/>
      <c r="R445" s="74"/>
      <c r="S445" s="74"/>
      <c r="T445" s="74"/>
      <c r="U445" s="74"/>
      <c r="V445" s="74"/>
      <c r="W445" s="74"/>
      <c r="X445" s="74"/>
      <c r="Y445" s="74"/>
    </row>
    <row r="446" spans="1:25" ht="50.45" outlineLevel="1">
      <c r="A446" s="74"/>
      <c r="B446" s="91" t="str">
        <f t="shared" si="58"/>
        <v/>
      </c>
      <c r="C446" s="94"/>
      <c r="D446" s="95"/>
      <c r="E446" s="94" t="s">
        <v>566</v>
      </c>
      <c r="F446" s="91" t="str">
        <f t="shared" si="57"/>
        <v/>
      </c>
      <c r="G446" s="91" t="str">
        <f t="shared" si="59"/>
        <v/>
      </c>
      <c r="H446" s="91" t="str">
        <f t="shared" si="62"/>
        <v/>
      </c>
      <c r="I446" s="79">
        <f t="shared" si="60"/>
        <v>63</v>
      </c>
      <c r="J446" s="76"/>
      <c r="K446" s="74"/>
      <c r="L446" s="75"/>
      <c r="M446" s="74"/>
      <c r="N446" s="74"/>
      <c r="O446" s="74"/>
      <c r="P446" s="74"/>
      <c r="Q446" s="74"/>
      <c r="R446" s="74"/>
      <c r="S446" s="74"/>
      <c r="T446" s="74"/>
      <c r="U446" s="74"/>
      <c r="V446" s="74"/>
      <c r="W446" s="74"/>
      <c r="X446" s="74"/>
      <c r="Y446" s="74"/>
    </row>
    <row r="447" spans="1:25" ht="18" outlineLevel="1">
      <c r="A447" s="74"/>
      <c r="B447" s="79">
        <f t="shared" si="58"/>
        <v>64</v>
      </c>
      <c r="C447" s="94" t="s">
        <v>567</v>
      </c>
      <c r="D447" s="95" t="s">
        <v>127</v>
      </c>
      <c r="E447" s="94"/>
      <c r="F447" s="91" t="str">
        <f t="shared" si="57"/>
        <v>B</v>
      </c>
      <c r="G447" s="91" t="str">
        <f t="shared" si="59"/>
        <v>Phức tạp</v>
      </c>
      <c r="H447" s="91">
        <f t="shared" si="62"/>
        <v>10</v>
      </c>
      <c r="I447" s="79" t="str">
        <f t="shared" si="60"/>
        <v/>
      </c>
      <c r="J447" s="76"/>
      <c r="K447" s="74"/>
      <c r="L447" s="75"/>
      <c r="M447" s="74"/>
      <c r="N447" s="74"/>
      <c r="O447" s="74"/>
      <c r="P447" s="74"/>
      <c r="Q447" s="74"/>
      <c r="R447" s="74"/>
      <c r="S447" s="74"/>
      <c r="T447" s="74"/>
      <c r="U447" s="74"/>
      <c r="V447" s="74"/>
      <c r="W447" s="74"/>
      <c r="X447" s="74"/>
      <c r="Y447" s="74"/>
    </row>
    <row r="448" spans="1:25" ht="50.45" outlineLevel="1">
      <c r="A448" s="74"/>
      <c r="B448" s="91" t="str">
        <f t="shared" si="58"/>
        <v/>
      </c>
      <c r="C448" s="94"/>
      <c r="D448" s="95"/>
      <c r="E448" s="94" t="s">
        <v>568</v>
      </c>
      <c r="F448" s="91" t="str">
        <f t="shared" si="57"/>
        <v/>
      </c>
      <c r="G448" s="91" t="str">
        <f t="shared" si="59"/>
        <v/>
      </c>
      <c r="H448" s="91" t="str">
        <f t="shared" si="62"/>
        <v/>
      </c>
      <c r="I448" s="79">
        <f t="shared" si="60"/>
        <v>64</v>
      </c>
      <c r="J448" s="76"/>
      <c r="K448" s="74"/>
      <c r="L448" s="75"/>
      <c r="M448" s="74"/>
      <c r="N448" s="74"/>
      <c r="O448" s="74"/>
      <c r="P448" s="74"/>
      <c r="Q448" s="74"/>
      <c r="R448" s="74"/>
      <c r="S448" s="74"/>
      <c r="T448" s="74"/>
      <c r="U448" s="74"/>
      <c r="V448" s="74"/>
      <c r="W448" s="74"/>
      <c r="X448" s="74"/>
      <c r="Y448" s="74"/>
    </row>
    <row r="449" spans="1:25" ht="50.45" outlineLevel="1">
      <c r="A449" s="74"/>
      <c r="B449" s="91" t="str">
        <f t="shared" si="58"/>
        <v/>
      </c>
      <c r="C449" s="94"/>
      <c r="D449" s="95"/>
      <c r="E449" s="94" t="s">
        <v>569</v>
      </c>
      <c r="F449" s="91" t="str">
        <f t="shared" si="57"/>
        <v/>
      </c>
      <c r="G449" s="91" t="str">
        <f t="shared" si="59"/>
        <v/>
      </c>
      <c r="H449" s="91" t="str">
        <f t="shared" si="62"/>
        <v/>
      </c>
      <c r="I449" s="79">
        <f t="shared" si="60"/>
        <v>64</v>
      </c>
      <c r="J449" s="76"/>
      <c r="K449" s="74"/>
      <c r="L449" s="75"/>
      <c r="M449" s="74"/>
      <c r="N449" s="74"/>
      <c r="O449" s="74"/>
      <c r="P449" s="74"/>
      <c r="Q449" s="74"/>
      <c r="R449" s="74"/>
      <c r="S449" s="74"/>
      <c r="T449" s="74"/>
      <c r="U449" s="74"/>
      <c r="V449" s="74"/>
      <c r="W449" s="74"/>
      <c r="X449" s="74"/>
      <c r="Y449" s="74"/>
    </row>
    <row r="450" spans="1:25" ht="50.45" outlineLevel="1">
      <c r="A450" s="74"/>
      <c r="B450" s="91" t="str">
        <f t="shared" si="58"/>
        <v/>
      </c>
      <c r="C450" s="94"/>
      <c r="D450" s="95"/>
      <c r="E450" s="94" t="s">
        <v>570</v>
      </c>
      <c r="F450" s="91" t="str">
        <f t="shared" si="57"/>
        <v/>
      </c>
      <c r="G450" s="91" t="str">
        <f t="shared" si="59"/>
        <v/>
      </c>
      <c r="H450" s="91" t="str">
        <f t="shared" si="62"/>
        <v/>
      </c>
      <c r="I450" s="79">
        <f t="shared" si="60"/>
        <v>64</v>
      </c>
      <c r="J450" s="76"/>
      <c r="K450" s="74"/>
      <c r="L450" s="75"/>
      <c r="M450" s="74"/>
      <c r="N450" s="74"/>
      <c r="O450" s="74"/>
      <c r="P450" s="74"/>
      <c r="Q450" s="74"/>
      <c r="R450" s="74"/>
      <c r="S450" s="74"/>
      <c r="T450" s="74"/>
      <c r="U450" s="74"/>
      <c r="V450" s="74"/>
      <c r="W450" s="74"/>
      <c r="X450" s="74"/>
      <c r="Y450" s="74"/>
    </row>
    <row r="451" spans="1:25" ht="50.45" outlineLevel="1">
      <c r="A451" s="74"/>
      <c r="B451" s="91" t="str">
        <f t="shared" si="58"/>
        <v/>
      </c>
      <c r="C451" s="94"/>
      <c r="D451" s="95"/>
      <c r="E451" s="94" t="s">
        <v>571</v>
      </c>
      <c r="F451" s="91" t="str">
        <f t="shared" si="57"/>
        <v/>
      </c>
      <c r="G451" s="91" t="str">
        <f t="shared" si="59"/>
        <v/>
      </c>
      <c r="H451" s="91" t="str">
        <f t="shared" si="62"/>
        <v/>
      </c>
      <c r="I451" s="79">
        <f t="shared" si="60"/>
        <v>64</v>
      </c>
      <c r="J451" s="76"/>
      <c r="K451" s="74"/>
      <c r="L451" s="75"/>
      <c r="M451" s="74"/>
      <c r="N451" s="74"/>
      <c r="O451" s="74"/>
      <c r="P451" s="74"/>
      <c r="Q451" s="74"/>
      <c r="R451" s="74"/>
      <c r="S451" s="74"/>
      <c r="T451" s="74"/>
      <c r="U451" s="74"/>
      <c r="V451" s="74"/>
      <c r="W451" s="74"/>
      <c r="X451" s="74"/>
      <c r="Y451" s="74"/>
    </row>
    <row r="452" spans="1:25" ht="50.45" outlineLevel="1">
      <c r="A452" s="74"/>
      <c r="B452" s="91" t="str">
        <f t="shared" si="58"/>
        <v/>
      </c>
      <c r="C452" s="94"/>
      <c r="D452" s="95"/>
      <c r="E452" s="94" t="s">
        <v>572</v>
      </c>
      <c r="F452" s="91" t="str">
        <f t="shared" si="57"/>
        <v/>
      </c>
      <c r="G452" s="91" t="str">
        <f t="shared" si="59"/>
        <v/>
      </c>
      <c r="H452" s="91" t="str">
        <f t="shared" si="62"/>
        <v/>
      </c>
      <c r="I452" s="79">
        <f t="shared" si="60"/>
        <v>64</v>
      </c>
      <c r="J452" s="76"/>
      <c r="K452" s="74"/>
      <c r="L452" s="75"/>
      <c r="M452" s="74"/>
      <c r="N452" s="74"/>
      <c r="O452" s="74"/>
      <c r="P452" s="74"/>
      <c r="Q452" s="74"/>
      <c r="R452" s="74"/>
      <c r="S452" s="74"/>
      <c r="T452" s="74"/>
      <c r="U452" s="74"/>
      <c r="V452" s="74"/>
      <c r="W452" s="74"/>
      <c r="X452" s="74"/>
      <c r="Y452" s="74"/>
    </row>
    <row r="453" spans="1:25" ht="50.45" outlineLevel="1">
      <c r="A453" s="74"/>
      <c r="B453" s="91" t="str">
        <f t="shared" si="58"/>
        <v/>
      </c>
      <c r="C453" s="94"/>
      <c r="D453" s="95"/>
      <c r="E453" s="94" t="s">
        <v>573</v>
      </c>
      <c r="F453" s="91" t="str">
        <f t="shared" si="57"/>
        <v/>
      </c>
      <c r="G453" s="91" t="str">
        <f t="shared" si="59"/>
        <v/>
      </c>
      <c r="H453" s="91" t="str">
        <f t="shared" si="62"/>
        <v/>
      </c>
      <c r="I453" s="79">
        <f t="shared" si="60"/>
        <v>64</v>
      </c>
      <c r="J453" s="303"/>
      <c r="K453" s="74"/>
      <c r="L453" s="75"/>
      <c r="M453" s="74"/>
      <c r="N453" s="74"/>
      <c r="O453" s="74"/>
      <c r="P453" s="74"/>
      <c r="Q453" s="74"/>
      <c r="R453" s="74"/>
      <c r="S453" s="74"/>
      <c r="T453" s="74"/>
      <c r="U453" s="74"/>
      <c r="V453" s="74"/>
      <c r="W453" s="74"/>
      <c r="X453" s="74"/>
      <c r="Y453" s="74"/>
    </row>
    <row r="454" spans="1:25" ht="50.45" outlineLevel="1">
      <c r="A454" s="74"/>
      <c r="B454" s="91" t="str">
        <f t="shared" si="58"/>
        <v/>
      </c>
      <c r="C454" s="94"/>
      <c r="D454" s="95"/>
      <c r="E454" s="94" t="s">
        <v>574</v>
      </c>
      <c r="F454" s="91" t="str">
        <f t="shared" si="57"/>
        <v/>
      </c>
      <c r="G454" s="91" t="str">
        <f t="shared" si="59"/>
        <v/>
      </c>
      <c r="H454" s="91" t="str">
        <f t="shared" si="62"/>
        <v/>
      </c>
      <c r="I454" s="79">
        <f t="shared" si="60"/>
        <v>64</v>
      </c>
      <c r="J454" s="76"/>
      <c r="K454" s="74"/>
      <c r="L454" s="75"/>
      <c r="M454" s="74"/>
      <c r="N454" s="74"/>
      <c r="O454" s="74"/>
      <c r="P454" s="74"/>
      <c r="Q454" s="74"/>
      <c r="R454" s="74"/>
      <c r="S454" s="74"/>
      <c r="T454" s="74"/>
      <c r="U454" s="74"/>
      <c r="V454" s="74"/>
      <c r="W454" s="74"/>
      <c r="X454" s="74"/>
      <c r="Y454" s="74"/>
    </row>
    <row r="455" spans="1:25" ht="50.45" outlineLevel="1">
      <c r="A455" s="74"/>
      <c r="B455" s="91" t="str">
        <f t="shared" si="58"/>
        <v/>
      </c>
      <c r="C455" s="94"/>
      <c r="D455" s="95"/>
      <c r="E455" s="94" t="s">
        <v>575</v>
      </c>
      <c r="F455" s="91" t="str">
        <f t="shared" si="57"/>
        <v/>
      </c>
      <c r="G455" s="91" t="str">
        <f t="shared" si="59"/>
        <v/>
      </c>
      <c r="H455" s="91" t="str">
        <f t="shared" si="62"/>
        <v/>
      </c>
      <c r="I455" s="79">
        <f t="shared" si="60"/>
        <v>64</v>
      </c>
      <c r="J455" s="342"/>
      <c r="K455" s="74"/>
      <c r="L455" s="75"/>
      <c r="M455" s="74"/>
      <c r="N455" s="74"/>
      <c r="O455" s="74"/>
      <c r="P455" s="74"/>
      <c r="Q455" s="74"/>
      <c r="R455" s="74"/>
      <c r="S455" s="74"/>
      <c r="T455" s="74"/>
      <c r="U455" s="74"/>
      <c r="V455" s="74"/>
      <c r="W455" s="74"/>
      <c r="X455" s="74"/>
      <c r="Y455" s="74"/>
    </row>
    <row r="456" spans="1:25" ht="50.45" outlineLevel="1">
      <c r="A456" s="74"/>
      <c r="B456" s="91" t="str">
        <f t="shared" si="58"/>
        <v/>
      </c>
      <c r="C456" s="94"/>
      <c r="D456" s="95"/>
      <c r="E456" s="94" t="s">
        <v>576</v>
      </c>
      <c r="F456" s="91" t="str">
        <f t="shared" si="57"/>
        <v/>
      </c>
      <c r="G456" s="91" t="str">
        <f t="shared" si="59"/>
        <v/>
      </c>
      <c r="H456" s="91" t="str">
        <f t="shared" si="62"/>
        <v/>
      </c>
      <c r="I456" s="79">
        <f t="shared" si="60"/>
        <v>64</v>
      </c>
      <c r="J456" s="383"/>
      <c r="K456" s="74"/>
      <c r="L456" s="75"/>
      <c r="M456" s="74"/>
      <c r="N456" s="74"/>
      <c r="O456" s="74"/>
      <c r="P456" s="74"/>
      <c r="Q456" s="74"/>
      <c r="R456" s="74"/>
      <c r="S456" s="74"/>
      <c r="T456" s="74"/>
      <c r="U456" s="74"/>
      <c r="V456" s="74"/>
      <c r="W456" s="74"/>
      <c r="X456" s="74"/>
      <c r="Y456" s="74"/>
    </row>
    <row r="457" spans="1:25" ht="50.45" outlineLevel="1">
      <c r="A457" s="74"/>
      <c r="B457" s="91" t="str">
        <f t="shared" si="58"/>
        <v/>
      </c>
      <c r="C457" s="94"/>
      <c r="D457" s="95"/>
      <c r="E457" s="94" t="s">
        <v>577</v>
      </c>
      <c r="F457" s="91" t="str">
        <f t="shared" si="57"/>
        <v/>
      </c>
      <c r="G457" s="91" t="str">
        <f t="shared" si="59"/>
        <v/>
      </c>
      <c r="H457" s="91" t="str">
        <f t="shared" si="62"/>
        <v/>
      </c>
      <c r="I457" s="79">
        <f t="shared" si="60"/>
        <v>64</v>
      </c>
      <c r="J457" s="383"/>
      <c r="K457" s="74"/>
      <c r="L457" s="75"/>
      <c r="M457" s="74"/>
      <c r="N457" s="74"/>
      <c r="O457" s="74"/>
      <c r="P457" s="74"/>
      <c r="Q457" s="74"/>
      <c r="R457" s="74"/>
      <c r="S457" s="74"/>
      <c r="T457" s="74"/>
      <c r="U457" s="74"/>
      <c r="V457" s="74"/>
      <c r="W457" s="74"/>
      <c r="X457" s="74"/>
      <c r="Y457" s="74"/>
    </row>
    <row r="458" spans="1:25" ht="18" outlineLevel="1">
      <c r="A458" s="74"/>
      <c r="B458" s="79">
        <f t="shared" si="58"/>
        <v>65</v>
      </c>
      <c r="C458" s="94" t="s">
        <v>578</v>
      </c>
      <c r="D458" s="95" t="s">
        <v>127</v>
      </c>
      <c r="E458" s="94"/>
      <c r="F458" s="91" t="str">
        <f t="shared" si="57"/>
        <v>B</v>
      </c>
      <c r="G458" s="91" t="str">
        <f t="shared" si="59"/>
        <v>Phức tạp</v>
      </c>
      <c r="H458" s="91">
        <f t="shared" si="62"/>
        <v>11</v>
      </c>
      <c r="I458" s="79" t="str">
        <f t="shared" si="60"/>
        <v/>
      </c>
      <c r="J458" s="383"/>
      <c r="K458" s="74"/>
      <c r="L458" s="75"/>
      <c r="M458" s="74"/>
      <c r="N458" s="74"/>
      <c r="O458" s="74"/>
      <c r="P458" s="74"/>
      <c r="Q458" s="74"/>
      <c r="R458" s="74"/>
      <c r="S458" s="74"/>
      <c r="T458" s="74"/>
      <c r="U458" s="74"/>
      <c r="V458" s="74"/>
      <c r="W458" s="74"/>
      <c r="X458" s="74"/>
      <c r="Y458" s="74"/>
    </row>
    <row r="459" spans="1:25" ht="50.45" outlineLevel="1">
      <c r="A459" s="74"/>
      <c r="B459" s="91" t="str">
        <f t="shared" si="58"/>
        <v/>
      </c>
      <c r="C459" s="94"/>
      <c r="D459" s="95"/>
      <c r="E459" s="94" t="s">
        <v>579</v>
      </c>
      <c r="F459" s="91" t="str">
        <f t="shared" si="57"/>
        <v/>
      </c>
      <c r="G459" s="91" t="str">
        <f t="shared" si="59"/>
        <v/>
      </c>
      <c r="H459" s="91" t="str">
        <f t="shared" si="62"/>
        <v/>
      </c>
      <c r="I459" s="79">
        <f t="shared" si="60"/>
        <v>65</v>
      </c>
      <c r="J459" s="76"/>
      <c r="K459" s="74"/>
      <c r="L459" s="75"/>
      <c r="M459" s="74"/>
      <c r="N459" s="74"/>
      <c r="O459" s="74"/>
      <c r="P459" s="74"/>
      <c r="Q459" s="74"/>
      <c r="R459" s="74"/>
      <c r="S459" s="74"/>
      <c r="T459" s="74"/>
      <c r="U459" s="74"/>
      <c r="V459" s="74"/>
      <c r="W459" s="74"/>
      <c r="X459" s="74"/>
      <c r="Y459" s="74"/>
    </row>
    <row r="460" spans="1:25" ht="50.45" outlineLevel="1">
      <c r="A460" s="74"/>
      <c r="B460" s="91" t="str">
        <f t="shared" si="58"/>
        <v/>
      </c>
      <c r="C460" s="94"/>
      <c r="D460" s="95"/>
      <c r="E460" s="94" t="s">
        <v>580</v>
      </c>
      <c r="F460" s="91" t="str">
        <f t="shared" si="57"/>
        <v/>
      </c>
      <c r="G460" s="91" t="str">
        <f t="shared" si="59"/>
        <v/>
      </c>
      <c r="H460" s="91" t="str">
        <f t="shared" si="62"/>
        <v/>
      </c>
      <c r="I460" s="79">
        <f t="shared" si="60"/>
        <v>65</v>
      </c>
      <c r="J460" s="76"/>
      <c r="K460" s="74"/>
      <c r="L460" s="75"/>
      <c r="M460" s="74"/>
      <c r="N460" s="74"/>
      <c r="O460" s="74"/>
      <c r="P460" s="74"/>
      <c r="Q460" s="74"/>
      <c r="R460" s="74"/>
      <c r="S460" s="74"/>
      <c r="T460" s="74"/>
      <c r="U460" s="74"/>
      <c r="V460" s="74"/>
      <c r="W460" s="74"/>
      <c r="X460" s="74"/>
      <c r="Y460" s="74"/>
    </row>
    <row r="461" spans="1:25" ht="33.6" outlineLevel="1">
      <c r="A461" s="74"/>
      <c r="B461" s="91" t="str">
        <f t="shared" si="58"/>
        <v/>
      </c>
      <c r="C461" s="94"/>
      <c r="D461" s="95"/>
      <c r="E461" s="94" t="s">
        <v>581</v>
      </c>
      <c r="F461" s="91" t="str">
        <f t="shared" si="57"/>
        <v/>
      </c>
      <c r="G461" s="91" t="str">
        <f t="shared" si="59"/>
        <v/>
      </c>
      <c r="H461" s="91" t="str">
        <f t="shared" si="62"/>
        <v/>
      </c>
      <c r="I461" s="79">
        <f t="shared" si="60"/>
        <v>65</v>
      </c>
      <c r="J461" s="342"/>
      <c r="K461" s="74"/>
      <c r="L461" s="75"/>
      <c r="M461" s="74"/>
      <c r="N461" s="74"/>
      <c r="O461" s="74"/>
      <c r="P461" s="74"/>
      <c r="Q461" s="74"/>
      <c r="R461" s="74"/>
      <c r="S461" s="74"/>
      <c r="T461" s="74"/>
      <c r="U461" s="74"/>
      <c r="V461" s="74"/>
      <c r="W461" s="74"/>
      <c r="X461" s="74"/>
      <c r="Y461" s="74"/>
    </row>
    <row r="462" spans="1:25" ht="50.45" outlineLevel="1">
      <c r="A462" s="74"/>
      <c r="B462" s="91" t="str">
        <f t="shared" si="58"/>
        <v/>
      </c>
      <c r="C462" s="94"/>
      <c r="D462" s="95"/>
      <c r="E462" s="94" t="s">
        <v>582</v>
      </c>
      <c r="F462" s="91" t="str">
        <f t="shared" si="57"/>
        <v/>
      </c>
      <c r="G462" s="91" t="str">
        <f t="shared" si="59"/>
        <v/>
      </c>
      <c r="H462" s="91" t="str">
        <f t="shared" si="62"/>
        <v/>
      </c>
      <c r="I462" s="79">
        <f t="shared" si="60"/>
        <v>65</v>
      </c>
      <c r="J462" s="383"/>
      <c r="K462" s="74"/>
      <c r="L462" s="75"/>
      <c r="M462" s="74"/>
      <c r="N462" s="74"/>
      <c r="O462" s="74"/>
      <c r="P462" s="74"/>
      <c r="Q462" s="74"/>
      <c r="R462" s="74"/>
      <c r="S462" s="74"/>
      <c r="T462" s="74"/>
      <c r="U462" s="74"/>
      <c r="V462" s="74"/>
      <c r="W462" s="74"/>
      <c r="X462" s="74"/>
      <c r="Y462" s="74"/>
    </row>
    <row r="463" spans="1:25" ht="50.45" outlineLevel="1">
      <c r="A463" s="74"/>
      <c r="B463" s="91" t="str">
        <f t="shared" si="58"/>
        <v/>
      </c>
      <c r="C463" s="94"/>
      <c r="D463" s="95"/>
      <c r="E463" s="94" t="s">
        <v>583</v>
      </c>
      <c r="F463" s="91" t="str">
        <f t="shared" si="57"/>
        <v/>
      </c>
      <c r="G463" s="91" t="str">
        <f t="shared" si="59"/>
        <v/>
      </c>
      <c r="H463" s="91" t="str">
        <f t="shared" si="62"/>
        <v/>
      </c>
      <c r="I463" s="79">
        <f t="shared" si="60"/>
        <v>65</v>
      </c>
      <c r="J463" s="76"/>
      <c r="K463" s="74"/>
      <c r="L463" s="75"/>
      <c r="M463" s="74"/>
      <c r="N463" s="74"/>
      <c r="O463" s="74"/>
      <c r="P463" s="74"/>
      <c r="Q463" s="74"/>
      <c r="R463" s="74"/>
      <c r="S463" s="74"/>
      <c r="T463" s="74"/>
      <c r="U463" s="74"/>
      <c r="V463" s="74"/>
      <c r="W463" s="74"/>
      <c r="X463" s="74"/>
      <c r="Y463" s="74"/>
    </row>
    <row r="464" spans="1:25" ht="50.45" outlineLevel="1">
      <c r="A464" s="74"/>
      <c r="B464" s="91" t="str">
        <f t="shared" si="58"/>
        <v/>
      </c>
      <c r="C464" s="94"/>
      <c r="D464" s="95"/>
      <c r="E464" s="94" t="s">
        <v>584</v>
      </c>
      <c r="F464" s="91" t="str">
        <f t="shared" si="57"/>
        <v/>
      </c>
      <c r="G464" s="91" t="str">
        <f t="shared" si="59"/>
        <v/>
      </c>
      <c r="H464" s="91" t="str">
        <f t="shared" si="62"/>
        <v/>
      </c>
      <c r="I464" s="79">
        <f t="shared" si="60"/>
        <v>65</v>
      </c>
      <c r="J464" s="76"/>
      <c r="K464" s="74"/>
      <c r="L464" s="75"/>
      <c r="M464" s="74"/>
      <c r="N464" s="74"/>
      <c r="O464" s="74"/>
      <c r="P464" s="74"/>
      <c r="Q464" s="74"/>
      <c r="R464" s="74"/>
      <c r="S464" s="74"/>
      <c r="T464" s="74"/>
      <c r="U464" s="74"/>
      <c r="V464" s="74"/>
      <c r="W464" s="74"/>
      <c r="X464" s="74"/>
      <c r="Y464" s="74"/>
    </row>
    <row r="465" spans="1:25" ht="50.45" outlineLevel="1">
      <c r="A465" s="74"/>
      <c r="B465" s="91" t="str">
        <f t="shared" si="58"/>
        <v/>
      </c>
      <c r="C465" s="94"/>
      <c r="D465" s="95"/>
      <c r="E465" s="94" t="s">
        <v>585</v>
      </c>
      <c r="F465" s="91" t="str">
        <f t="shared" si="57"/>
        <v/>
      </c>
      <c r="G465" s="91" t="str">
        <f t="shared" si="59"/>
        <v/>
      </c>
      <c r="H465" s="91" t="str">
        <f t="shared" si="62"/>
        <v/>
      </c>
      <c r="I465" s="79">
        <f t="shared" si="60"/>
        <v>65</v>
      </c>
      <c r="J465" s="76"/>
      <c r="K465" s="74"/>
      <c r="L465" s="75"/>
      <c r="M465" s="74"/>
      <c r="N465" s="74"/>
      <c r="O465" s="74"/>
      <c r="P465" s="74"/>
      <c r="Q465" s="74"/>
      <c r="R465" s="74"/>
      <c r="S465" s="74"/>
      <c r="T465" s="74"/>
      <c r="U465" s="74"/>
      <c r="V465" s="74"/>
      <c r="W465" s="74"/>
      <c r="X465" s="74"/>
      <c r="Y465" s="74"/>
    </row>
    <row r="466" spans="1:25" ht="50.45" outlineLevel="1">
      <c r="A466" s="74"/>
      <c r="B466" s="91" t="str">
        <f t="shared" si="58"/>
        <v/>
      </c>
      <c r="C466" s="94"/>
      <c r="D466" s="95"/>
      <c r="E466" s="94" t="s">
        <v>586</v>
      </c>
      <c r="F466" s="91" t="str">
        <f t="shared" si="57"/>
        <v/>
      </c>
      <c r="G466" s="91" t="str">
        <f t="shared" si="59"/>
        <v/>
      </c>
      <c r="H466" s="91" t="str">
        <f t="shared" si="62"/>
        <v/>
      </c>
      <c r="I466" s="79">
        <f t="shared" si="60"/>
        <v>65</v>
      </c>
      <c r="J466" s="76"/>
      <c r="K466" s="74"/>
      <c r="L466" s="75"/>
      <c r="M466" s="74"/>
      <c r="N466" s="74"/>
      <c r="O466" s="74"/>
      <c r="P466" s="74"/>
      <c r="Q466" s="74"/>
      <c r="R466" s="74"/>
      <c r="S466" s="74"/>
      <c r="T466" s="74"/>
      <c r="U466" s="74"/>
      <c r="V466" s="74"/>
      <c r="W466" s="74"/>
      <c r="X466" s="74"/>
      <c r="Y466" s="74"/>
    </row>
    <row r="467" spans="1:25" ht="50.45" outlineLevel="1">
      <c r="A467" s="74"/>
      <c r="B467" s="91" t="str">
        <f t="shared" si="58"/>
        <v/>
      </c>
      <c r="C467" s="94"/>
      <c r="D467" s="95"/>
      <c r="E467" s="94" t="s">
        <v>587</v>
      </c>
      <c r="F467" s="91" t="str">
        <f t="shared" si="57"/>
        <v/>
      </c>
      <c r="G467" s="91" t="str">
        <f t="shared" si="59"/>
        <v/>
      </c>
      <c r="H467" s="91" t="str">
        <f t="shared" si="62"/>
        <v/>
      </c>
      <c r="I467" s="79">
        <f t="shared" si="60"/>
        <v>65</v>
      </c>
      <c r="J467" s="76"/>
      <c r="K467" s="74"/>
      <c r="L467" s="75"/>
      <c r="M467" s="74"/>
      <c r="N467" s="74"/>
      <c r="O467" s="74"/>
      <c r="P467" s="74"/>
      <c r="Q467" s="74"/>
      <c r="R467" s="74"/>
      <c r="S467" s="74"/>
      <c r="T467" s="74"/>
      <c r="U467" s="74"/>
      <c r="V467" s="74"/>
      <c r="W467" s="74"/>
      <c r="X467" s="74"/>
      <c r="Y467" s="74"/>
    </row>
    <row r="468" spans="1:25" ht="50.45">
      <c r="A468" s="74"/>
      <c r="B468" s="91" t="str">
        <f t="shared" si="58"/>
        <v/>
      </c>
      <c r="C468" s="94"/>
      <c r="D468" s="95"/>
      <c r="E468" s="94" t="s">
        <v>588</v>
      </c>
      <c r="F468" s="98" t="str">
        <f t="shared" si="57"/>
        <v/>
      </c>
      <c r="G468" s="98" t="str">
        <f t="shared" si="59"/>
        <v/>
      </c>
      <c r="H468" s="91" t="str">
        <f t="shared" si="62"/>
        <v/>
      </c>
      <c r="I468" s="99">
        <f t="shared" si="60"/>
        <v>65</v>
      </c>
      <c r="J468" s="76"/>
      <c r="K468" s="74"/>
      <c r="L468" s="75"/>
      <c r="M468" s="74"/>
      <c r="N468" s="74"/>
      <c r="O468" s="74"/>
      <c r="P468" s="74"/>
      <c r="Q468" s="74"/>
      <c r="R468" s="74"/>
      <c r="S468" s="74"/>
      <c r="T468" s="74"/>
      <c r="U468" s="74"/>
      <c r="V468" s="74"/>
      <c r="W468" s="74"/>
      <c r="X468" s="74"/>
      <c r="Y468" s="74"/>
    </row>
    <row r="469" spans="1:25" ht="50.45">
      <c r="A469" s="74"/>
      <c r="B469" s="91" t="str">
        <f t="shared" si="58"/>
        <v/>
      </c>
      <c r="C469" s="94"/>
      <c r="D469" s="95"/>
      <c r="E469" s="94" t="s">
        <v>589</v>
      </c>
      <c r="F469" s="91" t="str">
        <f t="shared" si="57"/>
        <v/>
      </c>
      <c r="G469" s="91" t="str">
        <f t="shared" si="59"/>
        <v/>
      </c>
      <c r="H469" s="91" t="str">
        <f t="shared" si="62"/>
        <v/>
      </c>
      <c r="I469" s="79">
        <f t="shared" si="60"/>
        <v>65</v>
      </c>
      <c r="J469" s="76"/>
      <c r="K469" s="74"/>
      <c r="L469" s="75"/>
      <c r="M469" s="74"/>
      <c r="N469" s="74"/>
      <c r="O469" s="74"/>
      <c r="P469" s="74"/>
      <c r="Q469" s="74"/>
      <c r="R469" s="74"/>
      <c r="S469" s="74"/>
      <c r="T469" s="74"/>
      <c r="U469" s="74"/>
      <c r="V469" s="74"/>
      <c r="W469" s="74"/>
      <c r="X469" s="74"/>
      <c r="Y469" s="74"/>
    </row>
    <row r="470" spans="1:25" ht="18">
      <c r="A470" s="74"/>
      <c r="B470" s="91" t="str">
        <f t="shared" si="58"/>
        <v/>
      </c>
      <c r="C470" s="94"/>
      <c r="D470" s="95"/>
      <c r="E470" s="94"/>
      <c r="F470" s="91" t="str">
        <f t="shared" si="57"/>
        <v/>
      </c>
      <c r="G470" s="91" t="str">
        <f t="shared" si="59"/>
        <v/>
      </c>
      <c r="H470" s="91" t="str">
        <f t="shared" si="62"/>
        <v/>
      </c>
      <c r="I470" s="79" t="str">
        <f t="shared" si="60"/>
        <v/>
      </c>
      <c r="J470" s="76"/>
      <c r="K470" s="74"/>
      <c r="L470" s="75"/>
      <c r="M470" s="74"/>
      <c r="N470" s="74"/>
      <c r="O470" s="74"/>
      <c r="P470" s="74"/>
      <c r="Q470" s="74"/>
      <c r="R470" s="74"/>
      <c r="S470" s="74"/>
      <c r="T470" s="74"/>
      <c r="U470" s="74"/>
      <c r="V470" s="74"/>
      <c r="W470" s="74"/>
      <c r="X470" s="74"/>
      <c r="Y470" s="74"/>
    </row>
    <row r="471" spans="1:25" ht="18">
      <c r="A471" s="74"/>
      <c r="B471" s="91" t="s">
        <v>590</v>
      </c>
      <c r="C471" s="92" t="s">
        <v>591</v>
      </c>
      <c r="D471" s="93"/>
      <c r="E471" s="94"/>
      <c r="F471" s="91" t="str">
        <f t="shared" si="57"/>
        <v/>
      </c>
      <c r="G471" s="91" t="str">
        <f t="shared" si="59"/>
        <v/>
      </c>
      <c r="H471" s="91" t="str">
        <f t="shared" si="62"/>
        <v/>
      </c>
      <c r="I471" s="79" t="str">
        <f t="shared" si="60"/>
        <v/>
      </c>
      <c r="J471" s="76"/>
      <c r="K471" s="74"/>
      <c r="L471" s="75"/>
      <c r="M471" s="74"/>
      <c r="N471" s="74"/>
      <c r="O471" s="74"/>
      <c r="P471" s="74"/>
      <c r="Q471" s="74"/>
      <c r="R471" s="74"/>
      <c r="S471" s="74"/>
      <c r="T471" s="74"/>
      <c r="U471" s="74"/>
      <c r="V471" s="74"/>
      <c r="W471" s="74"/>
      <c r="X471" s="74"/>
      <c r="Y471" s="74"/>
    </row>
    <row r="472" spans="1:25" ht="18">
      <c r="A472" s="74"/>
      <c r="B472" s="79">
        <f t="shared" ref="B472:B498" si="63">IF(C472="","",IF(F472="B",COUNTIF($F$6:F472,"B"),""))</f>
        <v>66</v>
      </c>
      <c r="C472" s="94" t="s">
        <v>592</v>
      </c>
      <c r="D472" s="95" t="s">
        <v>127</v>
      </c>
      <c r="E472" s="94"/>
      <c r="F472" s="91" t="str">
        <f t="shared" si="57"/>
        <v>B</v>
      </c>
      <c r="G472" s="91" t="str">
        <f t="shared" si="59"/>
        <v>Trung bình</v>
      </c>
      <c r="H472" s="91">
        <f t="shared" si="62"/>
        <v>6</v>
      </c>
      <c r="I472" s="79" t="str">
        <f t="shared" si="60"/>
        <v/>
      </c>
      <c r="J472" s="76"/>
      <c r="K472" s="74"/>
      <c r="L472" s="75"/>
      <c r="M472" s="74"/>
      <c r="N472" s="74"/>
      <c r="O472" s="74"/>
      <c r="P472" s="74"/>
      <c r="Q472" s="74"/>
      <c r="R472" s="74"/>
      <c r="S472" s="74"/>
      <c r="T472" s="74"/>
      <c r="U472" s="74"/>
      <c r="V472" s="74"/>
      <c r="W472" s="74"/>
      <c r="X472" s="74"/>
      <c r="Y472" s="74"/>
    </row>
    <row r="473" spans="1:25" ht="33.6">
      <c r="A473" s="74"/>
      <c r="B473" s="91" t="str">
        <f t="shared" si="63"/>
        <v/>
      </c>
      <c r="C473" s="94"/>
      <c r="D473" s="95"/>
      <c r="E473" s="94" t="s">
        <v>593</v>
      </c>
      <c r="F473" s="91" t="str">
        <f t="shared" si="57"/>
        <v/>
      </c>
      <c r="G473" s="91" t="str">
        <f t="shared" si="59"/>
        <v/>
      </c>
      <c r="H473" s="91" t="str">
        <f t="shared" si="62"/>
        <v/>
      </c>
      <c r="I473" s="79">
        <f t="shared" si="60"/>
        <v>66</v>
      </c>
      <c r="J473" s="76"/>
      <c r="K473" s="74"/>
      <c r="L473" s="75"/>
      <c r="M473" s="74"/>
      <c r="N473" s="74"/>
      <c r="O473" s="74"/>
      <c r="P473" s="74"/>
      <c r="Q473" s="74"/>
      <c r="R473" s="74"/>
      <c r="S473" s="74"/>
      <c r="T473" s="74"/>
      <c r="U473" s="74"/>
      <c r="V473" s="74"/>
      <c r="W473" s="74"/>
      <c r="X473" s="74"/>
      <c r="Y473" s="74"/>
    </row>
    <row r="474" spans="1:25" ht="33.6">
      <c r="A474" s="74"/>
      <c r="B474" s="91" t="str">
        <f t="shared" si="63"/>
        <v/>
      </c>
      <c r="C474" s="94"/>
      <c r="D474" s="95"/>
      <c r="E474" s="94" t="s">
        <v>594</v>
      </c>
      <c r="F474" s="91" t="str">
        <f t="shared" si="57"/>
        <v/>
      </c>
      <c r="G474" s="91" t="str">
        <f t="shared" si="59"/>
        <v/>
      </c>
      <c r="H474" s="91" t="str">
        <f t="shared" si="62"/>
        <v/>
      </c>
      <c r="I474" s="79">
        <f t="shared" si="60"/>
        <v>66</v>
      </c>
      <c r="J474" s="76"/>
      <c r="K474" s="74"/>
      <c r="L474" s="75"/>
      <c r="M474" s="74"/>
      <c r="N474" s="74"/>
      <c r="O474" s="74"/>
      <c r="P474" s="74"/>
      <c r="Q474" s="74"/>
      <c r="R474" s="74"/>
      <c r="S474" s="74"/>
      <c r="T474" s="74"/>
      <c r="U474" s="74"/>
      <c r="V474" s="74"/>
      <c r="W474" s="74"/>
      <c r="X474" s="74"/>
      <c r="Y474" s="74"/>
    </row>
    <row r="475" spans="1:25" ht="33.6">
      <c r="A475" s="74"/>
      <c r="B475" s="91" t="str">
        <f t="shared" si="63"/>
        <v/>
      </c>
      <c r="C475" s="94"/>
      <c r="D475" s="95"/>
      <c r="E475" s="94" t="s">
        <v>595</v>
      </c>
      <c r="F475" s="91" t="str">
        <f t="shared" si="57"/>
        <v/>
      </c>
      <c r="G475" s="91" t="str">
        <f t="shared" si="59"/>
        <v/>
      </c>
      <c r="H475" s="91" t="str">
        <f t="shared" si="62"/>
        <v/>
      </c>
      <c r="I475" s="79">
        <f t="shared" si="60"/>
        <v>66</v>
      </c>
      <c r="J475" s="76"/>
      <c r="K475" s="74"/>
      <c r="L475" s="75"/>
      <c r="M475" s="74"/>
      <c r="N475" s="74"/>
      <c r="O475" s="74"/>
      <c r="P475" s="74"/>
      <c r="Q475" s="74"/>
      <c r="R475" s="74"/>
      <c r="S475" s="74"/>
      <c r="T475" s="74"/>
      <c r="U475" s="74"/>
      <c r="V475" s="74"/>
      <c r="W475" s="74"/>
      <c r="X475" s="74"/>
      <c r="Y475" s="74"/>
    </row>
    <row r="476" spans="1:25" ht="33.6">
      <c r="A476" s="74"/>
      <c r="B476" s="91" t="str">
        <f t="shared" si="63"/>
        <v/>
      </c>
      <c r="C476" s="94"/>
      <c r="D476" s="95"/>
      <c r="E476" s="94" t="s">
        <v>596</v>
      </c>
      <c r="F476" s="91" t="str">
        <f t="shared" si="57"/>
        <v/>
      </c>
      <c r="G476" s="91" t="str">
        <f t="shared" si="59"/>
        <v/>
      </c>
      <c r="H476" s="91" t="str">
        <f t="shared" si="62"/>
        <v/>
      </c>
      <c r="I476" s="79">
        <f t="shared" si="60"/>
        <v>66</v>
      </c>
      <c r="J476" s="76"/>
      <c r="K476" s="74"/>
      <c r="L476" s="75"/>
      <c r="M476" s="74"/>
      <c r="N476" s="74"/>
      <c r="O476" s="74"/>
      <c r="P476" s="74"/>
      <c r="Q476" s="74"/>
      <c r="R476" s="74"/>
      <c r="S476" s="74"/>
      <c r="T476" s="74"/>
      <c r="U476" s="74"/>
      <c r="V476" s="74"/>
      <c r="W476" s="74"/>
      <c r="X476" s="74"/>
      <c r="Y476" s="74"/>
    </row>
    <row r="477" spans="1:25" ht="33.6">
      <c r="A477" s="74"/>
      <c r="B477" s="91" t="str">
        <f t="shared" si="63"/>
        <v/>
      </c>
      <c r="C477" s="94"/>
      <c r="D477" s="95"/>
      <c r="E477" s="94" t="s">
        <v>597</v>
      </c>
      <c r="F477" s="91" t="str">
        <f t="shared" si="57"/>
        <v/>
      </c>
      <c r="G477" s="91" t="str">
        <f t="shared" si="59"/>
        <v/>
      </c>
      <c r="H477" s="91" t="str">
        <f t="shared" si="62"/>
        <v/>
      </c>
      <c r="I477" s="79">
        <f t="shared" si="60"/>
        <v>66</v>
      </c>
      <c r="J477" s="76"/>
      <c r="K477" s="74"/>
      <c r="L477" s="75"/>
      <c r="M477" s="74"/>
      <c r="N477" s="74"/>
      <c r="O477" s="74"/>
      <c r="P477" s="74"/>
      <c r="Q477" s="74"/>
      <c r="R477" s="74"/>
      <c r="S477" s="74"/>
      <c r="T477" s="74"/>
      <c r="U477" s="74"/>
      <c r="V477" s="74"/>
      <c r="W477" s="74"/>
      <c r="X477" s="74"/>
      <c r="Y477" s="74"/>
    </row>
    <row r="478" spans="1:25" ht="33.6">
      <c r="A478" s="74"/>
      <c r="B478" s="91" t="str">
        <f t="shared" si="63"/>
        <v/>
      </c>
      <c r="C478" s="94"/>
      <c r="D478" s="95"/>
      <c r="E478" s="94" t="s">
        <v>598</v>
      </c>
      <c r="F478" s="91" t="str">
        <f t="shared" si="57"/>
        <v/>
      </c>
      <c r="G478" s="91" t="str">
        <f t="shared" si="59"/>
        <v/>
      </c>
      <c r="H478" s="91" t="str">
        <f t="shared" si="62"/>
        <v/>
      </c>
      <c r="I478" s="79">
        <f t="shared" si="60"/>
        <v>66</v>
      </c>
      <c r="J478" s="76"/>
      <c r="K478" s="74"/>
      <c r="L478" s="75"/>
      <c r="M478" s="74"/>
      <c r="N478" s="74"/>
      <c r="O478" s="74"/>
      <c r="P478" s="74"/>
      <c r="Q478" s="74"/>
      <c r="R478" s="74"/>
      <c r="S478" s="74"/>
      <c r="T478" s="74"/>
      <c r="U478" s="74"/>
      <c r="V478" s="74"/>
      <c r="W478" s="74"/>
      <c r="X478" s="74"/>
      <c r="Y478" s="74"/>
    </row>
    <row r="479" spans="1:25" ht="18">
      <c r="A479" s="74"/>
      <c r="B479" s="79">
        <f t="shared" si="63"/>
        <v>67</v>
      </c>
      <c r="C479" s="94" t="s">
        <v>599</v>
      </c>
      <c r="D479" s="95" t="s">
        <v>127</v>
      </c>
      <c r="E479" s="94"/>
      <c r="F479" s="91" t="str">
        <f t="shared" si="57"/>
        <v>B</v>
      </c>
      <c r="G479" s="91" t="str">
        <f t="shared" si="59"/>
        <v>Phức tạp</v>
      </c>
      <c r="H479" s="91">
        <f t="shared" si="62"/>
        <v>8</v>
      </c>
      <c r="I479" s="79" t="str">
        <f t="shared" si="60"/>
        <v/>
      </c>
      <c r="J479" s="76"/>
      <c r="K479" s="74"/>
      <c r="L479" s="75"/>
      <c r="M479" s="74"/>
      <c r="N479" s="74"/>
      <c r="O479" s="74"/>
      <c r="P479" s="74"/>
      <c r="Q479" s="74"/>
      <c r="R479" s="74"/>
      <c r="S479" s="74"/>
      <c r="T479" s="74"/>
      <c r="U479" s="74"/>
      <c r="V479" s="74"/>
      <c r="W479" s="74"/>
      <c r="X479" s="74"/>
      <c r="Y479" s="74"/>
    </row>
    <row r="480" spans="1:25" ht="33.6">
      <c r="A480" s="74"/>
      <c r="B480" s="91" t="str">
        <f t="shared" si="63"/>
        <v/>
      </c>
      <c r="C480" s="94"/>
      <c r="D480" s="95"/>
      <c r="E480" s="94" t="s">
        <v>600</v>
      </c>
      <c r="F480" s="91" t="str">
        <f t="shared" si="57"/>
        <v/>
      </c>
      <c r="G480" s="91" t="str">
        <f t="shared" si="59"/>
        <v/>
      </c>
      <c r="H480" s="91" t="str">
        <f t="shared" si="62"/>
        <v/>
      </c>
      <c r="I480" s="79">
        <f t="shared" si="60"/>
        <v>67</v>
      </c>
      <c r="J480" s="76"/>
      <c r="K480" s="74"/>
      <c r="L480" s="75"/>
      <c r="M480" s="74"/>
      <c r="N480" s="74"/>
      <c r="O480" s="74"/>
      <c r="P480" s="74"/>
      <c r="Q480" s="74"/>
      <c r="R480" s="74"/>
      <c r="S480" s="74"/>
      <c r="T480" s="74"/>
      <c r="U480" s="74"/>
      <c r="V480" s="74"/>
      <c r="W480" s="74"/>
      <c r="X480" s="74"/>
      <c r="Y480" s="74"/>
    </row>
    <row r="481" spans="1:25" ht="33.6">
      <c r="A481" s="74"/>
      <c r="B481" s="91" t="str">
        <f t="shared" si="63"/>
        <v/>
      </c>
      <c r="C481" s="94"/>
      <c r="D481" s="95"/>
      <c r="E481" s="94" t="s">
        <v>601</v>
      </c>
      <c r="F481" s="91" t="str">
        <f t="shared" si="57"/>
        <v/>
      </c>
      <c r="G481" s="91" t="str">
        <f t="shared" si="59"/>
        <v/>
      </c>
      <c r="H481" s="91" t="str">
        <f t="shared" si="62"/>
        <v/>
      </c>
      <c r="I481" s="79">
        <f t="shared" si="60"/>
        <v>67</v>
      </c>
      <c r="J481" s="76"/>
      <c r="K481" s="74"/>
      <c r="L481" s="75"/>
      <c r="M481" s="74"/>
      <c r="N481" s="74"/>
      <c r="O481" s="74"/>
      <c r="P481" s="74"/>
      <c r="Q481" s="74"/>
      <c r="R481" s="74"/>
      <c r="S481" s="74"/>
      <c r="T481" s="74"/>
      <c r="U481" s="74"/>
      <c r="V481" s="74"/>
      <c r="W481" s="74"/>
      <c r="X481" s="74"/>
      <c r="Y481" s="74"/>
    </row>
    <row r="482" spans="1:25" ht="33.6">
      <c r="A482" s="74"/>
      <c r="B482" s="91" t="str">
        <f t="shared" si="63"/>
        <v/>
      </c>
      <c r="C482" s="94"/>
      <c r="D482" s="95"/>
      <c r="E482" s="94" t="s">
        <v>602</v>
      </c>
      <c r="F482" s="91" t="str">
        <f t="shared" si="57"/>
        <v/>
      </c>
      <c r="G482" s="91" t="str">
        <f t="shared" si="59"/>
        <v/>
      </c>
      <c r="H482" s="91" t="str">
        <f t="shared" si="62"/>
        <v/>
      </c>
      <c r="I482" s="79">
        <f t="shared" si="60"/>
        <v>67</v>
      </c>
      <c r="J482" s="76"/>
      <c r="K482" s="74"/>
      <c r="L482" s="75"/>
      <c r="M482" s="74"/>
      <c r="N482" s="74"/>
      <c r="O482" s="74"/>
      <c r="P482" s="74"/>
      <c r="Q482" s="74"/>
      <c r="R482" s="74"/>
      <c r="S482" s="74"/>
      <c r="T482" s="74"/>
      <c r="U482" s="74"/>
      <c r="V482" s="74"/>
      <c r="W482" s="74"/>
      <c r="X482" s="74"/>
      <c r="Y482" s="74"/>
    </row>
    <row r="483" spans="1:25" ht="33.6">
      <c r="A483" s="74"/>
      <c r="B483" s="91" t="str">
        <f t="shared" si="63"/>
        <v/>
      </c>
      <c r="C483" s="94"/>
      <c r="D483" s="95"/>
      <c r="E483" s="94" t="s">
        <v>603</v>
      </c>
      <c r="F483" s="91" t="str">
        <f t="shared" si="57"/>
        <v/>
      </c>
      <c r="G483" s="91" t="str">
        <f t="shared" si="59"/>
        <v/>
      </c>
      <c r="H483" s="91" t="str">
        <f t="shared" si="62"/>
        <v/>
      </c>
      <c r="I483" s="79">
        <f t="shared" si="60"/>
        <v>67</v>
      </c>
      <c r="J483" s="76"/>
      <c r="K483" s="74"/>
      <c r="L483" s="75"/>
      <c r="M483" s="74"/>
      <c r="N483" s="74"/>
      <c r="O483" s="74"/>
      <c r="P483" s="74"/>
      <c r="Q483" s="74"/>
      <c r="R483" s="74"/>
      <c r="S483" s="74"/>
      <c r="T483" s="74"/>
      <c r="U483" s="74"/>
      <c r="V483" s="74"/>
      <c r="W483" s="74"/>
      <c r="X483" s="74"/>
      <c r="Y483" s="74"/>
    </row>
    <row r="484" spans="1:25" ht="33.6">
      <c r="A484" s="74"/>
      <c r="B484" s="91" t="str">
        <f t="shared" si="63"/>
        <v/>
      </c>
      <c r="C484" s="94"/>
      <c r="D484" s="95"/>
      <c r="E484" s="94" t="s">
        <v>604</v>
      </c>
      <c r="F484" s="91" t="str">
        <f t="shared" si="57"/>
        <v/>
      </c>
      <c r="G484" s="91" t="str">
        <f t="shared" si="59"/>
        <v/>
      </c>
      <c r="H484" s="91" t="str">
        <f t="shared" si="62"/>
        <v/>
      </c>
      <c r="I484" s="79">
        <f t="shared" si="60"/>
        <v>67</v>
      </c>
      <c r="J484" s="76"/>
      <c r="K484" s="74"/>
      <c r="L484" s="75"/>
      <c r="M484" s="74"/>
      <c r="N484" s="74"/>
      <c r="O484" s="74"/>
      <c r="P484" s="74"/>
      <c r="Q484" s="74"/>
      <c r="R484" s="74"/>
      <c r="S484" s="74"/>
      <c r="T484" s="74"/>
      <c r="U484" s="74"/>
      <c r="V484" s="74"/>
      <c r="W484" s="74"/>
      <c r="X484" s="74"/>
      <c r="Y484" s="74"/>
    </row>
    <row r="485" spans="1:25" ht="33.6">
      <c r="A485" s="74"/>
      <c r="B485" s="91" t="str">
        <f t="shared" si="63"/>
        <v/>
      </c>
      <c r="C485" s="94"/>
      <c r="D485" s="95"/>
      <c r="E485" s="94" t="s">
        <v>605</v>
      </c>
      <c r="F485" s="91" t="str">
        <f t="shared" si="57"/>
        <v/>
      </c>
      <c r="G485" s="91" t="str">
        <f t="shared" si="59"/>
        <v/>
      </c>
      <c r="H485" s="91" t="str">
        <f t="shared" si="62"/>
        <v/>
      </c>
      <c r="I485" s="79">
        <f t="shared" si="60"/>
        <v>67</v>
      </c>
      <c r="J485" s="76"/>
      <c r="K485" s="74"/>
      <c r="L485" s="75"/>
      <c r="M485" s="74"/>
      <c r="N485" s="74"/>
      <c r="O485" s="74"/>
      <c r="P485" s="74"/>
      <c r="Q485" s="74"/>
      <c r="R485" s="74"/>
      <c r="S485" s="74"/>
      <c r="T485" s="74"/>
      <c r="U485" s="74"/>
      <c r="V485" s="74"/>
      <c r="W485" s="74"/>
      <c r="X485" s="74"/>
      <c r="Y485" s="74"/>
    </row>
    <row r="486" spans="1:25" ht="33.6">
      <c r="A486" s="74"/>
      <c r="B486" s="91" t="str">
        <f t="shared" si="63"/>
        <v/>
      </c>
      <c r="C486" s="94"/>
      <c r="D486" s="95"/>
      <c r="E486" s="94" t="s">
        <v>606</v>
      </c>
      <c r="F486" s="91" t="str">
        <f t="shared" si="57"/>
        <v/>
      </c>
      <c r="G486" s="91" t="str">
        <f t="shared" si="59"/>
        <v/>
      </c>
      <c r="H486" s="91" t="str">
        <f t="shared" si="62"/>
        <v/>
      </c>
      <c r="I486" s="79">
        <f t="shared" si="60"/>
        <v>67</v>
      </c>
      <c r="J486" s="76"/>
      <c r="K486" s="74"/>
      <c r="L486" s="75"/>
      <c r="M486" s="74"/>
      <c r="N486" s="74"/>
      <c r="O486" s="74"/>
      <c r="P486" s="74"/>
      <c r="Q486" s="74"/>
      <c r="R486" s="74"/>
      <c r="S486" s="74"/>
      <c r="T486" s="74"/>
      <c r="U486" s="74"/>
      <c r="V486" s="74"/>
      <c r="W486" s="74"/>
      <c r="X486" s="74"/>
      <c r="Y486" s="74"/>
    </row>
    <row r="487" spans="1:25" ht="33.6">
      <c r="A487" s="74"/>
      <c r="B487" s="91" t="str">
        <f t="shared" si="63"/>
        <v/>
      </c>
      <c r="C487" s="94"/>
      <c r="D487" s="95"/>
      <c r="E487" s="94" t="s">
        <v>607</v>
      </c>
      <c r="F487" s="91" t="str">
        <f t="shared" si="57"/>
        <v/>
      </c>
      <c r="G487" s="91" t="str">
        <f t="shared" si="59"/>
        <v/>
      </c>
      <c r="H487" s="91" t="str">
        <f t="shared" si="62"/>
        <v/>
      </c>
      <c r="I487" s="79">
        <f t="shared" si="60"/>
        <v>67</v>
      </c>
      <c r="J487" s="76"/>
      <c r="K487" s="74"/>
      <c r="L487" s="75"/>
      <c r="M487" s="74"/>
      <c r="N487" s="74"/>
      <c r="O487" s="74"/>
      <c r="P487" s="74"/>
      <c r="Q487" s="74"/>
      <c r="R487" s="74"/>
      <c r="S487" s="74"/>
      <c r="T487" s="74"/>
      <c r="U487" s="74"/>
      <c r="V487" s="74"/>
      <c r="W487" s="74"/>
      <c r="X487" s="74"/>
      <c r="Y487" s="74"/>
    </row>
    <row r="488" spans="1:25" ht="18">
      <c r="A488" s="74"/>
      <c r="B488" s="79">
        <f t="shared" si="63"/>
        <v>68</v>
      </c>
      <c r="C488" s="94" t="s">
        <v>608</v>
      </c>
      <c r="D488" s="95" t="s">
        <v>127</v>
      </c>
      <c r="E488" s="94"/>
      <c r="F488" s="91" t="str">
        <f t="shared" si="57"/>
        <v>B</v>
      </c>
      <c r="G488" s="91" t="str">
        <f t="shared" si="59"/>
        <v>Trung bình</v>
      </c>
      <c r="H488" s="91">
        <f t="shared" si="62"/>
        <v>4</v>
      </c>
      <c r="I488" s="79" t="str">
        <f t="shared" si="60"/>
        <v/>
      </c>
      <c r="J488" s="76"/>
      <c r="K488" s="74"/>
      <c r="L488" s="75"/>
      <c r="M488" s="74"/>
      <c r="N488" s="74"/>
      <c r="O488" s="74"/>
      <c r="P488" s="74"/>
      <c r="Q488" s="74"/>
      <c r="R488" s="74"/>
      <c r="S488" s="74"/>
      <c r="T488" s="74"/>
      <c r="U488" s="74"/>
      <c r="V488" s="74"/>
      <c r="W488" s="74"/>
      <c r="X488" s="74"/>
      <c r="Y488" s="74"/>
    </row>
    <row r="489" spans="1:25" ht="33.6">
      <c r="A489" s="74"/>
      <c r="B489" s="91" t="str">
        <f t="shared" si="63"/>
        <v/>
      </c>
      <c r="C489" s="94"/>
      <c r="D489" s="95"/>
      <c r="E489" s="94" t="s">
        <v>609</v>
      </c>
      <c r="F489" s="91" t="str">
        <f t="shared" si="57"/>
        <v/>
      </c>
      <c r="G489" s="91" t="str">
        <f t="shared" si="59"/>
        <v/>
      </c>
      <c r="H489" s="91" t="str">
        <f t="shared" si="62"/>
        <v/>
      </c>
      <c r="I489" s="79">
        <f t="shared" si="60"/>
        <v>68</v>
      </c>
      <c r="J489" s="76"/>
      <c r="K489" s="74"/>
      <c r="L489" s="75"/>
      <c r="M489" s="74"/>
      <c r="N489" s="74"/>
      <c r="O489" s="74"/>
      <c r="P489" s="74"/>
      <c r="Q489" s="74"/>
      <c r="R489" s="74"/>
      <c r="S489" s="74"/>
      <c r="T489" s="74"/>
      <c r="U489" s="74"/>
      <c r="V489" s="74"/>
      <c r="W489" s="74"/>
      <c r="X489" s="74"/>
      <c r="Y489" s="74"/>
    </row>
    <row r="490" spans="1:25" ht="33.6">
      <c r="A490" s="74"/>
      <c r="B490" s="91" t="str">
        <f t="shared" si="63"/>
        <v/>
      </c>
      <c r="C490" s="94"/>
      <c r="D490" s="95"/>
      <c r="E490" s="94" t="s">
        <v>610</v>
      </c>
      <c r="F490" s="91" t="str">
        <f t="shared" si="57"/>
        <v/>
      </c>
      <c r="G490" s="91" t="str">
        <f t="shared" si="59"/>
        <v/>
      </c>
      <c r="H490" s="91" t="str">
        <f t="shared" si="62"/>
        <v/>
      </c>
      <c r="I490" s="79">
        <f t="shared" si="60"/>
        <v>68</v>
      </c>
      <c r="J490" s="76"/>
      <c r="K490" s="74"/>
      <c r="L490" s="75"/>
      <c r="M490" s="74"/>
      <c r="N490" s="74"/>
      <c r="O490" s="74"/>
      <c r="P490" s="74"/>
      <c r="Q490" s="74"/>
      <c r="R490" s="74"/>
      <c r="S490" s="74"/>
      <c r="T490" s="74"/>
      <c r="U490" s="74"/>
      <c r="V490" s="74"/>
      <c r="W490" s="74"/>
      <c r="X490" s="74"/>
      <c r="Y490" s="74"/>
    </row>
    <row r="491" spans="1:25" ht="33.6">
      <c r="A491" s="74"/>
      <c r="B491" s="91" t="str">
        <f t="shared" si="63"/>
        <v/>
      </c>
      <c r="C491" s="94"/>
      <c r="D491" s="95"/>
      <c r="E491" s="94" t="s">
        <v>611</v>
      </c>
      <c r="F491" s="91" t="str">
        <f t="shared" si="57"/>
        <v/>
      </c>
      <c r="G491" s="91" t="str">
        <f t="shared" si="59"/>
        <v/>
      </c>
      <c r="H491" s="91" t="str">
        <f t="shared" si="62"/>
        <v/>
      </c>
      <c r="I491" s="79">
        <f t="shared" si="60"/>
        <v>68</v>
      </c>
      <c r="J491" s="76"/>
      <c r="K491" s="74"/>
      <c r="L491" s="75"/>
      <c r="M491" s="74"/>
      <c r="N491" s="74"/>
      <c r="O491" s="74"/>
      <c r="P491" s="74"/>
      <c r="Q491" s="74"/>
      <c r="R491" s="74"/>
      <c r="S491" s="74"/>
      <c r="T491" s="74"/>
      <c r="U491" s="74"/>
      <c r="V491" s="74"/>
      <c r="W491" s="74"/>
      <c r="X491" s="74"/>
      <c r="Y491" s="74"/>
    </row>
    <row r="492" spans="1:25" ht="50.45">
      <c r="A492" s="74"/>
      <c r="B492" s="91" t="str">
        <f t="shared" si="63"/>
        <v/>
      </c>
      <c r="C492" s="94"/>
      <c r="D492" s="95"/>
      <c r="E492" s="94" t="s">
        <v>612</v>
      </c>
      <c r="F492" s="91" t="str">
        <f t="shared" si="57"/>
        <v/>
      </c>
      <c r="G492" s="91" t="str">
        <f t="shared" si="59"/>
        <v/>
      </c>
      <c r="H492" s="91" t="str">
        <f t="shared" si="62"/>
        <v/>
      </c>
      <c r="I492" s="79">
        <f t="shared" si="60"/>
        <v>68</v>
      </c>
      <c r="J492" s="76"/>
      <c r="K492" s="74"/>
      <c r="L492" s="75"/>
      <c r="M492" s="74"/>
      <c r="N492" s="74"/>
      <c r="O492" s="74"/>
      <c r="P492" s="74"/>
      <c r="Q492" s="74"/>
      <c r="R492" s="74"/>
      <c r="S492" s="74"/>
      <c r="T492" s="74"/>
      <c r="U492" s="74"/>
      <c r="V492" s="74"/>
      <c r="W492" s="74"/>
      <c r="X492" s="74"/>
      <c r="Y492" s="74"/>
    </row>
    <row r="493" spans="1:25" ht="18">
      <c r="A493" s="74"/>
      <c r="B493" s="79">
        <f t="shared" si="63"/>
        <v>69</v>
      </c>
      <c r="C493" s="94" t="s">
        <v>613</v>
      </c>
      <c r="D493" s="95" t="s">
        <v>127</v>
      </c>
      <c r="E493" s="94"/>
      <c r="F493" s="91" t="str">
        <f t="shared" si="57"/>
        <v>B</v>
      </c>
      <c r="G493" s="91" t="str">
        <f t="shared" si="59"/>
        <v>Trung bình</v>
      </c>
      <c r="H493" s="91">
        <f t="shared" si="62"/>
        <v>5</v>
      </c>
      <c r="I493" s="79" t="str">
        <f t="shared" si="60"/>
        <v/>
      </c>
      <c r="J493" s="76"/>
      <c r="K493" s="74"/>
      <c r="L493" s="75"/>
      <c r="M493" s="74"/>
      <c r="N493" s="74"/>
      <c r="O493" s="74"/>
      <c r="P493" s="74"/>
      <c r="Q493" s="74"/>
      <c r="R493" s="74"/>
      <c r="S493" s="74"/>
      <c r="T493" s="74"/>
      <c r="U493" s="74"/>
      <c r="V493" s="74"/>
      <c r="W493" s="74"/>
      <c r="X493" s="74"/>
      <c r="Y493" s="74"/>
    </row>
    <row r="494" spans="1:25" ht="33.6">
      <c r="A494" s="74"/>
      <c r="B494" s="91" t="str">
        <f t="shared" si="63"/>
        <v/>
      </c>
      <c r="C494" s="94"/>
      <c r="D494" s="95"/>
      <c r="E494" s="94" t="s">
        <v>614</v>
      </c>
      <c r="F494" s="91" t="str">
        <f t="shared" si="57"/>
        <v/>
      </c>
      <c r="G494" s="91" t="str">
        <f t="shared" si="59"/>
        <v/>
      </c>
      <c r="H494" s="91" t="str">
        <f t="shared" ref="H494:H498" si="64">IF(AND(B494&lt;&gt;"",C494&lt;&gt;"",D494&lt;&gt;""),COUNTIF(I494:I1203,B494),"")</f>
        <v/>
      </c>
      <c r="I494" s="79">
        <f t="shared" si="60"/>
        <v>69</v>
      </c>
      <c r="J494" s="76"/>
      <c r="K494" s="74"/>
      <c r="L494" s="75"/>
      <c r="M494" s="74"/>
      <c r="N494" s="74"/>
      <c r="O494" s="74"/>
      <c r="P494" s="74"/>
      <c r="Q494" s="74"/>
      <c r="R494" s="74"/>
      <c r="S494" s="74"/>
      <c r="T494" s="74"/>
      <c r="U494" s="74"/>
      <c r="V494" s="74"/>
      <c r="W494" s="74"/>
      <c r="X494" s="74"/>
      <c r="Y494" s="74"/>
    </row>
    <row r="495" spans="1:25" ht="50.45">
      <c r="A495" s="74"/>
      <c r="B495" s="91" t="str">
        <f t="shared" si="63"/>
        <v/>
      </c>
      <c r="C495" s="94"/>
      <c r="D495" s="95"/>
      <c r="E495" s="94" t="s">
        <v>615</v>
      </c>
      <c r="F495" s="91" t="str">
        <f t="shared" si="57"/>
        <v/>
      </c>
      <c r="G495" s="91" t="str">
        <f t="shared" si="59"/>
        <v/>
      </c>
      <c r="H495" s="91" t="str">
        <f t="shared" si="64"/>
        <v/>
      </c>
      <c r="I495" s="79">
        <f t="shared" si="60"/>
        <v>69</v>
      </c>
      <c r="J495" s="76"/>
      <c r="K495" s="74"/>
      <c r="L495" s="75"/>
      <c r="M495" s="74"/>
      <c r="N495" s="74"/>
      <c r="O495" s="74"/>
      <c r="P495" s="74"/>
      <c r="Q495" s="74"/>
      <c r="R495" s="74"/>
      <c r="S495" s="74"/>
      <c r="T495" s="74"/>
      <c r="U495" s="74"/>
      <c r="V495" s="74"/>
      <c r="W495" s="74"/>
      <c r="X495" s="74"/>
      <c r="Y495" s="74"/>
    </row>
    <row r="496" spans="1:25" ht="50.45">
      <c r="A496" s="74"/>
      <c r="B496" s="91" t="str">
        <f t="shared" si="63"/>
        <v/>
      </c>
      <c r="C496" s="94"/>
      <c r="D496" s="95"/>
      <c r="E496" s="94" t="s">
        <v>616</v>
      </c>
      <c r="F496" s="91" t="str">
        <f t="shared" si="57"/>
        <v/>
      </c>
      <c r="G496" s="91" t="str">
        <f t="shared" si="59"/>
        <v/>
      </c>
      <c r="H496" s="91" t="str">
        <f t="shared" si="64"/>
        <v/>
      </c>
      <c r="I496" s="79">
        <f t="shared" si="60"/>
        <v>69</v>
      </c>
      <c r="J496" s="76"/>
      <c r="K496" s="74"/>
      <c r="L496" s="75"/>
      <c r="M496" s="74"/>
      <c r="N496" s="74"/>
      <c r="O496" s="74"/>
      <c r="P496" s="74"/>
      <c r="Q496" s="74"/>
      <c r="R496" s="74"/>
      <c r="S496" s="74"/>
      <c r="T496" s="74"/>
      <c r="U496" s="74"/>
      <c r="V496" s="74"/>
      <c r="W496" s="74"/>
      <c r="X496" s="74"/>
      <c r="Y496" s="74"/>
    </row>
    <row r="497" spans="1:25" ht="50.45">
      <c r="A497" s="74"/>
      <c r="B497" s="91" t="str">
        <f t="shared" si="63"/>
        <v/>
      </c>
      <c r="C497" s="94"/>
      <c r="D497" s="95"/>
      <c r="E497" s="94" t="s">
        <v>617</v>
      </c>
      <c r="F497" s="91" t="str">
        <f t="shared" si="57"/>
        <v/>
      </c>
      <c r="G497" s="91" t="str">
        <f t="shared" si="59"/>
        <v/>
      </c>
      <c r="H497" s="91" t="str">
        <f t="shared" si="64"/>
        <v/>
      </c>
      <c r="I497" s="79">
        <f t="shared" si="60"/>
        <v>69</v>
      </c>
      <c r="J497" s="76"/>
      <c r="K497" s="74"/>
      <c r="L497" s="75"/>
      <c r="M497" s="74"/>
      <c r="N497" s="74"/>
      <c r="O497" s="74"/>
      <c r="P497" s="74"/>
      <c r="Q497" s="74"/>
      <c r="R497" s="74"/>
      <c r="S497" s="74"/>
      <c r="T497" s="74"/>
      <c r="U497" s="74"/>
      <c r="V497" s="74"/>
      <c r="W497" s="74"/>
      <c r="X497" s="74"/>
      <c r="Y497" s="74"/>
    </row>
    <row r="498" spans="1:25" ht="84">
      <c r="A498" s="74"/>
      <c r="B498" s="91" t="str">
        <f t="shared" si="63"/>
        <v/>
      </c>
      <c r="C498" s="94"/>
      <c r="D498" s="18"/>
      <c r="E498" s="100" t="s">
        <v>618</v>
      </c>
      <c r="F498" s="91" t="str">
        <f t="shared" si="57"/>
        <v/>
      </c>
      <c r="G498" s="91" t="str">
        <f t="shared" si="59"/>
        <v/>
      </c>
      <c r="H498" s="91" t="str">
        <f t="shared" si="64"/>
        <v/>
      </c>
      <c r="I498" s="79">
        <f t="shared" si="60"/>
        <v>69</v>
      </c>
      <c r="J498" s="76"/>
      <c r="K498" s="74"/>
      <c r="L498" s="75"/>
      <c r="M498" s="74"/>
      <c r="N498" s="74"/>
      <c r="O498" s="74"/>
      <c r="P498" s="74"/>
      <c r="Q498" s="74"/>
      <c r="R498" s="74"/>
      <c r="S498" s="74"/>
      <c r="T498" s="74"/>
      <c r="U498" s="74"/>
      <c r="V498" s="74"/>
      <c r="W498" s="74"/>
      <c r="X498" s="74"/>
      <c r="Y498" s="74"/>
    </row>
    <row r="499" spans="1:25" ht="18">
      <c r="A499" s="74"/>
      <c r="B499" s="91" t="s">
        <v>35</v>
      </c>
      <c r="C499" s="92" t="s">
        <v>619</v>
      </c>
      <c r="D499" s="18"/>
      <c r="E499" s="100"/>
      <c r="F499" s="91"/>
      <c r="G499" s="91"/>
      <c r="H499" s="91"/>
      <c r="I499" s="79"/>
      <c r="J499" s="76"/>
      <c r="K499" s="74"/>
      <c r="L499" s="75"/>
      <c r="M499" s="74"/>
      <c r="N499" s="74"/>
      <c r="O499" s="74"/>
      <c r="P499" s="74"/>
      <c r="Q499" s="74"/>
      <c r="R499" s="74"/>
      <c r="S499" s="74"/>
      <c r="T499" s="74"/>
      <c r="U499" s="74"/>
      <c r="V499" s="74"/>
      <c r="W499" s="74"/>
      <c r="X499" s="74"/>
      <c r="Y499" s="74"/>
    </row>
    <row r="500" spans="1:25" ht="18">
      <c r="A500" s="74"/>
      <c r="B500" s="91" t="s">
        <v>620</v>
      </c>
      <c r="C500" s="92" t="s">
        <v>621</v>
      </c>
      <c r="D500" s="18"/>
      <c r="E500" s="100"/>
      <c r="F500" s="91"/>
      <c r="G500" s="91"/>
      <c r="H500" s="91"/>
      <c r="I500" s="79"/>
      <c r="J500" s="76"/>
      <c r="K500" s="74"/>
      <c r="L500" s="75"/>
      <c r="M500" s="74"/>
      <c r="N500" s="74"/>
      <c r="O500" s="74"/>
      <c r="P500" s="74"/>
      <c r="Q500" s="74"/>
      <c r="R500" s="74"/>
      <c r="S500" s="74"/>
      <c r="T500" s="74"/>
      <c r="U500" s="74"/>
      <c r="V500" s="74"/>
      <c r="W500" s="74"/>
      <c r="X500" s="74"/>
      <c r="Y500" s="74"/>
    </row>
    <row r="501" spans="1:25" ht="18">
      <c r="A501" s="74"/>
      <c r="B501" s="79">
        <f t="shared" ref="B501:B666" si="65">IF(C501="","",IF(F501="B",COUNTIF($F$6:F501,"B"),""))</f>
        <v>70</v>
      </c>
      <c r="C501" s="101" t="s">
        <v>622</v>
      </c>
      <c r="D501" s="102" t="s">
        <v>623</v>
      </c>
      <c r="E501" s="103"/>
      <c r="F501" s="91" t="str">
        <f t="shared" ref="F501:F791" si="66">IF(D501="","","B")</f>
        <v>B</v>
      </c>
      <c r="G501" s="91" t="str">
        <f t="shared" ref="G501:G791" si="67">IF(AND(B501&lt;&gt;"",C501&lt;&gt;"",D501&lt;&gt;""),IF(H501&lt;4,$K$1,IF(H501&lt;8,$K$2,$K$3)),"")</f>
        <v>Trung bình</v>
      </c>
      <c r="H501" s="91">
        <f t="shared" ref="H501:H506" si="68">IF(AND(B501&lt;&gt;"",C501&lt;&gt;"",D501&lt;&gt;""),COUNTIF(I501:I1380,B501),"")</f>
        <v>6</v>
      </c>
      <c r="I501" s="79" t="str">
        <f t="shared" ref="I501:I525" si="69">IF(OR(E501="",B501&lt;&gt;""),"",IF(I500&lt;&gt;"",I500,B500))</f>
        <v/>
      </c>
      <c r="J501" s="76"/>
      <c r="K501" s="74"/>
      <c r="L501" s="75"/>
      <c r="M501" s="74"/>
      <c r="N501" s="74"/>
      <c r="O501" s="74"/>
      <c r="P501" s="74"/>
      <c r="Q501" s="74"/>
      <c r="R501" s="74"/>
      <c r="S501" s="74"/>
      <c r="T501" s="74"/>
      <c r="U501" s="74"/>
      <c r="V501" s="74"/>
      <c r="W501" s="74"/>
      <c r="X501" s="74"/>
      <c r="Y501" s="74"/>
    </row>
    <row r="502" spans="1:25" ht="50.45">
      <c r="A502" s="74"/>
      <c r="B502" s="304" t="str">
        <f t="shared" si="65"/>
        <v/>
      </c>
      <c r="C502" s="94"/>
      <c r="D502" s="18"/>
      <c r="E502" s="104" t="s">
        <v>624</v>
      </c>
      <c r="F502" s="304" t="str">
        <f t="shared" si="66"/>
        <v/>
      </c>
      <c r="G502" s="304" t="str">
        <f t="shared" si="67"/>
        <v/>
      </c>
      <c r="H502" s="304" t="str">
        <f t="shared" si="68"/>
        <v/>
      </c>
      <c r="I502" s="305">
        <f t="shared" si="69"/>
        <v>70</v>
      </c>
      <c r="J502" s="76"/>
      <c r="K502" s="74"/>
      <c r="L502" s="75"/>
      <c r="M502" s="74"/>
      <c r="N502" s="74"/>
      <c r="O502" s="74"/>
      <c r="P502" s="74"/>
      <c r="Q502" s="74"/>
      <c r="R502" s="74"/>
      <c r="S502" s="74"/>
      <c r="T502" s="74"/>
      <c r="U502" s="74"/>
      <c r="V502" s="74"/>
      <c r="W502" s="74"/>
      <c r="X502" s="74"/>
      <c r="Y502" s="74"/>
    </row>
    <row r="503" spans="1:25" ht="33.6">
      <c r="A503" s="74"/>
      <c r="B503" s="91" t="str">
        <f t="shared" si="65"/>
        <v/>
      </c>
      <c r="C503" s="94"/>
      <c r="D503" s="18"/>
      <c r="E503" s="104" t="s">
        <v>625</v>
      </c>
      <c r="F503" s="91" t="str">
        <f t="shared" si="66"/>
        <v/>
      </c>
      <c r="G503" s="91" t="str">
        <f t="shared" si="67"/>
        <v/>
      </c>
      <c r="H503" s="91" t="str">
        <f t="shared" si="68"/>
        <v/>
      </c>
      <c r="I503" s="79">
        <f t="shared" si="69"/>
        <v>70</v>
      </c>
      <c r="J503" s="76"/>
      <c r="K503" s="74"/>
      <c r="L503" s="75"/>
      <c r="M503" s="74"/>
      <c r="N503" s="74"/>
      <c r="O503" s="74"/>
      <c r="P503" s="74"/>
      <c r="Q503" s="74"/>
      <c r="R503" s="74"/>
      <c r="S503" s="74"/>
      <c r="T503" s="74"/>
      <c r="U503" s="74"/>
      <c r="V503" s="74"/>
      <c r="W503" s="74"/>
      <c r="X503" s="74"/>
      <c r="Y503" s="74"/>
    </row>
    <row r="504" spans="1:25" ht="33.6">
      <c r="A504" s="74"/>
      <c r="B504" s="91" t="str">
        <f t="shared" si="65"/>
        <v/>
      </c>
      <c r="C504" s="94"/>
      <c r="D504" s="18"/>
      <c r="E504" s="104" t="s">
        <v>626</v>
      </c>
      <c r="F504" s="91" t="str">
        <f t="shared" si="66"/>
        <v/>
      </c>
      <c r="G504" s="91" t="str">
        <f t="shared" si="67"/>
        <v/>
      </c>
      <c r="H504" s="91" t="str">
        <f t="shared" si="68"/>
        <v/>
      </c>
      <c r="I504" s="79">
        <f t="shared" si="69"/>
        <v>70</v>
      </c>
      <c r="J504" s="76"/>
      <c r="K504" s="74"/>
      <c r="L504" s="75"/>
      <c r="M504" s="74"/>
      <c r="N504" s="74"/>
      <c r="O504" s="74"/>
      <c r="P504" s="74"/>
      <c r="Q504" s="74"/>
      <c r="R504" s="74"/>
      <c r="S504" s="74"/>
      <c r="T504" s="74"/>
      <c r="U504" s="74"/>
      <c r="V504" s="74"/>
      <c r="W504" s="74"/>
      <c r="X504" s="74"/>
      <c r="Y504" s="74"/>
    </row>
    <row r="505" spans="1:25" ht="33.6">
      <c r="A505" s="74"/>
      <c r="B505" s="91" t="str">
        <f t="shared" si="65"/>
        <v/>
      </c>
      <c r="C505" s="94"/>
      <c r="D505" s="18"/>
      <c r="E505" s="104" t="s">
        <v>627</v>
      </c>
      <c r="F505" s="91" t="str">
        <f t="shared" si="66"/>
        <v/>
      </c>
      <c r="G505" s="91" t="str">
        <f t="shared" si="67"/>
        <v/>
      </c>
      <c r="H505" s="91" t="str">
        <f t="shared" si="68"/>
        <v/>
      </c>
      <c r="I505" s="79">
        <f t="shared" si="69"/>
        <v>70</v>
      </c>
      <c r="J505" s="76"/>
      <c r="K505" s="74"/>
      <c r="L505" s="75"/>
      <c r="M505" s="74"/>
      <c r="N505" s="74"/>
      <c r="O505" s="74"/>
      <c r="P505" s="74"/>
      <c r="Q505" s="74"/>
      <c r="R505" s="74"/>
      <c r="S505" s="74"/>
      <c r="T505" s="74"/>
      <c r="U505" s="74"/>
      <c r="V505" s="74"/>
      <c r="W505" s="74"/>
      <c r="X505" s="74"/>
      <c r="Y505" s="74"/>
    </row>
    <row r="506" spans="1:25" ht="33.6">
      <c r="A506" s="74"/>
      <c r="B506" s="91" t="str">
        <f t="shared" si="65"/>
        <v/>
      </c>
      <c r="C506" s="94"/>
      <c r="D506" s="18"/>
      <c r="E506" s="104" t="s">
        <v>628</v>
      </c>
      <c r="F506" s="91" t="str">
        <f t="shared" si="66"/>
        <v/>
      </c>
      <c r="G506" s="91" t="str">
        <f t="shared" si="67"/>
        <v/>
      </c>
      <c r="H506" s="91" t="str">
        <f t="shared" si="68"/>
        <v/>
      </c>
      <c r="I506" s="79">
        <f t="shared" si="69"/>
        <v>70</v>
      </c>
      <c r="J506" s="76"/>
      <c r="K506" s="74"/>
      <c r="L506" s="75"/>
      <c r="M506" s="74"/>
      <c r="N506" s="74"/>
      <c r="O506" s="74"/>
      <c r="P506" s="74"/>
      <c r="Q506" s="74"/>
      <c r="R506" s="74"/>
      <c r="S506" s="74"/>
      <c r="T506" s="74"/>
      <c r="U506" s="74"/>
      <c r="V506" s="74"/>
      <c r="W506" s="74"/>
      <c r="X506" s="74"/>
      <c r="Y506" s="74"/>
    </row>
    <row r="507" spans="1:25" ht="50.45">
      <c r="A507" s="74"/>
      <c r="B507" s="91" t="str">
        <f t="shared" si="65"/>
        <v/>
      </c>
      <c r="C507" s="94"/>
      <c r="D507" s="18"/>
      <c r="E507" s="104" t="s">
        <v>629</v>
      </c>
      <c r="F507" s="91" t="str">
        <f t="shared" si="66"/>
        <v/>
      </c>
      <c r="G507" s="91" t="str">
        <f t="shared" si="67"/>
        <v/>
      </c>
      <c r="H507" s="91" t="str">
        <f t="shared" ref="H507:H525" si="70">IF(AND(B507&lt;&gt;"",C507&lt;&gt;"",D507&lt;&gt;""),COUNTIF(I507:I1540,B507),"")</f>
        <v/>
      </c>
      <c r="I507" s="79">
        <f t="shared" si="69"/>
        <v>70</v>
      </c>
      <c r="J507" s="76"/>
      <c r="K507" s="74"/>
      <c r="L507" s="75"/>
      <c r="M507" s="74"/>
      <c r="N507" s="74"/>
      <c r="O507" s="74"/>
      <c r="P507" s="74"/>
      <c r="Q507" s="74"/>
      <c r="R507" s="74"/>
      <c r="S507" s="74"/>
      <c r="T507" s="74"/>
      <c r="U507" s="74"/>
      <c r="V507" s="74"/>
      <c r="W507" s="74"/>
      <c r="X507" s="74"/>
      <c r="Y507" s="74"/>
    </row>
    <row r="508" spans="1:25" ht="18">
      <c r="A508" s="74"/>
      <c r="B508" s="79">
        <f t="shared" si="65"/>
        <v>71</v>
      </c>
      <c r="C508" s="104" t="s">
        <v>630</v>
      </c>
      <c r="D508" s="18" t="s">
        <v>623</v>
      </c>
      <c r="E508" s="94"/>
      <c r="F508" s="91" t="str">
        <f t="shared" si="66"/>
        <v>B</v>
      </c>
      <c r="G508" s="91" t="str">
        <f t="shared" si="67"/>
        <v>Trung bình</v>
      </c>
      <c r="H508" s="91">
        <f t="shared" si="70"/>
        <v>6</v>
      </c>
      <c r="I508" s="79" t="str">
        <f t="shared" si="69"/>
        <v/>
      </c>
      <c r="J508" s="76"/>
      <c r="K508" s="74"/>
      <c r="L508" s="75"/>
      <c r="M508" s="74"/>
      <c r="N508" s="74"/>
      <c r="O508" s="74"/>
      <c r="P508" s="74"/>
      <c r="Q508" s="74"/>
      <c r="R508" s="74"/>
      <c r="S508" s="74"/>
      <c r="T508" s="74"/>
      <c r="U508" s="74"/>
      <c r="V508" s="74"/>
      <c r="W508" s="74"/>
      <c r="X508" s="74"/>
      <c r="Y508" s="74"/>
    </row>
    <row r="509" spans="1:25" ht="50.45">
      <c r="A509" s="74"/>
      <c r="B509" s="91" t="str">
        <f t="shared" si="65"/>
        <v/>
      </c>
      <c r="C509" s="92"/>
      <c r="D509" s="18"/>
      <c r="E509" s="104" t="s">
        <v>631</v>
      </c>
      <c r="F509" s="91" t="str">
        <f t="shared" si="66"/>
        <v/>
      </c>
      <c r="G509" s="91" t="str">
        <f t="shared" si="67"/>
        <v/>
      </c>
      <c r="H509" s="91" t="str">
        <f t="shared" si="70"/>
        <v/>
      </c>
      <c r="I509" s="79">
        <f t="shared" si="69"/>
        <v>71</v>
      </c>
      <c r="J509" s="76"/>
      <c r="K509" s="74"/>
      <c r="L509" s="75"/>
      <c r="M509" s="74"/>
      <c r="N509" s="74"/>
      <c r="O509" s="74"/>
      <c r="P509" s="74"/>
      <c r="Q509" s="74"/>
      <c r="R509" s="74"/>
      <c r="S509" s="74"/>
      <c r="T509" s="74"/>
      <c r="U509" s="74"/>
      <c r="V509" s="74"/>
      <c r="W509" s="74"/>
      <c r="X509" s="74"/>
      <c r="Y509" s="74"/>
    </row>
    <row r="510" spans="1:25" ht="33.6">
      <c r="A510" s="74"/>
      <c r="B510" s="91" t="str">
        <f t="shared" si="65"/>
        <v/>
      </c>
      <c r="C510" s="92"/>
      <c r="D510" s="18"/>
      <c r="E510" s="104" t="s">
        <v>632</v>
      </c>
      <c r="F510" s="91" t="str">
        <f t="shared" si="66"/>
        <v/>
      </c>
      <c r="G510" s="91" t="str">
        <f t="shared" si="67"/>
        <v/>
      </c>
      <c r="H510" s="91" t="str">
        <f t="shared" si="70"/>
        <v/>
      </c>
      <c r="I510" s="79">
        <f t="shared" si="69"/>
        <v>71</v>
      </c>
      <c r="J510" s="76"/>
      <c r="K510" s="74"/>
      <c r="L510" s="75"/>
      <c r="M510" s="74"/>
      <c r="N510" s="74"/>
      <c r="O510" s="74"/>
      <c r="P510" s="74"/>
      <c r="Q510" s="74"/>
      <c r="R510" s="74"/>
      <c r="S510" s="74"/>
      <c r="T510" s="74"/>
      <c r="U510" s="74"/>
      <c r="V510" s="74"/>
      <c r="W510" s="74"/>
      <c r="X510" s="74"/>
      <c r="Y510" s="74"/>
    </row>
    <row r="511" spans="1:25" ht="33.6">
      <c r="A511" s="74"/>
      <c r="B511" s="91" t="str">
        <f t="shared" si="65"/>
        <v/>
      </c>
      <c r="C511" s="92"/>
      <c r="D511" s="18"/>
      <c r="E511" s="104" t="s">
        <v>633</v>
      </c>
      <c r="F511" s="91" t="str">
        <f t="shared" si="66"/>
        <v/>
      </c>
      <c r="G511" s="91" t="str">
        <f t="shared" si="67"/>
        <v/>
      </c>
      <c r="H511" s="91" t="str">
        <f t="shared" si="70"/>
        <v/>
      </c>
      <c r="I511" s="79">
        <f t="shared" si="69"/>
        <v>71</v>
      </c>
      <c r="J511" s="74"/>
      <c r="K511" s="74"/>
      <c r="L511" s="75"/>
      <c r="M511" s="74"/>
      <c r="N511" s="74"/>
      <c r="O511" s="74"/>
      <c r="P511" s="74"/>
      <c r="Q511" s="74"/>
      <c r="R511" s="74"/>
      <c r="S511" s="74"/>
      <c r="T511" s="74"/>
      <c r="U511" s="74"/>
      <c r="V511" s="74"/>
      <c r="W511" s="74"/>
      <c r="X511" s="74"/>
      <c r="Y511" s="74"/>
    </row>
    <row r="512" spans="1:25" ht="33.6">
      <c r="A512" s="74"/>
      <c r="B512" s="91" t="str">
        <f t="shared" si="65"/>
        <v/>
      </c>
      <c r="C512" s="92"/>
      <c r="D512" s="18"/>
      <c r="E512" s="104" t="s">
        <v>634</v>
      </c>
      <c r="F512" s="91" t="str">
        <f t="shared" si="66"/>
        <v/>
      </c>
      <c r="G512" s="91" t="str">
        <f t="shared" si="67"/>
        <v/>
      </c>
      <c r="H512" s="91" t="str">
        <f t="shared" si="70"/>
        <v/>
      </c>
      <c r="I512" s="79">
        <f t="shared" si="69"/>
        <v>71</v>
      </c>
      <c r="J512" s="74"/>
      <c r="K512" s="74"/>
      <c r="L512" s="75"/>
      <c r="M512" s="74"/>
      <c r="N512" s="74"/>
      <c r="O512" s="74"/>
      <c r="P512" s="74"/>
      <c r="Q512" s="74"/>
      <c r="R512" s="74"/>
      <c r="S512" s="74"/>
      <c r="T512" s="74"/>
      <c r="U512" s="74"/>
      <c r="V512" s="74"/>
      <c r="W512" s="74"/>
      <c r="X512" s="74"/>
      <c r="Y512" s="74"/>
    </row>
    <row r="513" spans="1:25" ht="33.6">
      <c r="A513" s="74"/>
      <c r="B513" s="91" t="str">
        <f t="shared" si="65"/>
        <v/>
      </c>
      <c r="C513" s="92"/>
      <c r="D513" s="18"/>
      <c r="E513" s="104" t="s">
        <v>635</v>
      </c>
      <c r="F513" s="91" t="str">
        <f t="shared" si="66"/>
        <v/>
      </c>
      <c r="G513" s="91" t="str">
        <f t="shared" si="67"/>
        <v/>
      </c>
      <c r="H513" s="91" t="str">
        <f t="shared" si="70"/>
        <v/>
      </c>
      <c r="I513" s="79">
        <f t="shared" si="69"/>
        <v>71</v>
      </c>
      <c r="J513" s="74"/>
      <c r="K513" s="74"/>
      <c r="L513" s="75"/>
      <c r="M513" s="74"/>
      <c r="N513" s="74"/>
      <c r="O513" s="74"/>
      <c r="P513" s="74"/>
      <c r="Q513" s="74"/>
      <c r="R513" s="74"/>
      <c r="S513" s="74"/>
      <c r="T513" s="74"/>
      <c r="U513" s="74"/>
      <c r="V513" s="74"/>
      <c r="W513" s="74"/>
      <c r="X513" s="74"/>
      <c r="Y513" s="74"/>
    </row>
    <row r="514" spans="1:25" ht="50.45">
      <c r="A514" s="74"/>
      <c r="B514" s="91" t="str">
        <f t="shared" si="65"/>
        <v/>
      </c>
      <c r="C514" s="92"/>
      <c r="D514" s="18"/>
      <c r="E514" s="104" t="s">
        <v>636</v>
      </c>
      <c r="F514" s="91" t="str">
        <f t="shared" si="66"/>
        <v/>
      </c>
      <c r="G514" s="91" t="str">
        <f t="shared" si="67"/>
        <v/>
      </c>
      <c r="H514" s="91" t="str">
        <f t="shared" si="70"/>
        <v/>
      </c>
      <c r="I514" s="79">
        <f t="shared" si="69"/>
        <v>71</v>
      </c>
      <c r="J514" s="74"/>
      <c r="K514" s="74"/>
      <c r="L514" s="75"/>
      <c r="M514" s="74"/>
      <c r="N514" s="74"/>
      <c r="O514" s="74"/>
      <c r="P514" s="74"/>
      <c r="Q514" s="74"/>
      <c r="R514" s="74"/>
      <c r="S514" s="74"/>
      <c r="T514" s="74"/>
      <c r="U514" s="74"/>
      <c r="V514" s="74"/>
      <c r="W514" s="74"/>
      <c r="X514" s="74"/>
      <c r="Y514" s="74"/>
    </row>
    <row r="515" spans="1:25" ht="18">
      <c r="A515" s="74"/>
      <c r="B515" s="79">
        <f t="shared" si="65"/>
        <v>72</v>
      </c>
      <c r="C515" s="104" t="s">
        <v>637</v>
      </c>
      <c r="D515" s="18" t="s">
        <v>623</v>
      </c>
      <c r="E515" s="94"/>
      <c r="F515" s="91" t="str">
        <f t="shared" si="66"/>
        <v>B</v>
      </c>
      <c r="G515" s="91" t="str">
        <f t="shared" si="67"/>
        <v>Trung bình</v>
      </c>
      <c r="H515" s="91">
        <f t="shared" si="70"/>
        <v>4</v>
      </c>
      <c r="I515" s="79" t="str">
        <f t="shared" si="69"/>
        <v/>
      </c>
      <c r="J515" s="74"/>
      <c r="K515" s="74"/>
      <c r="L515" s="75"/>
      <c r="M515" s="74"/>
      <c r="N515" s="74"/>
      <c r="O515" s="74"/>
      <c r="P515" s="74"/>
      <c r="Q515" s="74"/>
      <c r="R515" s="74"/>
      <c r="S515" s="74"/>
      <c r="T515" s="74"/>
      <c r="U515" s="74"/>
      <c r="V515" s="74"/>
      <c r="W515" s="74"/>
      <c r="X515" s="74"/>
      <c r="Y515" s="74"/>
    </row>
    <row r="516" spans="1:25" ht="50.45">
      <c r="A516" s="74"/>
      <c r="B516" s="91" t="str">
        <f t="shared" si="65"/>
        <v/>
      </c>
      <c r="C516" s="94"/>
      <c r="D516" s="18"/>
      <c r="E516" s="104" t="s">
        <v>638</v>
      </c>
      <c r="F516" s="91" t="str">
        <f t="shared" si="66"/>
        <v/>
      </c>
      <c r="G516" s="91" t="str">
        <f t="shared" si="67"/>
        <v/>
      </c>
      <c r="H516" s="91" t="str">
        <f t="shared" si="70"/>
        <v/>
      </c>
      <c r="I516" s="79">
        <f t="shared" si="69"/>
        <v>72</v>
      </c>
      <c r="J516" s="74"/>
      <c r="K516" s="74"/>
      <c r="L516" s="75"/>
      <c r="M516" s="74"/>
      <c r="N516" s="74"/>
      <c r="O516" s="74"/>
      <c r="P516" s="74"/>
      <c r="Q516" s="74"/>
      <c r="R516" s="74"/>
      <c r="S516" s="74"/>
      <c r="T516" s="74"/>
      <c r="U516" s="74"/>
      <c r="V516" s="74"/>
      <c r="W516" s="74"/>
      <c r="X516" s="74"/>
      <c r="Y516" s="74"/>
    </row>
    <row r="517" spans="1:25" ht="33.6">
      <c r="A517" s="74"/>
      <c r="B517" s="91" t="str">
        <f t="shared" si="65"/>
        <v/>
      </c>
      <c r="C517" s="94"/>
      <c r="D517" s="18"/>
      <c r="E517" s="104" t="s">
        <v>639</v>
      </c>
      <c r="F517" s="91" t="str">
        <f t="shared" si="66"/>
        <v/>
      </c>
      <c r="G517" s="91" t="str">
        <f t="shared" si="67"/>
        <v/>
      </c>
      <c r="H517" s="91" t="str">
        <f t="shared" si="70"/>
        <v/>
      </c>
      <c r="I517" s="79">
        <f t="shared" si="69"/>
        <v>72</v>
      </c>
      <c r="J517" s="74"/>
      <c r="K517" s="74"/>
      <c r="L517" s="75"/>
      <c r="M517" s="74"/>
      <c r="N517" s="74"/>
      <c r="O517" s="74"/>
      <c r="P517" s="74"/>
      <c r="Q517" s="74"/>
      <c r="R517" s="74"/>
      <c r="S517" s="74"/>
      <c r="T517" s="74"/>
      <c r="U517" s="74"/>
      <c r="V517" s="74"/>
      <c r="W517" s="74"/>
      <c r="X517" s="74"/>
      <c r="Y517" s="74"/>
    </row>
    <row r="518" spans="1:25" ht="33.6">
      <c r="A518" s="74"/>
      <c r="B518" s="91" t="str">
        <f t="shared" si="65"/>
        <v/>
      </c>
      <c r="C518" s="94"/>
      <c r="D518" s="18"/>
      <c r="E518" s="104" t="s">
        <v>640</v>
      </c>
      <c r="F518" s="91" t="str">
        <f t="shared" si="66"/>
        <v/>
      </c>
      <c r="G518" s="91" t="str">
        <f t="shared" si="67"/>
        <v/>
      </c>
      <c r="H518" s="91" t="str">
        <f t="shared" si="70"/>
        <v/>
      </c>
      <c r="I518" s="79">
        <f t="shared" si="69"/>
        <v>72</v>
      </c>
      <c r="J518" s="74"/>
      <c r="K518" s="74"/>
      <c r="L518" s="75"/>
      <c r="M518" s="74"/>
      <c r="N518" s="74"/>
      <c r="O518" s="74"/>
      <c r="P518" s="74"/>
      <c r="Q518" s="74"/>
      <c r="R518" s="74"/>
      <c r="S518" s="74"/>
      <c r="T518" s="74"/>
      <c r="U518" s="74"/>
      <c r="V518" s="74"/>
      <c r="W518" s="74"/>
      <c r="X518" s="74"/>
      <c r="Y518" s="74"/>
    </row>
    <row r="519" spans="1:25" ht="33.6">
      <c r="A519" s="74"/>
      <c r="B519" s="91" t="str">
        <f t="shared" si="65"/>
        <v/>
      </c>
      <c r="C519" s="94"/>
      <c r="D519" s="18"/>
      <c r="E519" s="104" t="s">
        <v>641</v>
      </c>
      <c r="F519" s="91" t="str">
        <f t="shared" si="66"/>
        <v/>
      </c>
      <c r="G519" s="91" t="str">
        <f t="shared" si="67"/>
        <v/>
      </c>
      <c r="H519" s="91" t="str">
        <f t="shared" si="70"/>
        <v/>
      </c>
      <c r="I519" s="79">
        <f t="shared" si="69"/>
        <v>72</v>
      </c>
      <c r="J519" s="74"/>
      <c r="K519" s="74"/>
      <c r="L519" s="75"/>
      <c r="M519" s="74"/>
      <c r="N519" s="74"/>
      <c r="O519" s="74"/>
      <c r="P519" s="74"/>
      <c r="Q519" s="74"/>
      <c r="R519" s="74"/>
      <c r="S519" s="74"/>
      <c r="T519" s="74"/>
      <c r="U519" s="74"/>
      <c r="V519" s="74"/>
      <c r="W519" s="74"/>
      <c r="X519" s="74"/>
      <c r="Y519" s="74"/>
    </row>
    <row r="520" spans="1:25" ht="18">
      <c r="A520" s="74"/>
      <c r="B520" s="79">
        <f t="shared" si="65"/>
        <v>73</v>
      </c>
      <c r="C520" s="104" t="s">
        <v>642</v>
      </c>
      <c r="D520" s="18" t="s">
        <v>623</v>
      </c>
      <c r="E520" s="94"/>
      <c r="F520" s="91" t="str">
        <f t="shared" si="66"/>
        <v>B</v>
      </c>
      <c r="G520" s="91" t="str">
        <f t="shared" si="67"/>
        <v>Đơn giản</v>
      </c>
      <c r="H520" s="91">
        <f t="shared" si="70"/>
        <v>2</v>
      </c>
      <c r="I520" s="79" t="str">
        <f t="shared" si="69"/>
        <v/>
      </c>
      <c r="J520" s="74"/>
      <c r="K520" s="74"/>
      <c r="L520" s="75"/>
      <c r="M520" s="74"/>
      <c r="N520" s="74"/>
      <c r="O520" s="74"/>
      <c r="P520" s="74"/>
      <c r="Q520" s="74"/>
      <c r="R520" s="74"/>
      <c r="S520" s="74"/>
      <c r="T520" s="74"/>
      <c r="U520" s="74"/>
      <c r="V520" s="74"/>
      <c r="W520" s="74"/>
      <c r="X520" s="74"/>
      <c r="Y520" s="74"/>
    </row>
    <row r="521" spans="1:25" ht="50.45">
      <c r="A521" s="74"/>
      <c r="B521" s="91" t="str">
        <f t="shared" si="65"/>
        <v/>
      </c>
      <c r="C521" s="94"/>
      <c r="D521" s="18"/>
      <c r="E521" s="104" t="s">
        <v>643</v>
      </c>
      <c r="F521" s="91" t="str">
        <f t="shared" si="66"/>
        <v/>
      </c>
      <c r="G521" s="91" t="str">
        <f t="shared" si="67"/>
        <v/>
      </c>
      <c r="H521" s="91" t="str">
        <f t="shared" si="70"/>
        <v/>
      </c>
      <c r="I521" s="79">
        <f t="shared" si="69"/>
        <v>73</v>
      </c>
      <c r="J521" s="74"/>
      <c r="K521" s="74"/>
      <c r="L521" s="75"/>
      <c r="M521" s="74"/>
      <c r="N521" s="74"/>
      <c r="O521" s="74"/>
      <c r="P521" s="74"/>
      <c r="Q521" s="74"/>
      <c r="R521" s="74"/>
      <c r="S521" s="74"/>
      <c r="T521" s="74"/>
      <c r="U521" s="74"/>
      <c r="V521" s="74"/>
      <c r="W521" s="74"/>
      <c r="X521" s="74"/>
      <c r="Y521" s="74"/>
    </row>
    <row r="522" spans="1:25" ht="33.6">
      <c r="A522" s="74"/>
      <c r="B522" s="91" t="str">
        <f t="shared" si="65"/>
        <v/>
      </c>
      <c r="C522" s="94"/>
      <c r="D522" s="18"/>
      <c r="E522" s="104" t="s">
        <v>644</v>
      </c>
      <c r="F522" s="91" t="str">
        <f t="shared" si="66"/>
        <v/>
      </c>
      <c r="G522" s="91" t="str">
        <f t="shared" si="67"/>
        <v/>
      </c>
      <c r="H522" s="91" t="str">
        <f t="shared" si="70"/>
        <v/>
      </c>
      <c r="I522" s="79">
        <f t="shared" si="69"/>
        <v>73</v>
      </c>
      <c r="J522" s="74"/>
      <c r="K522" s="74"/>
      <c r="L522" s="75"/>
      <c r="M522" s="74"/>
      <c r="N522" s="74"/>
      <c r="O522" s="74"/>
      <c r="P522" s="74"/>
      <c r="Q522" s="74"/>
      <c r="R522" s="74"/>
      <c r="S522" s="74"/>
      <c r="T522" s="74"/>
      <c r="U522" s="74"/>
      <c r="V522" s="74"/>
      <c r="W522" s="74"/>
      <c r="X522" s="74"/>
      <c r="Y522" s="74"/>
    </row>
    <row r="523" spans="1:25" ht="18">
      <c r="A523" s="74"/>
      <c r="B523" s="79">
        <f t="shared" si="65"/>
        <v>74</v>
      </c>
      <c r="C523" s="104" t="s">
        <v>645</v>
      </c>
      <c r="D523" s="18" t="s">
        <v>623</v>
      </c>
      <c r="E523" s="94"/>
      <c r="F523" s="91" t="str">
        <f t="shared" si="66"/>
        <v>B</v>
      </c>
      <c r="G523" s="91" t="str">
        <f t="shared" si="67"/>
        <v>Đơn giản</v>
      </c>
      <c r="H523" s="91">
        <f t="shared" si="70"/>
        <v>2</v>
      </c>
      <c r="I523" s="79" t="str">
        <f t="shared" si="69"/>
        <v/>
      </c>
      <c r="J523" s="74"/>
      <c r="K523" s="74"/>
      <c r="L523" s="75"/>
      <c r="M523" s="74"/>
      <c r="N523" s="74"/>
      <c r="O523" s="74"/>
      <c r="P523" s="74"/>
      <c r="Q523" s="74"/>
      <c r="R523" s="74"/>
      <c r="S523" s="74"/>
      <c r="T523" s="74"/>
      <c r="U523" s="74"/>
      <c r="V523" s="74"/>
      <c r="W523" s="74"/>
      <c r="X523" s="74"/>
      <c r="Y523" s="74"/>
    </row>
    <row r="524" spans="1:25" ht="50.45">
      <c r="A524" s="74"/>
      <c r="B524" s="91" t="str">
        <f t="shared" si="65"/>
        <v/>
      </c>
      <c r="C524" s="94"/>
      <c r="D524" s="18"/>
      <c r="E524" s="104" t="s">
        <v>646</v>
      </c>
      <c r="F524" s="91" t="str">
        <f t="shared" si="66"/>
        <v/>
      </c>
      <c r="G524" s="91" t="str">
        <f t="shared" si="67"/>
        <v/>
      </c>
      <c r="H524" s="91" t="str">
        <f t="shared" si="70"/>
        <v/>
      </c>
      <c r="I524" s="79">
        <f t="shared" si="69"/>
        <v>74</v>
      </c>
      <c r="J524" s="74"/>
      <c r="K524" s="74"/>
      <c r="L524" s="75"/>
      <c r="M524" s="74"/>
      <c r="N524" s="74"/>
      <c r="O524" s="74"/>
      <c r="P524" s="74"/>
      <c r="Q524" s="74"/>
      <c r="R524" s="74"/>
      <c r="S524" s="74"/>
      <c r="T524" s="74"/>
      <c r="U524" s="74"/>
      <c r="V524" s="74"/>
      <c r="W524" s="74"/>
      <c r="X524" s="74"/>
      <c r="Y524" s="74"/>
    </row>
    <row r="525" spans="1:25" ht="33.6">
      <c r="A525" s="74"/>
      <c r="B525" s="91" t="str">
        <f t="shared" si="65"/>
        <v/>
      </c>
      <c r="C525" s="94"/>
      <c r="D525" s="18"/>
      <c r="E525" s="104" t="s">
        <v>647</v>
      </c>
      <c r="F525" s="91" t="str">
        <f t="shared" si="66"/>
        <v/>
      </c>
      <c r="G525" s="91" t="str">
        <f t="shared" si="67"/>
        <v/>
      </c>
      <c r="H525" s="91" t="str">
        <f t="shared" si="70"/>
        <v/>
      </c>
      <c r="I525" s="79">
        <f t="shared" si="69"/>
        <v>74</v>
      </c>
      <c r="J525" s="74"/>
      <c r="K525" s="74"/>
      <c r="L525" s="75"/>
      <c r="M525" s="74"/>
      <c r="N525" s="74"/>
      <c r="O525" s="74"/>
      <c r="P525" s="74"/>
      <c r="Q525" s="74"/>
      <c r="R525" s="74"/>
      <c r="S525" s="74"/>
      <c r="T525" s="74"/>
      <c r="U525" s="74"/>
      <c r="V525" s="74"/>
      <c r="W525" s="74"/>
      <c r="X525" s="74"/>
      <c r="Y525" s="74"/>
    </row>
    <row r="526" spans="1:25" ht="18">
      <c r="A526" s="74"/>
      <c r="B526" s="79">
        <f t="shared" si="65"/>
        <v>75</v>
      </c>
      <c r="C526" s="104" t="s">
        <v>648</v>
      </c>
      <c r="D526" s="18" t="s">
        <v>623</v>
      </c>
      <c r="E526" s="94"/>
      <c r="F526" s="91" t="str">
        <f t="shared" si="66"/>
        <v>B</v>
      </c>
      <c r="G526" s="91" t="str">
        <f t="shared" si="67"/>
        <v>Trung bình</v>
      </c>
      <c r="H526" s="91">
        <f t="shared" ref="H526:H568" si="71">IF(AND(B526&lt;&gt;"",C526&lt;&gt;"",D526&lt;&gt;""),COUNTIF(I526:I1577,B526),"")</f>
        <v>4</v>
      </c>
      <c r="I526" s="79" t="str">
        <f>IF(OR(E526="",B526&lt;&gt;""),"",IF(#REF!&lt;&gt;"",#REF!,#REF!))</f>
        <v/>
      </c>
      <c r="J526" s="74"/>
      <c r="K526" s="74"/>
      <c r="L526" s="75"/>
      <c r="M526" s="74"/>
      <c r="N526" s="74"/>
      <c r="O526" s="74"/>
      <c r="P526" s="74"/>
      <c r="Q526" s="74"/>
      <c r="R526" s="74"/>
      <c r="S526" s="74"/>
      <c r="T526" s="74"/>
      <c r="U526" s="74"/>
      <c r="V526" s="74"/>
      <c r="W526" s="74"/>
      <c r="X526" s="74"/>
      <c r="Y526" s="74"/>
    </row>
    <row r="527" spans="1:25" ht="33.6">
      <c r="A527" s="74"/>
      <c r="B527" s="79" t="str">
        <f t="shared" si="65"/>
        <v/>
      </c>
      <c r="C527" s="94"/>
      <c r="D527" s="18"/>
      <c r="E527" s="104" t="s">
        <v>649</v>
      </c>
      <c r="F527" s="91" t="str">
        <f t="shared" si="66"/>
        <v/>
      </c>
      <c r="G527" s="91" t="str">
        <f t="shared" si="67"/>
        <v/>
      </c>
      <c r="H527" s="91" t="str">
        <f t="shared" si="71"/>
        <v/>
      </c>
      <c r="I527" s="79">
        <f t="shared" ref="I527:I568" si="72">IF(OR(E527="",B527&lt;&gt;""),"",IF(I526&lt;&gt;"",I526,B526))</f>
        <v>75</v>
      </c>
      <c r="J527" s="74"/>
      <c r="K527" s="74"/>
      <c r="L527" s="75"/>
      <c r="M527" s="74"/>
      <c r="N527" s="74"/>
      <c r="O527" s="74"/>
      <c r="P527" s="74"/>
      <c r="Q527" s="74"/>
      <c r="R527" s="74"/>
      <c r="S527" s="74"/>
      <c r="T527" s="74"/>
      <c r="U527" s="74"/>
      <c r="V527" s="74"/>
      <c r="W527" s="74"/>
      <c r="X527" s="74"/>
      <c r="Y527" s="74"/>
    </row>
    <row r="528" spans="1:25" ht="33.6">
      <c r="A528" s="74"/>
      <c r="B528" s="79" t="str">
        <f t="shared" si="65"/>
        <v/>
      </c>
      <c r="C528" s="94"/>
      <c r="D528" s="18"/>
      <c r="E528" s="104" t="s">
        <v>650</v>
      </c>
      <c r="F528" s="91" t="str">
        <f t="shared" si="66"/>
        <v/>
      </c>
      <c r="G528" s="91" t="str">
        <f t="shared" si="67"/>
        <v/>
      </c>
      <c r="H528" s="91" t="str">
        <f t="shared" si="71"/>
        <v/>
      </c>
      <c r="I528" s="79">
        <f t="shared" si="72"/>
        <v>75</v>
      </c>
      <c r="J528" s="74"/>
      <c r="K528" s="74"/>
      <c r="L528" s="75"/>
      <c r="M528" s="74"/>
      <c r="N528" s="74"/>
      <c r="O528" s="74"/>
      <c r="P528" s="74"/>
      <c r="Q528" s="74"/>
      <c r="R528" s="74"/>
      <c r="S528" s="74"/>
      <c r="T528" s="74"/>
      <c r="U528" s="74"/>
      <c r="V528" s="74"/>
      <c r="W528" s="74"/>
      <c r="X528" s="74"/>
      <c r="Y528" s="74"/>
    </row>
    <row r="529" spans="1:25" ht="33.6">
      <c r="A529" s="74"/>
      <c r="B529" s="79" t="str">
        <f t="shared" si="65"/>
        <v/>
      </c>
      <c r="C529" s="94"/>
      <c r="D529" s="18"/>
      <c r="E529" s="104" t="s">
        <v>651</v>
      </c>
      <c r="F529" s="91" t="str">
        <f t="shared" si="66"/>
        <v/>
      </c>
      <c r="G529" s="91" t="str">
        <f t="shared" si="67"/>
        <v/>
      </c>
      <c r="H529" s="91" t="str">
        <f t="shared" si="71"/>
        <v/>
      </c>
      <c r="I529" s="79">
        <f t="shared" si="72"/>
        <v>75</v>
      </c>
      <c r="J529" s="74"/>
      <c r="K529" s="74"/>
      <c r="L529" s="75"/>
      <c r="M529" s="74"/>
      <c r="N529" s="74"/>
      <c r="O529" s="74"/>
      <c r="P529" s="74"/>
      <c r="Q529" s="74"/>
      <c r="R529" s="74"/>
      <c r="S529" s="74"/>
      <c r="T529" s="74"/>
      <c r="U529" s="74"/>
      <c r="V529" s="74"/>
      <c r="W529" s="74"/>
      <c r="X529" s="74"/>
      <c r="Y529" s="74"/>
    </row>
    <row r="530" spans="1:25" ht="33.6">
      <c r="A530" s="74"/>
      <c r="B530" s="79" t="str">
        <f t="shared" si="65"/>
        <v/>
      </c>
      <c r="C530" s="94"/>
      <c r="D530" s="18"/>
      <c r="E530" s="104" t="s">
        <v>652</v>
      </c>
      <c r="F530" s="91" t="str">
        <f t="shared" si="66"/>
        <v/>
      </c>
      <c r="G530" s="91" t="str">
        <f t="shared" si="67"/>
        <v/>
      </c>
      <c r="H530" s="91" t="str">
        <f t="shared" si="71"/>
        <v/>
      </c>
      <c r="I530" s="79">
        <f t="shared" si="72"/>
        <v>75</v>
      </c>
      <c r="J530" s="74"/>
      <c r="K530" s="74"/>
      <c r="L530" s="75"/>
      <c r="M530" s="74"/>
      <c r="N530" s="74"/>
      <c r="O530" s="74"/>
      <c r="P530" s="74"/>
      <c r="Q530" s="74"/>
      <c r="R530" s="74"/>
      <c r="S530" s="74"/>
      <c r="T530" s="74"/>
      <c r="U530" s="74"/>
      <c r="V530" s="74"/>
      <c r="W530" s="74"/>
      <c r="X530" s="74"/>
      <c r="Y530" s="74"/>
    </row>
    <row r="531" spans="1:25" ht="18">
      <c r="A531" s="74"/>
      <c r="B531" s="79">
        <f t="shared" si="65"/>
        <v>76</v>
      </c>
      <c r="C531" s="104" t="s">
        <v>653</v>
      </c>
      <c r="D531" s="18" t="s">
        <v>623</v>
      </c>
      <c r="E531" s="94"/>
      <c r="F531" s="91" t="str">
        <f t="shared" si="66"/>
        <v>B</v>
      </c>
      <c r="G531" s="91" t="str">
        <f t="shared" si="67"/>
        <v>Đơn giản</v>
      </c>
      <c r="H531" s="91">
        <f t="shared" si="71"/>
        <v>3</v>
      </c>
      <c r="I531" s="79" t="str">
        <f t="shared" si="72"/>
        <v/>
      </c>
      <c r="J531" s="74"/>
      <c r="K531" s="74"/>
      <c r="L531" s="75"/>
      <c r="M531" s="74"/>
      <c r="N531" s="74"/>
      <c r="O531" s="74"/>
      <c r="P531" s="74"/>
      <c r="Q531" s="74"/>
      <c r="R531" s="74"/>
      <c r="S531" s="74"/>
      <c r="T531" s="74"/>
      <c r="U531" s="74"/>
      <c r="V531" s="74"/>
      <c r="W531" s="74"/>
      <c r="X531" s="74"/>
      <c r="Y531" s="74"/>
    </row>
    <row r="532" spans="1:25" ht="33.6">
      <c r="A532" s="74"/>
      <c r="B532" s="79" t="str">
        <f t="shared" si="65"/>
        <v/>
      </c>
      <c r="C532" s="94"/>
      <c r="D532" s="18"/>
      <c r="E532" s="104" t="s">
        <v>654</v>
      </c>
      <c r="F532" s="91" t="str">
        <f t="shared" si="66"/>
        <v/>
      </c>
      <c r="G532" s="91" t="str">
        <f t="shared" si="67"/>
        <v/>
      </c>
      <c r="H532" s="91" t="str">
        <f t="shared" si="71"/>
        <v/>
      </c>
      <c r="I532" s="79">
        <f t="shared" si="72"/>
        <v>76</v>
      </c>
      <c r="J532" s="74"/>
      <c r="K532" s="74"/>
      <c r="L532" s="75"/>
      <c r="M532" s="74"/>
      <c r="N532" s="74"/>
      <c r="O532" s="74"/>
      <c r="P532" s="74"/>
      <c r="Q532" s="74"/>
      <c r="R532" s="74"/>
      <c r="S532" s="74"/>
      <c r="T532" s="74"/>
      <c r="U532" s="74"/>
      <c r="V532" s="74"/>
      <c r="W532" s="74"/>
      <c r="X532" s="74"/>
      <c r="Y532" s="74"/>
    </row>
    <row r="533" spans="1:25" ht="33.6">
      <c r="A533" s="74"/>
      <c r="B533" s="79" t="str">
        <f t="shared" si="65"/>
        <v/>
      </c>
      <c r="C533" s="94"/>
      <c r="D533" s="18"/>
      <c r="E533" s="104" t="s">
        <v>655</v>
      </c>
      <c r="F533" s="91" t="str">
        <f t="shared" si="66"/>
        <v/>
      </c>
      <c r="G533" s="91" t="str">
        <f t="shared" si="67"/>
        <v/>
      </c>
      <c r="H533" s="91" t="str">
        <f t="shared" si="71"/>
        <v/>
      </c>
      <c r="I533" s="79">
        <f t="shared" si="72"/>
        <v>76</v>
      </c>
      <c r="J533" s="74"/>
      <c r="K533" s="74"/>
      <c r="L533" s="75"/>
      <c r="M533" s="74"/>
      <c r="N533" s="74"/>
      <c r="O533" s="74"/>
      <c r="P533" s="74"/>
      <c r="Q533" s="74"/>
      <c r="R533" s="74"/>
      <c r="S533" s="74"/>
      <c r="T533" s="74"/>
      <c r="U533" s="74"/>
      <c r="V533" s="74"/>
      <c r="W533" s="74"/>
      <c r="X533" s="74"/>
      <c r="Y533" s="74"/>
    </row>
    <row r="534" spans="1:25" ht="33.6">
      <c r="A534" s="74"/>
      <c r="B534" s="91" t="str">
        <f t="shared" si="65"/>
        <v/>
      </c>
      <c r="C534" s="94"/>
      <c r="D534" s="18"/>
      <c r="E534" s="104" t="s">
        <v>656</v>
      </c>
      <c r="F534" s="91" t="str">
        <f t="shared" si="66"/>
        <v/>
      </c>
      <c r="G534" s="91" t="str">
        <f t="shared" si="67"/>
        <v/>
      </c>
      <c r="H534" s="91" t="str">
        <f t="shared" si="71"/>
        <v/>
      </c>
      <c r="I534" s="79">
        <f t="shared" si="72"/>
        <v>76</v>
      </c>
      <c r="J534" s="74"/>
      <c r="K534" s="74"/>
      <c r="L534" s="75"/>
      <c r="M534" s="74"/>
      <c r="N534" s="74"/>
      <c r="O534" s="74"/>
      <c r="P534" s="74"/>
      <c r="Q534" s="74"/>
      <c r="R534" s="74"/>
      <c r="S534" s="74"/>
      <c r="T534" s="74"/>
      <c r="U534" s="74"/>
      <c r="V534" s="74"/>
      <c r="W534" s="74"/>
      <c r="X534" s="74"/>
      <c r="Y534" s="74"/>
    </row>
    <row r="535" spans="1:25" ht="18">
      <c r="A535" s="74"/>
      <c r="B535" s="79">
        <f t="shared" si="65"/>
        <v>77</v>
      </c>
      <c r="C535" s="104" t="s">
        <v>657</v>
      </c>
      <c r="D535" s="18" t="s">
        <v>623</v>
      </c>
      <c r="E535" s="94"/>
      <c r="F535" s="91" t="str">
        <f t="shared" si="66"/>
        <v>B</v>
      </c>
      <c r="G535" s="91" t="str">
        <f t="shared" si="67"/>
        <v>Đơn giản</v>
      </c>
      <c r="H535" s="91">
        <f t="shared" si="71"/>
        <v>3</v>
      </c>
      <c r="I535" s="79" t="str">
        <f t="shared" si="72"/>
        <v/>
      </c>
      <c r="J535" s="74"/>
      <c r="K535" s="74"/>
      <c r="L535" s="75"/>
      <c r="M535" s="74"/>
      <c r="N535" s="74"/>
      <c r="O535" s="74"/>
      <c r="P535" s="74"/>
      <c r="Q535" s="74"/>
      <c r="R535" s="74"/>
      <c r="S535" s="74"/>
      <c r="T535" s="74"/>
      <c r="U535" s="74"/>
      <c r="V535" s="74"/>
      <c r="W535" s="74"/>
      <c r="X535" s="74"/>
      <c r="Y535" s="74"/>
    </row>
    <row r="536" spans="1:25" ht="50.45">
      <c r="A536" s="74"/>
      <c r="B536" s="91" t="str">
        <f t="shared" si="65"/>
        <v/>
      </c>
      <c r="C536" s="94"/>
      <c r="D536" s="18"/>
      <c r="E536" s="104" t="s">
        <v>658</v>
      </c>
      <c r="F536" s="91" t="str">
        <f t="shared" si="66"/>
        <v/>
      </c>
      <c r="G536" s="91" t="str">
        <f t="shared" si="67"/>
        <v/>
      </c>
      <c r="H536" s="91" t="str">
        <f t="shared" si="71"/>
        <v/>
      </c>
      <c r="I536" s="79">
        <f t="shared" si="72"/>
        <v>77</v>
      </c>
      <c r="J536" s="74"/>
      <c r="K536" s="74"/>
      <c r="L536" s="75"/>
      <c r="M536" s="74"/>
      <c r="N536" s="74"/>
      <c r="O536" s="74"/>
      <c r="P536" s="74"/>
      <c r="Q536" s="74"/>
      <c r="R536" s="74"/>
      <c r="S536" s="74"/>
      <c r="T536" s="74"/>
      <c r="U536" s="74"/>
      <c r="V536" s="74"/>
      <c r="W536" s="74"/>
      <c r="X536" s="74"/>
      <c r="Y536" s="74"/>
    </row>
    <row r="537" spans="1:25" ht="33.6">
      <c r="A537" s="74"/>
      <c r="B537" s="91" t="str">
        <f t="shared" si="65"/>
        <v/>
      </c>
      <c r="C537" s="94"/>
      <c r="D537" s="18"/>
      <c r="E537" s="104" t="s">
        <v>659</v>
      </c>
      <c r="F537" s="91" t="str">
        <f t="shared" si="66"/>
        <v/>
      </c>
      <c r="G537" s="91" t="str">
        <f t="shared" si="67"/>
        <v/>
      </c>
      <c r="H537" s="91" t="str">
        <f t="shared" si="71"/>
        <v/>
      </c>
      <c r="I537" s="79">
        <f t="shared" si="72"/>
        <v>77</v>
      </c>
      <c r="J537" s="74"/>
      <c r="K537" s="74"/>
      <c r="L537" s="75"/>
      <c r="M537" s="74"/>
      <c r="N537" s="74"/>
      <c r="O537" s="74"/>
      <c r="P537" s="74"/>
      <c r="Q537" s="74"/>
      <c r="R537" s="74"/>
      <c r="S537" s="74"/>
      <c r="T537" s="74"/>
      <c r="U537" s="74"/>
      <c r="V537" s="74"/>
      <c r="W537" s="74"/>
      <c r="X537" s="74"/>
      <c r="Y537" s="74"/>
    </row>
    <row r="538" spans="1:25" ht="33.6">
      <c r="A538" s="74"/>
      <c r="B538" s="91" t="str">
        <f t="shared" si="65"/>
        <v/>
      </c>
      <c r="C538" s="94"/>
      <c r="D538" s="18"/>
      <c r="E538" s="104" t="s">
        <v>660</v>
      </c>
      <c r="F538" s="91" t="str">
        <f t="shared" si="66"/>
        <v/>
      </c>
      <c r="G538" s="91" t="str">
        <f t="shared" si="67"/>
        <v/>
      </c>
      <c r="H538" s="91" t="str">
        <f t="shared" si="71"/>
        <v/>
      </c>
      <c r="I538" s="79">
        <f t="shared" si="72"/>
        <v>77</v>
      </c>
      <c r="J538" s="74"/>
      <c r="K538" s="74"/>
      <c r="L538" s="75"/>
      <c r="M538" s="74"/>
      <c r="N538" s="74"/>
      <c r="O538" s="74"/>
      <c r="P538" s="74"/>
      <c r="Q538" s="74"/>
      <c r="R538" s="74"/>
      <c r="S538" s="74"/>
      <c r="T538" s="74"/>
      <c r="U538" s="74"/>
      <c r="V538" s="74"/>
      <c r="W538" s="74"/>
      <c r="X538" s="74"/>
      <c r="Y538" s="74"/>
    </row>
    <row r="539" spans="1:25" ht="18">
      <c r="A539" s="74"/>
      <c r="B539" s="79">
        <f t="shared" si="65"/>
        <v>78</v>
      </c>
      <c r="C539" s="104" t="s">
        <v>661</v>
      </c>
      <c r="D539" s="18" t="s">
        <v>623</v>
      </c>
      <c r="E539" s="94"/>
      <c r="F539" s="91" t="str">
        <f t="shared" si="66"/>
        <v>B</v>
      </c>
      <c r="G539" s="91" t="str">
        <f t="shared" si="67"/>
        <v>Đơn giản</v>
      </c>
      <c r="H539" s="91">
        <f t="shared" si="71"/>
        <v>3</v>
      </c>
      <c r="I539" s="79" t="str">
        <f t="shared" si="72"/>
        <v/>
      </c>
      <c r="J539" s="74"/>
      <c r="K539" s="74"/>
      <c r="L539" s="75"/>
      <c r="M539" s="74"/>
      <c r="N539" s="74"/>
      <c r="O539" s="74"/>
      <c r="P539" s="74"/>
      <c r="Q539" s="74"/>
      <c r="R539" s="74"/>
      <c r="S539" s="74"/>
      <c r="T539" s="74"/>
      <c r="U539" s="74"/>
      <c r="V539" s="74"/>
      <c r="W539" s="74"/>
      <c r="X539" s="74"/>
      <c r="Y539" s="74"/>
    </row>
    <row r="540" spans="1:25" ht="50.45">
      <c r="A540" s="74"/>
      <c r="B540" s="91" t="str">
        <f t="shared" si="65"/>
        <v/>
      </c>
      <c r="C540" s="94"/>
      <c r="D540" s="18"/>
      <c r="E540" s="104" t="s">
        <v>662</v>
      </c>
      <c r="F540" s="91" t="str">
        <f t="shared" si="66"/>
        <v/>
      </c>
      <c r="G540" s="91" t="str">
        <f t="shared" si="67"/>
        <v/>
      </c>
      <c r="H540" s="91" t="str">
        <f t="shared" si="71"/>
        <v/>
      </c>
      <c r="I540" s="79">
        <f t="shared" si="72"/>
        <v>78</v>
      </c>
      <c r="J540" s="74"/>
      <c r="K540" s="74"/>
      <c r="L540" s="75"/>
      <c r="M540" s="74"/>
      <c r="N540" s="74"/>
      <c r="O540" s="74"/>
      <c r="P540" s="74"/>
      <c r="Q540" s="74"/>
      <c r="R540" s="74"/>
      <c r="S540" s="74"/>
      <c r="T540" s="74"/>
      <c r="U540" s="74"/>
      <c r="V540" s="74"/>
      <c r="W540" s="74"/>
      <c r="X540" s="74"/>
      <c r="Y540" s="74"/>
    </row>
    <row r="541" spans="1:25" ht="33.6">
      <c r="A541" s="74"/>
      <c r="B541" s="91" t="str">
        <f t="shared" si="65"/>
        <v/>
      </c>
      <c r="C541" s="94"/>
      <c r="D541" s="18"/>
      <c r="E541" s="104" t="s">
        <v>663</v>
      </c>
      <c r="F541" s="91" t="str">
        <f t="shared" si="66"/>
        <v/>
      </c>
      <c r="G541" s="91" t="str">
        <f t="shared" si="67"/>
        <v/>
      </c>
      <c r="H541" s="91" t="str">
        <f t="shared" si="71"/>
        <v/>
      </c>
      <c r="I541" s="79">
        <f t="shared" si="72"/>
        <v>78</v>
      </c>
      <c r="J541" s="74"/>
      <c r="K541" s="74"/>
      <c r="L541" s="75"/>
      <c r="M541" s="74"/>
      <c r="N541" s="74"/>
      <c r="O541" s="74"/>
      <c r="P541" s="74"/>
      <c r="Q541" s="74"/>
      <c r="R541" s="74"/>
      <c r="S541" s="74"/>
      <c r="T541" s="74"/>
      <c r="U541" s="74"/>
      <c r="V541" s="74"/>
      <c r="W541" s="74"/>
      <c r="X541" s="74"/>
      <c r="Y541" s="74"/>
    </row>
    <row r="542" spans="1:25" ht="33.6">
      <c r="A542" s="74"/>
      <c r="B542" s="91" t="str">
        <f t="shared" si="65"/>
        <v/>
      </c>
      <c r="C542" s="94"/>
      <c r="D542" s="18"/>
      <c r="E542" s="104" t="s">
        <v>664</v>
      </c>
      <c r="F542" s="91" t="str">
        <f t="shared" si="66"/>
        <v/>
      </c>
      <c r="G542" s="91" t="str">
        <f t="shared" si="67"/>
        <v/>
      </c>
      <c r="H542" s="91" t="str">
        <f t="shared" si="71"/>
        <v/>
      </c>
      <c r="I542" s="79">
        <f t="shared" si="72"/>
        <v>78</v>
      </c>
      <c r="J542" s="74"/>
      <c r="K542" s="74"/>
      <c r="L542" s="75"/>
      <c r="M542" s="74"/>
      <c r="N542" s="74"/>
      <c r="O542" s="74"/>
      <c r="P542" s="74"/>
      <c r="Q542" s="74"/>
      <c r="R542" s="74"/>
      <c r="S542" s="74"/>
      <c r="T542" s="74"/>
      <c r="U542" s="74"/>
      <c r="V542" s="74"/>
      <c r="W542" s="74"/>
      <c r="X542" s="74"/>
      <c r="Y542" s="74"/>
    </row>
    <row r="543" spans="1:25" ht="18">
      <c r="A543" s="74"/>
      <c r="B543" s="79">
        <f t="shared" si="65"/>
        <v>79</v>
      </c>
      <c r="C543" s="104" t="s">
        <v>665</v>
      </c>
      <c r="D543" s="18" t="s">
        <v>623</v>
      </c>
      <c r="E543" s="94"/>
      <c r="F543" s="91" t="str">
        <f t="shared" si="66"/>
        <v>B</v>
      </c>
      <c r="G543" s="91" t="str">
        <f t="shared" si="67"/>
        <v>Đơn giản</v>
      </c>
      <c r="H543" s="91">
        <f t="shared" si="71"/>
        <v>3</v>
      </c>
      <c r="I543" s="79" t="str">
        <f t="shared" si="72"/>
        <v/>
      </c>
      <c r="J543" s="74"/>
      <c r="K543" s="74"/>
      <c r="L543" s="75"/>
      <c r="M543" s="74"/>
      <c r="N543" s="74"/>
      <c r="O543" s="74"/>
      <c r="P543" s="74"/>
      <c r="Q543" s="74"/>
      <c r="R543" s="74"/>
      <c r="S543" s="74"/>
      <c r="T543" s="74"/>
      <c r="U543" s="74"/>
      <c r="V543" s="74"/>
      <c r="W543" s="74"/>
      <c r="X543" s="74"/>
      <c r="Y543" s="74"/>
    </row>
    <row r="544" spans="1:25" ht="50.45">
      <c r="A544" s="74"/>
      <c r="B544" s="91" t="str">
        <f t="shared" si="65"/>
        <v/>
      </c>
      <c r="C544" s="94"/>
      <c r="D544" s="18"/>
      <c r="E544" s="104" t="s">
        <v>666</v>
      </c>
      <c r="F544" s="91" t="str">
        <f t="shared" si="66"/>
        <v/>
      </c>
      <c r="G544" s="91" t="str">
        <f t="shared" si="67"/>
        <v/>
      </c>
      <c r="H544" s="91" t="str">
        <f t="shared" si="71"/>
        <v/>
      </c>
      <c r="I544" s="79">
        <f t="shared" si="72"/>
        <v>79</v>
      </c>
      <c r="J544" s="74"/>
      <c r="K544" s="74"/>
      <c r="L544" s="75"/>
      <c r="M544" s="74"/>
      <c r="N544" s="74"/>
      <c r="O544" s="74"/>
      <c r="P544" s="74"/>
      <c r="Q544" s="74"/>
      <c r="R544" s="74"/>
      <c r="S544" s="74"/>
      <c r="T544" s="74"/>
      <c r="U544" s="74"/>
      <c r="V544" s="74"/>
      <c r="W544" s="74"/>
      <c r="X544" s="74"/>
      <c r="Y544" s="74"/>
    </row>
    <row r="545" spans="1:25" ht="33.6">
      <c r="A545" s="74"/>
      <c r="B545" s="91" t="str">
        <f t="shared" si="65"/>
        <v/>
      </c>
      <c r="C545" s="94"/>
      <c r="D545" s="18"/>
      <c r="E545" s="104" t="s">
        <v>667</v>
      </c>
      <c r="F545" s="91" t="str">
        <f t="shared" si="66"/>
        <v/>
      </c>
      <c r="G545" s="91" t="str">
        <f t="shared" si="67"/>
        <v/>
      </c>
      <c r="H545" s="91" t="str">
        <f t="shared" si="71"/>
        <v/>
      </c>
      <c r="I545" s="79">
        <f t="shared" si="72"/>
        <v>79</v>
      </c>
      <c r="J545" s="74"/>
      <c r="K545" s="74"/>
      <c r="L545" s="75"/>
      <c r="M545" s="74"/>
      <c r="N545" s="74"/>
      <c r="O545" s="74"/>
      <c r="P545" s="74"/>
      <c r="Q545" s="74"/>
      <c r="R545" s="74"/>
      <c r="S545" s="74"/>
      <c r="T545" s="74"/>
      <c r="U545" s="74"/>
      <c r="V545" s="74"/>
      <c r="W545" s="74"/>
      <c r="X545" s="74"/>
      <c r="Y545" s="74"/>
    </row>
    <row r="546" spans="1:25" ht="33.6">
      <c r="A546" s="74"/>
      <c r="B546" s="91" t="str">
        <f t="shared" si="65"/>
        <v/>
      </c>
      <c r="C546" s="94"/>
      <c r="D546" s="18"/>
      <c r="E546" s="104" t="s">
        <v>668</v>
      </c>
      <c r="F546" s="91" t="str">
        <f t="shared" si="66"/>
        <v/>
      </c>
      <c r="G546" s="91" t="str">
        <f t="shared" si="67"/>
        <v/>
      </c>
      <c r="H546" s="91" t="str">
        <f t="shared" si="71"/>
        <v/>
      </c>
      <c r="I546" s="79">
        <f t="shared" si="72"/>
        <v>79</v>
      </c>
      <c r="J546" s="74"/>
      <c r="K546" s="74"/>
      <c r="L546" s="75"/>
      <c r="M546" s="74"/>
      <c r="N546" s="74"/>
      <c r="O546" s="74"/>
      <c r="P546" s="74"/>
      <c r="Q546" s="74"/>
      <c r="R546" s="74"/>
      <c r="S546" s="74"/>
      <c r="T546" s="74"/>
      <c r="U546" s="74"/>
      <c r="V546" s="74"/>
      <c r="W546" s="74"/>
      <c r="X546" s="74"/>
      <c r="Y546" s="74"/>
    </row>
    <row r="547" spans="1:25" ht="18">
      <c r="A547" s="74"/>
      <c r="B547" s="79">
        <f t="shared" si="65"/>
        <v>80</v>
      </c>
      <c r="C547" s="104" t="s">
        <v>669</v>
      </c>
      <c r="D547" s="18" t="s">
        <v>623</v>
      </c>
      <c r="E547" s="94"/>
      <c r="F547" s="91" t="str">
        <f t="shared" si="66"/>
        <v>B</v>
      </c>
      <c r="G547" s="91" t="str">
        <f t="shared" si="67"/>
        <v>Đơn giản</v>
      </c>
      <c r="H547" s="91">
        <f t="shared" si="71"/>
        <v>3</v>
      </c>
      <c r="I547" s="79" t="str">
        <f t="shared" si="72"/>
        <v/>
      </c>
      <c r="J547" s="74"/>
      <c r="K547" s="74"/>
      <c r="L547" s="75"/>
      <c r="M547" s="74"/>
      <c r="N547" s="74"/>
      <c r="O547" s="74"/>
      <c r="P547" s="74"/>
      <c r="Q547" s="74"/>
      <c r="R547" s="74"/>
      <c r="S547" s="74"/>
      <c r="T547" s="74"/>
      <c r="U547" s="74"/>
      <c r="V547" s="74"/>
      <c r="W547" s="74"/>
      <c r="X547" s="74"/>
      <c r="Y547" s="74"/>
    </row>
    <row r="548" spans="1:25" ht="50.45">
      <c r="A548" s="74"/>
      <c r="B548" s="91" t="str">
        <f t="shared" si="65"/>
        <v/>
      </c>
      <c r="C548" s="94"/>
      <c r="D548" s="18"/>
      <c r="E548" s="104" t="s">
        <v>670</v>
      </c>
      <c r="F548" s="91" t="str">
        <f t="shared" si="66"/>
        <v/>
      </c>
      <c r="G548" s="91" t="str">
        <f t="shared" si="67"/>
        <v/>
      </c>
      <c r="H548" s="91" t="str">
        <f t="shared" si="71"/>
        <v/>
      </c>
      <c r="I548" s="79">
        <f t="shared" si="72"/>
        <v>80</v>
      </c>
      <c r="J548" s="74"/>
      <c r="K548" s="74"/>
      <c r="L548" s="75"/>
      <c r="M548" s="74"/>
      <c r="N548" s="74"/>
      <c r="O548" s="74"/>
      <c r="P548" s="74"/>
      <c r="Q548" s="74"/>
      <c r="R548" s="74"/>
      <c r="S548" s="74"/>
      <c r="T548" s="74"/>
      <c r="U548" s="74"/>
      <c r="V548" s="74"/>
      <c r="W548" s="74"/>
      <c r="X548" s="74"/>
      <c r="Y548" s="74"/>
    </row>
    <row r="549" spans="1:25" ht="33.6">
      <c r="A549" s="74"/>
      <c r="B549" s="91" t="str">
        <f t="shared" si="65"/>
        <v/>
      </c>
      <c r="C549" s="94"/>
      <c r="D549" s="18"/>
      <c r="E549" s="104" t="s">
        <v>671</v>
      </c>
      <c r="F549" s="91" t="str">
        <f t="shared" si="66"/>
        <v/>
      </c>
      <c r="G549" s="91" t="str">
        <f t="shared" si="67"/>
        <v/>
      </c>
      <c r="H549" s="91" t="str">
        <f t="shared" si="71"/>
        <v/>
      </c>
      <c r="I549" s="79">
        <f t="shared" si="72"/>
        <v>80</v>
      </c>
      <c r="J549" s="74"/>
      <c r="K549" s="74"/>
      <c r="L549" s="75"/>
      <c r="M549" s="74"/>
      <c r="N549" s="74"/>
      <c r="O549" s="74"/>
      <c r="P549" s="74"/>
      <c r="Q549" s="74"/>
      <c r="R549" s="74"/>
      <c r="S549" s="74"/>
      <c r="T549" s="74"/>
      <c r="U549" s="74"/>
      <c r="V549" s="74"/>
      <c r="W549" s="74"/>
      <c r="X549" s="74"/>
      <c r="Y549" s="74"/>
    </row>
    <row r="550" spans="1:25" ht="33.6">
      <c r="A550" s="74"/>
      <c r="B550" s="91" t="str">
        <f t="shared" si="65"/>
        <v/>
      </c>
      <c r="C550" s="94"/>
      <c r="D550" s="18"/>
      <c r="E550" s="104" t="s">
        <v>672</v>
      </c>
      <c r="F550" s="91" t="str">
        <f t="shared" si="66"/>
        <v/>
      </c>
      <c r="G550" s="91" t="str">
        <f t="shared" si="67"/>
        <v/>
      </c>
      <c r="H550" s="91" t="str">
        <f t="shared" si="71"/>
        <v/>
      </c>
      <c r="I550" s="79">
        <f t="shared" si="72"/>
        <v>80</v>
      </c>
      <c r="J550" s="74"/>
      <c r="K550" s="74"/>
      <c r="L550" s="75"/>
      <c r="M550" s="74"/>
      <c r="N550" s="74"/>
      <c r="O550" s="74"/>
      <c r="P550" s="74"/>
      <c r="Q550" s="74"/>
      <c r="R550" s="74"/>
      <c r="S550" s="74"/>
      <c r="T550" s="74"/>
      <c r="U550" s="74"/>
      <c r="V550" s="74"/>
      <c r="W550" s="74"/>
      <c r="X550" s="74"/>
      <c r="Y550" s="74"/>
    </row>
    <row r="551" spans="1:25" ht="18">
      <c r="A551" s="74"/>
      <c r="B551" s="79">
        <f t="shared" si="65"/>
        <v>81</v>
      </c>
      <c r="C551" s="104" t="s">
        <v>673</v>
      </c>
      <c r="D551" s="18" t="s">
        <v>623</v>
      </c>
      <c r="E551" s="94"/>
      <c r="F551" s="91" t="str">
        <f t="shared" si="66"/>
        <v>B</v>
      </c>
      <c r="G551" s="91" t="str">
        <f t="shared" si="67"/>
        <v>Đơn giản</v>
      </c>
      <c r="H551" s="91">
        <f t="shared" si="71"/>
        <v>3</v>
      </c>
      <c r="I551" s="79" t="str">
        <f t="shared" si="72"/>
        <v/>
      </c>
      <c r="J551" s="74"/>
      <c r="K551" s="74"/>
      <c r="L551" s="75"/>
      <c r="M551" s="74"/>
      <c r="N551" s="74"/>
      <c r="O551" s="74"/>
      <c r="P551" s="74"/>
      <c r="Q551" s="74"/>
      <c r="R551" s="74"/>
      <c r="S551" s="74"/>
      <c r="T551" s="74"/>
      <c r="U551" s="74"/>
      <c r="V551" s="74"/>
      <c r="W551" s="74"/>
      <c r="X551" s="74"/>
      <c r="Y551" s="74"/>
    </row>
    <row r="552" spans="1:25" ht="50.45">
      <c r="A552" s="74"/>
      <c r="B552" s="91" t="str">
        <f t="shared" si="65"/>
        <v/>
      </c>
      <c r="C552" s="94"/>
      <c r="D552" s="18"/>
      <c r="E552" s="104" t="s">
        <v>674</v>
      </c>
      <c r="F552" s="91" t="str">
        <f t="shared" si="66"/>
        <v/>
      </c>
      <c r="G552" s="91" t="str">
        <f t="shared" si="67"/>
        <v/>
      </c>
      <c r="H552" s="91" t="str">
        <f t="shared" si="71"/>
        <v/>
      </c>
      <c r="I552" s="79">
        <f t="shared" si="72"/>
        <v>81</v>
      </c>
      <c r="J552" s="74"/>
      <c r="K552" s="74"/>
      <c r="L552" s="75"/>
      <c r="M552" s="74"/>
      <c r="N552" s="74"/>
      <c r="O552" s="74"/>
      <c r="P552" s="74"/>
      <c r="Q552" s="74"/>
      <c r="R552" s="74"/>
      <c r="S552" s="74"/>
      <c r="T552" s="74"/>
      <c r="U552" s="74"/>
      <c r="V552" s="74"/>
      <c r="W552" s="74"/>
      <c r="X552" s="74"/>
      <c r="Y552" s="74"/>
    </row>
    <row r="553" spans="1:25" ht="33.6">
      <c r="A553" s="74"/>
      <c r="B553" s="91" t="str">
        <f t="shared" si="65"/>
        <v/>
      </c>
      <c r="C553" s="94"/>
      <c r="D553" s="18"/>
      <c r="E553" s="104" t="s">
        <v>675</v>
      </c>
      <c r="F553" s="91" t="str">
        <f t="shared" si="66"/>
        <v/>
      </c>
      <c r="G553" s="91" t="str">
        <f t="shared" si="67"/>
        <v/>
      </c>
      <c r="H553" s="91" t="str">
        <f t="shared" si="71"/>
        <v/>
      </c>
      <c r="I553" s="79">
        <f t="shared" si="72"/>
        <v>81</v>
      </c>
      <c r="J553" s="74"/>
      <c r="K553" s="74"/>
      <c r="L553" s="75"/>
      <c r="M553" s="74"/>
      <c r="N553" s="74"/>
      <c r="O553" s="74"/>
      <c r="P553" s="74"/>
      <c r="Q553" s="74"/>
      <c r="R553" s="74"/>
      <c r="S553" s="74"/>
      <c r="T553" s="74"/>
      <c r="U553" s="74"/>
      <c r="V553" s="74"/>
      <c r="W553" s="74"/>
      <c r="X553" s="74"/>
      <c r="Y553" s="74"/>
    </row>
    <row r="554" spans="1:25" ht="33.6">
      <c r="A554" s="74"/>
      <c r="B554" s="91" t="str">
        <f t="shared" si="65"/>
        <v/>
      </c>
      <c r="C554" s="94"/>
      <c r="D554" s="18"/>
      <c r="E554" s="104" t="s">
        <v>676</v>
      </c>
      <c r="F554" s="91" t="str">
        <f t="shared" si="66"/>
        <v/>
      </c>
      <c r="G554" s="91" t="str">
        <f t="shared" si="67"/>
        <v/>
      </c>
      <c r="H554" s="91" t="str">
        <f t="shared" si="71"/>
        <v/>
      </c>
      <c r="I554" s="79">
        <f t="shared" si="72"/>
        <v>81</v>
      </c>
      <c r="J554" s="74"/>
      <c r="K554" s="74"/>
      <c r="L554" s="75"/>
      <c r="M554" s="74"/>
      <c r="N554" s="74"/>
      <c r="O554" s="74"/>
      <c r="P554" s="74"/>
      <c r="Q554" s="74"/>
      <c r="R554" s="74"/>
      <c r="S554" s="74"/>
      <c r="T554" s="74"/>
      <c r="U554" s="74"/>
      <c r="V554" s="74"/>
      <c r="W554" s="74"/>
      <c r="X554" s="74"/>
      <c r="Y554" s="74"/>
    </row>
    <row r="555" spans="1:25" ht="18">
      <c r="A555" s="74"/>
      <c r="B555" s="79">
        <f t="shared" si="65"/>
        <v>82</v>
      </c>
      <c r="C555" s="104" t="s">
        <v>677</v>
      </c>
      <c r="D555" s="18" t="s">
        <v>623</v>
      </c>
      <c r="E555" s="94"/>
      <c r="F555" s="91" t="str">
        <f t="shared" si="66"/>
        <v>B</v>
      </c>
      <c r="G555" s="91" t="str">
        <f t="shared" si="67"/>
        <v>Đơn giản</v>
      </c>
      <c r="H555" s="91">
        <f t="shared" si="71"/>
        <v>3</v>
      </c>
      <c r="I555" s="79" t="str">
        <f t="shared" si="72"/>
        <v/>
      </c>
      <c r="J555" s="74"/>
      <c r="K555" s="74"/>
      <c r="L555" s="75"/>
      <c r="M555" s="74"/>
      <c r="N555" s="74"/>
      <c r="O555" s="74"/>
      <c r="P555" s="74"/>
      <c r="Q555" s="74"/>
      <c r="R555" s="74"/>
      <c r="S555" s="74"/>
      <c r="T555" s="74"/>
      <c r="U555" s="74"/>
      <c r="V555" s="74"/>
      <c r="W555" s="74"/>
      <c r="X555" s="74"/>
      <c r="Y555" s="74"/>
    </row>
    <row r="556" spans="1:25" ht="50.45">
      <c r="A556" s="74"/>
      <c r="B556" s="91" t="str">
        <f t="shared" si="65"/>
        <v/>
      </c>
      <c r="C556" s="94"/>
      <c r="D556" s="18"/>
      <c r="E556" s="104" t="s">
        <v>678</v>
      </c>
      <c r="F556" s="91" t="str">
        <f t="shared" si="66"/>
        <v/>
      </c>
      <c r="G556" s="91" t="str">
        <f t="shared" si="67"/>
        <v/>
      </c>
      <c r="H556" s="91" t="str">
        <f t="shared" si="71"/>
        <v/>
      </c>
      <c r="I556" s="79">
        <f t="shared" si="72"/>
        <v>82</v>
      </c>
      <c r="J556" s="74"/>
      <c r="K556" s="74"/>
      <c r="L556" s="75"/>
      <c r="M556" s="74"/>
      <c r="N556" s="74"/>
      <c r="O556" s="74"/>
      <c r="P556" s="74"/>
      <c r="Q556" s="74"/>
      <c r="R556" s="74"/>
      <c r="S556" s="74"/>
      <c r="T556" s="74"/>
      <c r="U556" s="74"/>
      <c r="V556" s="74"/>
      <c r="W556" s="74"/>
      <c r="X556" s="74"/>
      <c r="Y556" s="74"/>
    </row>
    <row r="557" spans="1:25" ht="33.6">
      <c r="A557" s="74"/>
      <c r="B557" s="91" t="str">
        <f t="shared" si="65"/>
        <v/>
      </c>
      <c r="C557" s="94"/>
      <c r="D557" s="18"/>
      <c r="E557" s="104" t="s">
        <v>679</v>
      </c>
      <c r="F557" s="91" t="str">
        <f t="shared" si="66"/>
        <v/>
      </c>
      <c r="G557" s="91" t="str">
        <f t="shared" si="67"/>
        <v/>
      </c>
      <c r="H557" s="91" t="str">
        <f t="shared" si="71"/>
        <v/>
      </c>
      <c r="I557" s="79">
        <f t="shared" si="72"/>
        <v>82</v>
      </c>
      <c r="J557" s="74"/>
      <c r="K557" s="74"/>
      <c r="L557" s="75"/>
      <c r="M557" s="74"/>
      <c r="N557" s="74"/>
      <c r="O557" s="74"/>
      <c r="P557" s="74"/>
      <c r="Q557" s="74"/>
      <c r="R557" s="74"/>
      <c r="S557" s="74"/>
      <c r="T557" s="74"/>
      <c r="U557" s="74"/>
      <c r="V557" s="74"/>
      <c r="W557" s="74"/>
      <c r="X557" s="74"/>
      <c r="Y557" s="74"/>
    </row>
    <row r="558" spans="1:25" ht="33.6">
      <c r="A558" s="74"/>
      <c r="B558" s="91" t="str">
        <f t="shared" si="65"/>
        <v/>
      </c>
      <c r="C558" s="94"/>
      <c r="D558" s="18"/>
      <c r="E558" s="104" t="s">
        <v>680</v>
      </c>
      <c r="F558" s="91" t="str">
        <f t="shared" si="66"/>
        <v/>
      </c>
      <c r="G558" s="91" t="str">
        <f t="shared" si="67"/>
        <v/>
      </c>
      <c r="H558" s="91" t="str">
        <f t="shared" si="71"/>
        <v/>
      </c>
      <c r="I558" s="79">
        <f t="shared" si="72"/>
        <v>82</v>
      </c>
      <c r="J558" s="74"/>
      <c r="K558" s="74"/>
      <c r="L558" s="75"/>
      <c r="M558" s="74"/>
      <c r="N558" s="74"/>
      <c r="O558" s="74"/>
      <c r="P558" s="74"/>
      <c r="Q558" s="74"/>
      <c r="R558" s="74"/>
      <c r="S558" s="74"/>
      <c r="T558" s="74"/>
      <c r="U558" s="74"/>
      <c r="V558" s="74"/>
      <c r="W558" s="74"/>
      <c r="X558" s="74"/>
      <c r="Y558" s="74"/>
    </row>
    <row r="559" spans="1:25" ht="18">
      <c r="A559" s="74"/>
      <c r="B559" s="79">
        <f t="shared" si="65"/>
        <v>83</v>
      </c>
      <c r="C559" s="104" t="s">
        <v>681</v>
      </c>
      <c r="D559" s="18" t="s">
        <v>623</v>
      </c>
      <c r="E559" s="94"/>
      <c r="F559" s="91" t="str">
        <f t="shared" si="66"/>
        <v>B</v>
      </c>
      <c r="G559" s="91" t="str">
        <f t="shared" si="67"/>
        <v>Trung bình</v>
      </c>
      <c r="H559" s="91">
        <f t="shared" si="71"/>
        <v>4</v>
      </c>
      <c r="I559" s="79" t="str">
        <f t="shared" si="72"/>
        <v/>
      </c>
      <c r="J559" s="74"/>
      <c r="K559" s="74"/>
      <c r="L559" s="75"/>
      <c r="M559" s="74"/>
      <c r="N559" s="74"/>
      <c r="O559" s="74"/>
      <c r="P559" s="74"/>
      <c r="Q559" s="74"/>
      <c r="R559" s="74"/>
      <c r="S559" s="74"/>
      <c r="T559" s="74"/>
      <c r="U559" s="74"/>
      <c r="V559" s="74"/>
      <c r="W559" s="74"/>
      <c r="X559" s="74"/>
      <c r="Y559" s="74"/>
    </row>
    <row r="560" spans="1:25" ht="33.6">
      <c r="A560" s="74"/>
      <c r="B560" s="91" t="str">
        <f t="shared" si="65"/>
        <v/>
      </c>
      <c r="C560" s="94"/>
      <c r="D560" s="18"/>
      <c r="E560" s="104" t="s">
        <v>682</v>
      </c>
      <c r="F560" s="91" t="str">
        <f t="shared" si="66"/>
        <v/>
      </c>
      <c r="G560" s="91" t="str">
        <f t="shared" si="67"/>
        <v/>
      </c>
      <c r="H560" s="91" t="str">
        <f t="shared" si="71"/>
        <v/>
      </c>
      <c r="I560" s="79">
        <f t="shared" si="72"/>
        <v>83</v>
      </c>
      <c r="J560" s="74"/>
      <c r="K560" s="74"/>
      <c r="L560" s="75"/>
      <c r="M560" s="74"/>
      <c r="N560" s="74"/>
      <c r="O560" s="74"/>
      <c r="P560" s="74"/>
      <c r="Q560" s="74"/>
      <c r="R560" s="74"/>
      <c r="S560" s="74"/>
      <c r="T560" s="74"/>
      <c r="U560" s="74"/>
      <c r="V560" s="74"/>
      <c r="W560" s="74"/>
      <c r="X560" s="74"/>
      <c r="Y560" s="74"/>
    </row>
    <row r="561" spans="1:25" ht="33.6">
      <c r="A561" s="74"/>
      <c r="B561" s="91" t="str">
        <f t="shared" si="65"/>
        <v/>
      </c>
      <c r="C561" s="94"/>
      <c r="D561" s="18"/>
      <c r="E561" s="104" t="s">
        <v>683</v>
      </c>
      <c r="F561" s="91" t="str">
        <f t="shared" si="66"/>
        <v/>
      </c>
      <c r="G561" s="91" t="str">
        <f t="shared" si="67"/>
        <v/>
      </c>
      <c r="H561" s="91" t="str">
        <f t="shared" si="71"/>
        <v/>
      </c>
      <c r="I561" s="79">
        <f t="shared" si="72"/>
        <v>83</v>
      </c>
      <c r="J561" s="74"/>
      <c r="K561" s="74"/>
      <c r="L561" s="75"/>
      <c r="M561" s="74"/>
      <c r="N561" s="74"/>
      <c r="O561" s="74"/>
      <c r="P561" s="74"/>
      <c r="Q561" s="74"/>
      <c r="R561" s="74"/>
      <c r="S561" s="74"/>
      <c r="T561" s="74"/>
      <c r="U561" s="74"/>
      <c r="V561" s="74"/>
      <c r="W561" s="74"/>
      <c r="X561" s="74"/>
      <c r="Y561" s="74"/>
    </row>
    <row r="562" spans="1:25" ht="50.45">
      <c r="A562" s="74"/>
      <c r="B562" s="91" t="str">
        <f t="shared" si="65"/>
        <v/>
      </c>
      <c r="C562" s="94"/>
      <c r="D562" s="18"/>
      <c r="E562" s="104" t="s">
        <v>684</v>
      </c>
      <c r="F562" s="91" t="str">
        <f t="shared" si="66"/>
        <v/>
      </c>
      <c r="G562" s="91" t="str">
        <f t="shared" si="67"/>
        <v/>
      </c>
      <c r="H562" s="91" t="str">
        <f t="shared" si="71"/>
        <v/>
      </c>
      <c r="I562" s="79">
        <f t="shared" si="72"/>
        <v>83</v>
      </c>
      <c r="J562" s="74"/>
      <c r="K562" s="74"/>
      <c r="L562" s="75"/>
      <c r="M562" s="74"/>
      <c r="N562" s="74"/>
      <c r="O562" s="74"/>
      <c r="P562" s="74"/>
      <c r="Q562" s="74"/>
      <c r="R562" s="74"/>
      <c r="S562" s="74"/>
      <c r="T562" s="74"/>
      <c r="U562" s="74"/>
      <c r="V562" s="74"/>
      <c r="W562" s="74"/>
      <c r="X562" s="74"/>
      <c r="Y562" s="74"/>
    </row>
    <row r="563" spans="1:25" ht="33.6">
      <c r="A563" s="74"/>
      <c r="B563" s="91" t="str">
        <f t="shared" si="65"/>
        <v/>
      </c>
      <c r="C563" s="94"/>
      <c r="D563" s="18"/>
      <c r="E563" s="104" t="s">
        <v>685</v>
      </c>
      <c r="F563" s="91" t="str">
        <f t="shared" si="66"/>
        <v/>
      </c>
      <c r="G563" s="91" t="str">
        <f t="shared" si="67"/>
        <v/>
      </c>
      <c r="H563" s="91" t="str">
        <f t="shared" si="71"/>
        <v/>
      </c>
      <c r="I563" s="79">
        <f t="shared" si="72"/>
        <v>83</v>
      </c>
      <c r="J563" s="74"/>
      <c r="K563" s="74"/>
      <c r="L563" s="75"/>
      <c r="M563" s="74"/>
      <c r="N563" s="74"/>
      <c r="O563" s="74"/>
      <c r="P563" s="74"/>
      <c r="Q563" s="74"/>
      <c r="R563" s="74"/>
      <c r="S563" s="74"/>
      <c r="T563" s="74"/>
      <c r="U563" s="74"/>
      <c r="V563" s="74"/>
      <c r="W563" s="74"/>
      <c r="X563" s="74"/>
      <c r="Y563" s="74"/>
    </row>
    <row r="564" spans="1:25" ht="18">
      <c r="A564" s="74"/>
      <c r="B564" s="79">
        <f t="shared" si="65"/>
        <v>84</v>
      </c>
      <c r="C564" s="104" t="s">
        <v>686</v>
      </c>
      <c r="D564" s="18" t="s">
        <v>623</v>
      </c>
      <c r="E564" s="94"/>
      <c r="F564" s="91" t="str">
        <f t="shared" si="66"/>
        <v>B</v>
      </c>
      <c r="G564" s="91" t="str">
        <f t="shared" si="67"/>
        <v>Trung bình</v>
      </c>
      <c r="H564" s="91">
        <f t="shared" si="71"/>
        <v>4</v>
      </c>
      <c r="I564" s="79" t="str">
        <f t="shared" si="72"/>
        <v/>
      </c>
      <c r="J564" s="74"/>
      <c r="K564" s="74"/>
      <c r="L564" s="75"/>
      <c r="M564" s="74"/>
      <c r="N564" s="74"/>
      <c r="O564" s="74"/>
      <c r="P564" s="74"/>
      <c r="Q564" s="74"/>
      <c r="R564" s="74"/>
      <c r="S564" s="74"/>
      <c r="T564" s="74"/>
      <c r="U564" s="74"/>
      <c r="V564" s="74"/>
      <c r="W564" s="74"/>
      <c r="X564" s="74"/>
      <c r="Y564" s="74"/>
    </row>
    <row r="565" spans="1:25" ht="33.6">
      <c r="A565" s="74"/>
      <c r="B565" s="91" t="str">
        <f t="shared" si="65"/>
        <v/>
      </c>
      <c r="C565" s="92"/>
      <c r="D565" s="18"/>
      <c r="E565" s="104" t="s">
        <v>687</v>
      </c>
      <c r="F565" s="91" t="str">
        <f t="shared" si="66"/>
        <v/>
      </c>
      <c r="G565" s="91" t="str">
        <f t="shared" si="67"/>
        <v/>
      </c>
      <c r="H565" s="91" t="str">
        <f t="shared" si="71"/>
        <v/>
      </c>
      <c r="I565" s="79">
        <f t="shared" si="72"/>
        <v>84</v>
      </c>
      <c r="J565" s="74"/>
      <c r="K565" s="74"/>
      <c r="L565" s="75"/>
      <c r="M565" s="74"/>
      <c r="N565" s="74"/>
      <c r="O565" s="74"/>
      <c r="P565" s="74"/>
      <c r="Q565" s="74"/>
      <c r="R565" s="74"/>
      <c r="S565" s="74"/>
      <c r="T565" s="74"/>
      <c r="U565" s="74"/>
      <c r="V565" s="74"/>
      <c r="W565" s="74"/>
      <c r="X565" s="74"/>
      <c r="Y565" s="74"/>
    </row>
    <row r="566" spans="1:25" ht="33.6">
      <c r="A566" s="74"/>
      <c r="B566" s="91" t="str">
        <f t="shared" si="65"/>
        <v/>
      </c>
      <c r="C566" s="92"/>
      <c r="D566" s="18"/>
      <c r="E566" s="104" t="s">
        <v>688</v>
      </c>
      <c r="F566" s="91" t="str">
        <f t="shared" si="66"/>
        <v/>
      </c>
      <c r="G566" s="91" t="str">
        <f t="shared" si="67"/>
        <v/>
      </c>
      <c r="H566" s="91" t="str">
        <f t="shared" si="71"/>
        <v/>
      </c>
      <c r="I566" s="79">
        <f t="shared" si="72"/>
        <v>84</v>
      </c>
      <c r="J566" s="74"/>
      <c r="K566" s="74"/>
      <c r="L566" s="75"/>
      <c r="M566" s="74"/>
      <c r="N566" s="74"/>
      <c r="O566" s="74"/>
      <c r="P566" s="74"/>
      <c r="Q566" s="74"/>
      <c r="R566" s="74"/>
      <c r="S566" s="74"/>
      <c r="T566" s="74"/>
      <c r="U566" s="74"/>
      <c r="V566" s="74"/>
      <c r="W566" s="74"/>
      <c r="X566" s="74"/>
      <c r="Y566" s="74"/>
    </row>
    <row r="567" spans="1:25" ht="50.45">
      <c r="A567" s="74"/>
      <c r="B567" s="91" t="str">
        <f t="shared" si="65"/>
        <v/>
      </c>
      <c r="C567" s="92"/>
      <c r="D567" s="18"/>
      <c r="E567" s="104" t="s">
        <v>689</v>
      </c>
      <c r="F567" s="91" t="str">
        <f t="shared" si="66"/>
        <v/>
      </c>
      <c r="G567" s="91" t="str">
        <f t="shared" si="67"/>
        <v/>
      </c>
      <c r="H567" s="91" t="str">
        <f t="shared" si="71"/>
        <v/>
      </c>
      <c r="I567" s="79">
        <f t="shared" si="72"/>
        <v>84</v>
      </c>
      <c r="J567" s="74"/>
      <c r="K567" s="74"/>
      <c r="L567" s="75"/>
      <c r="M567" s="74"/>
      <c r="N567" s="74"/>
      <c r="O567" s="74"/>
      <c r="P567" s="74"/>
      <c r="Q567" s="74"/>
      <c r="R567" s="74"/>
      <c r="S567" s="74"/>
      <c r="T567" s="74"/>
      <c r="U567" s="74"/>
      <c r="V567" s="74"/>
      <c r="W567" s="74"/>
      <c r="X567" s="74"/>
      <c r="Y567" s="74"/>
    </row>
    <row r="568" spans="1:25" ht="33.6">
      <c r="A568" s="74"/>
      <c r="B568" s="91" t="str">
        <f t="shared" si="65"/>
        <v/>
      </c>
      <c r="C568" s="92"/>
      <c r="D568" s="18"/>
      <c r="E568" s="104" t="s">
        <v>656</v>
      </c>
      <c r="F568" s="91" t="str">
        <f t="shared" si="66"/>
        <v/>
      </c>
      <c r="G568" s="91" t="str">
        <f t="shared" si="67"/>
        <v/>
      </c>
      <c r="H568" s="91" t="str">
        <f t="shared" si="71"/>
        <v/>
      </c>
      <c r="I568" s="79">
        <f t="shared" si="72"/>
        <v>84</v>
      </c>
      <c r="J568" s="74"/>
      <c r="K568" s="74"/>
      <c r="L568" s="75"/>
      <c r="M568" s="74"/>
      <c r="N568" s="74"/>
      <c r="O568" s="74"/>
      <c r="P568" s="74"/>
      <c r="Q568" s="74"/>
      <c r="R568" s="74"/>
      <c r="S568" s="74"/>
      <c r="T568" s="74"/>
      <c r="U568" s="74"/>
      <c r="V568" s="74"/>
      <c r="W568" s="74"/>
      <c r="X568" s="74"/>
      <c r="Y568" s="74"/>
    </row>
    <row r="569" spans="1:25" ht="18">
      <c r="A569" s="74"/>
      <c r="B569" s="79">
        <f t="shared" si="65"/>
        <v>85</v>
      </c>
      <c r="C569" s="104" t="s">
        <v>690</v>
      </c>
      <c r="D569" s="18" t="s">
        <v>623</v>
      </c>
      <c r="E569" s="94"/>
      <c r="F569" s="91" t="str">
        <f t="shared" si="66"/>
        <v>B</v>
      </c>
      <c r="G569" s="91" t="str">
        <f t="shared" si="67"/>
        <v>Đơn giản</v>
      </c>
      <c r="H569" s="91">
        <f t="shared" ref="H569:H643" si="73">IF(AND(B569&lt;&gt;"",C569&lt;&gt;"",D569&lt;&gt;""),COUNTIF(I569:I1631,B569),"")</f>
        <v>3</v>
      </c>
      <c r="I569" s="79" t="str">
        <f>IF(OR(E569="",B569&lt;&gt;""),"",IF(#REF!&lt;&gt;"",#REF!,#REF!))</f>
        <v/>
      </c>
      <c r="J569" s="74"/>
      <c r="K569" s="74"/>
      <c r="L569" s="75"/>
      <c r="M569" s="74"/>
      <c r="N569" s="74"/>
      <c r="O569" s="74"/>
      <c r="P569" s="74"/>
      <c r="Q569" s="74"/>
      <c r="R569" s="74"/>
      <c r="S569" s="74"/>
      <c r="T569" s="74"/>
      <c r="U569" s="74"/>
      <c r="V569" s="74"/>
      <c r="W569" s="74"/>
      <c r="X569" s="74"/>
      <c r="Y569" s="74"/>
    </row>
    <row r="570" spans="1:25" ht="33.6">
      <c r="A570" s="74"/>
      <c r="B570" s="91" t="str">
        <f t="shared" si="65"/>
        <v/>
      </c>
      <c r="C570" s="94"/>
      <c r="D570" s="18"/>
      <c r="E570" s="104" t="s">
        <v>691</v>
      </c>
      <c r="F570" s="91" t="str">
        <f t="shared" si="66"/>
        <v/>
      </c>
      <c r="G570" s="91" t="str">
        <f t="shared" si="67"/>
        <v/>
      </c>
      <c r="H570" s="91" t="str">
        <f t="shared" si="73"/>
        <v/>
      </c>
      <c r="I570" s="79">
        <f t="shared" ref="I570:I643" si="74">IF(OR(E570="",B570&lt;&gt;""),"",IF(I569&lt;&gt;"",I569,B569))</f>
        <v>85</v>
      </c>
      <c r="J570" s="74"/>
      <c r="K570" s="74"/>
      <c r="L570" s="75"/>
      <c r="M570" s="74"/>
      <c r="N570" s="74"/>
      <c r="O570" s="74"/>
      <c r="P570" s="74"/>
      <c r="Q570" s="74"/>
      <c r="R570" s="74"/>
      <c r="S570" s="74"/>
      <c r="T570" s="74"/>
      <c r="U570" s="74"/>
      <c r="V570" s="74"/>
      <c r="W570" s="74"/>
      <c r="X570" s="74"/>
      <c r="Y570" s="74"/>
    </row>
    <row r="571" spans="1:25" ht="33.6">
      <c r="A571" s="74"/>
      <c r="B571" s="91" t="str">
        <f t="shared" si="65"/>
        <v/>
      </c>
      <c r="C571" s="94"/>
      <c r="D571" s="18"/>
      <c r="E571" s="104" t="s">
        <v>692</v>
      </c>
      <c r="F571" s="91" t="str">
        <f t="shared" si="66"/>
        <v/>
      </c>
      <c r="G571" s="91" t="str">
        <f t="shared" si="67"/>
        <v/>
      </c>
      <c r="H571" s="91" t="str">
        <f t="shared" si="73"/>
        <v/>
      </c>
      <c r="I571" s="79">
        <f t="shared" si="74"/>
        <v>85</v>
      </c>
      <c r="J571" s="74"/>
      <c r="K571" s="74"/>
      <c r="L571" s="75"/>
      <c r="M571" s="74"/>
      <c r="N571" s="74"/>
      <c r="O571" s="74"/>
      <c r="P571" s="74"/>
      <c r="Q571" s="74"/>
      <c r="R571" s="74"/>
      <c r="S571" s="74"/>
      <c r="T571" s="74"/>
      <c r="U571" s="74"/>
      <c r="V571" s="74"/>
      <c r="W571" s="74"/>
      <c r="X571" s="74"/>
      <c r="Y571" s="74"/>
    </row>
    <row r="572" spans="1:25" ht="33.6">
      <c r="A572" s="74"/>
      <c r="B572" s="91" t="str">
        <f t="shared" si="65"/>
        <v/>
      </c>
      <c r="C572" s="94"/>
      <c r="D572" s="18"/>
      <c r="E572" s="104" t="s">
        <v>693</v>
      </c>
      <c r="F572" s="91" t="str">
        <f t="shared" si="66"/>
        <v/>
      </c>
      <c r="G572" s="91" t="str">
        <f t="shared" si="67"/>
        <v/>
      </c>
      <c r="H572" s="91" t="str">
        <f t="shared" si="73"/>
        <v/>
      </c>
      <c r="I572" s="79">
        <f t="shared" si="74"/>
        <v>85</v>
      </c>
      <c r="J572" s="74"/>
      <c r="K572" s="74"/>
      <c r="L572" s="75"/>
      <c r="M572" s="74"/>
      <c r="N572" s="74"/>
      <c r="O572" s="74"/>
      <c r="P572" s="74"/>
      <c r="Q572" s="74"/>
      <c r="R572" s="74"/>
      <c r="S572" s="74"/>
      <c r="T572" s="74"/>
      <c r="U572" s="74"/>
      <c r="V572" s="74"/>
      <c r="W572" s="74"/>
      <c r="X572" s="74"/>
      <c r="Y572" s="74"/>
    </row>
    <row r="573" spans="1:25" ht="18">
      <c r="A573" s="74"/>
      <c r="B573" s="79">
        <f t="shared" si="65"/>
        <v>86</v>
      </c>
      <c r="C573" s="104" t="s">
        <v>694</v>
      </c>
      <c r="D573" s="18" t="s">
        <v>623</v>
      </c>
      <c r="E573" s="94"/>
      <c r="F573" s="91" t="str">
        <f t="shared" si="66"/>
        <v>B</v>
      </c>
      <c r="G573" s="91" t="str">
        <f t="shared" si="67"/>
        <v>Đơn giản</v>
      </c>
      <c r="H573" s="91">
        <f t="shared" si="73"/>
        <v>2</v>
      </c>
      <c r="I573" s="79" t="str">
        <f t="shared" si="74"/>
        <v/>
      </c>
      <c r="J573" s="74"/>
      <c r="K573" s="74"/>
      <c r="L573" s="75"/>
      <c r="M573" s="74"/>
      <c r="N573" s="74"/>
      <c r="O573" s="74"/>
      <c r="P573" s="74"/>
      <c r="Q573" s="74"/>
      <c r="R573" s="74"/>
      <c r="S573" s="74"/>
      <c r="T573" s="74"/>
      <c r="U573" s="74"/>
      <c r="V573" s="74"/>
      <c r="W573" s="74"/>
      <c r="X573" s="74"/>
      <c r="Y573" s="74"/>
    </row>
    <row r="574" spans="1:25" ht="33.6">
      <c r="A574" s="74"/>
      <c r="B574" s="91" t="str">
        <f t="shared" si="65"/>
        <v/>
      </c>
      <c r="C574" s="94"/>
      <c r="D574" s="18"/>
      <c r="E574" s="104" t="s">
        <v>695</v>
      </c>
      <c r="F574" s="91" t="str">
        <f t="shared" si="66"/>
        <v/>
      </c>
      <c r="G574" s="91" t="str">
        <f t="shared" si="67"/>
        <v/>
      </c>
      <c r="H574" s="91" t="str">
        <f t="shared" si="73"/>
        <v/>
      </c>
      <c r="I574" s="79">
        <f t="shared" si="74"/>
        <v>86</v>
      </c>
      <c r="J574" s="74"/>
      <c r="K574" s="74"/>
      <c r="L574" s="75"/>
      <c r="M574" s="74"/>
      <c r="N574" s="74"/>
      <c r="O574" s="74"/>
      <c r="P574" s="74"/>
      <c r="Q574" s="74"/>
      <c r="R574" s="74"/>
      <c r="S574" s="74"/>
      <c r="T574" s="74"/>
      <c r="U574" s="74"/>
      <c r="V574" s="74"/>
      <c r="W574" s="74"/>
      <c r="X574" s="74"/>
      <c r="Y574" s="74"/>
    </row>
    <row r="575" spans="1:25" ht="33.6">
      <c r="A575" s="74"/>
      <c r="B575" s="91" t="str">
        <f t="shared" si="65"/>
        <v/>
      </c>
      <c r="C575" s="94"/>
      <c r="D575" s="18"/>
      <c r="E575" s="104" t="s">
        <v>696</v>
      </c>
      <c r="F575" s="91" t="str">
        <f t="shared" si="66"/>
        <v/>
      </c>
      <c r="G575" s="91" t="str">
        <f t="shared" si="67"/>
        <v/>
      </c>
      <c r="H575" s="91" t="str">
        <f t="shared" si="73"/>
        <v/>
      </c>
      <c r="I575" s="79">
        <f t="shared" si="74"/>
        <v>86</v>
      </c>
      <c r="J575" s="74"/>
      <c r="K575" s="74"/>
      <c r="L575" s="75"/>
      <c r="M575" s="74"/>
      <c r="N575" s="74"/>
      <c r="O575" s="74"/>
      <c r="P575" s="74"/>
      <c r="Q575" s="74"/>
      <c r="R575" s="74"/>
      <c r="S575" s="74"/>
      <c r="T575" s="74"/>
      <c r="U575" s="74"/>
      <c r="V575" s="74"/>
      <c r="W575" s="74"/>
      <c r="X575" s="74"/>
      <c r="Y575" s="74"/>
    </row>
    <row r="576" spans="1:25" ht="18">
      <c r="A576" s="74"/>
      <c r="B576" s="79">
        <f t="shared" si="65"/>
        <v>87</v>
      </c>
      <c r="C576" s="104" t="s">
        <v>697</v>
      </c>
      <c r="D576" s="18" t="s">
        <v>623</v>
      </c>
      <c r="E576" s="94"/>
      <c r="F576" s="91" t="str">
        <f t="shared" si="66"/>
        <v>B</v>
      </c>
      <c r="G576" s="91" t="str">
        <f t="shared" si="67"/>
        <v>Trung bình</v>
      </c>
      <c r="H576" s="91">
        <f t="shared" si="73"/>
        <v>4</v>
      </c>
      <c r="I576" s="79" t="str">
        <f t="shared" si="74"/>
        <v/>
      </c>
      <c r="J576" s="74"/>
      <c r="K576" s="74"/>
      <c r="L576" s="75"/>
      <c r="M576" s="74"/>
      <c r="N576" s="74"/>
      <c r="O576" s="74"/>
      <c r="P576" s="74"/>
      <c r="Q576" s="74"/>
      <c r="R576" s="74"/>
      <c r="S576" s="74"/>
      <c r="T576" s="74"/>
      <c r="U576" s="74"/>
      <c r="V576" s="74"/>
      <c r="W576" s="74"/>
      <c r="X576" s="74"/>
      <c r="Y576" s="74"/>
    </row>
    <row r="577" spans="1:25" ht="33.6">
      <c r="A577" s="74"/>
      <c r="B577" s="91" t="str">
        <f t="shared" si="65"/>
        <v/>
      </c>
      <c r="C577" s="94"/>
      <c r="D577" s="18"/>
      <c r="E577" s="104" t="s">
        <v>698</v>
      </c>
      <c r="F577" s="91" t="str">
        <f t="shared" si="66"/>
        <v/>
      </c>
      <c r="G577" s="91" t="str">
        <f t="shared" si="67"/>
        <v/>
      </c>
      <c r="H577" s="91" t="str">
        <f t="shared" si="73"/>
        <v/>
      </c>
      <c r="I577" s="79">
        <f t="shared" si="74"/>
        <v>87</v>
      </c>
      <c r="J577" s="74"/>
      <c r="K577" s="74"/>
      <c r="L577" s="75"/>
      <c r="M577" s="74"/>
      <c r="N577" s="74"/>
      <c r="O577" s="74"/>
      <c r="P577" s="74"/>
      <c r="Q577" s="74"/>
      <c r="R577" s="74"/>
      <c r="S577" s="74"/>
      <c r="T577" s="74"/>
      <c r="U577" s="74"/>
      <c r="V577" s="74"/>
      <c r="W577" s="74"/>
      <c r="X577" s="74"/>
      <c r="Y577" s="74"/>
    </row>
    <row r="578" spans="1:25" ht="33.6">
      <c r="A578" s="74"/>
      <c r="B578" s="91" t="str">
        <f t="shared" si="65"/>
        <v/>
      </c>
      <c r="C578" s="94"/>
      <c r="D578" s="18"/>
      <c r="E578" s="104" t="s">
        <v>699</v>
      </c>
      <c r="F578" s="91" t="str">
        <f t="shared" si="66"/>
        <v/>
      </c>
      <c r="G578" s="91" t="str">
        <f t="shared" si="67"/>
        <v/>
      </c>
      <c r="H578" s="91" t="str">
        <f t="shared" si="73"/>
        <v/>
      </c>
      <c r="I578" s="79">
        <f t="shared" si="74"/>
        <v>87</v>
      </c>
      <c r="J578" s="74"/>
      <c r="K578" s="74"/>
      <c r="L578" s="75"/>
      <c r="M578" s="74"/>
      <c r="N578" s="74"/>
      <c r="O578" s="74"/>
      <c r="P578" s="74"/>
      <c r="Q578" s="74"/>
      <c r="R578" s="74"/>
      <c r="S578" s="74"/>
      <c r="T578" s="74"/>
      <c r="U578" s="74"/>
      <c r="V578" s="74"/>
      <c r="W578" s="74"/>
      <c r="X578" s="74"/>
      <c r="Y578" s="74"/>
    </row>
    <row r="579" spans="1:25" ht="33.6">
      <c r="A579" s="74"/>
      <c r="B579" s="91" t="str">
        <f t="shared" si="65"/>
        <v/>
      </c>
      <c r="C579" s="94"/>
      <c r="D579" s="18"/>
      <c r="E579" s="104" t="s">
        <v>700</v>
      </c>
      <c r="F579" s="91" t="str">
        <f t="shared" si="66"/>
        <v/>
      </c>
      <c r="G579" s="91" t="str">
        <f t="shared" si="67"/>
        <v/>
      </c>
      <c r="H579" s="91" t="str">
        <f t="shared" si="73"/>
        <v/>
      </c>
      <c r="I579" s="79">
        <f t="shared" si="74"/>
        <v>87</v>
      </c>
      <c r="J579" s="74"/>
      <c r="K579" s="74"/>
      <c r="L579" s="75"/>
      <c r="M579" s="74"/>
      <c r="N579" s="74"/>
      <c r="O579" s="74"/>
      <c r="P579" s="74"/>
      <c r="Q579" s="74"/>
      <c r="R579" s="74"/>
      <c r="S579" s="74"/>
      <c r="T579" s="74"/>
      <c r="U579" s="74"/>
      <c r="V579" s="74"/>
      <c r="W579" s="74"/>
      <c r="X579" s="74"/>
      <c r="Y579" s="74"/>
    </row>
    <row r="580" spans="1:25" ht="33.6">
      <c r="A580" s="74"/>
      <c r="B580" s="91" t="str">
        <f t="shared" si="65"/>
        <v/>
      </c>
      <c r="C580" s="94"/>
      <c r="D580" s="18"/>
      <c r="E580" s="104" t="s">
        <v>701</v>
      </c>
      <c r="F580" s="91" t="str">
        <f t="shared" si="66"/>
        <v/>
      </c>
      <c r="G580" s="91" t="str">
        <f t="shared" si="67"/>
        <v/>
      </c>
      <c r="H580" s="91" t="str">
        <f t="shared" si="73"/>
        <v/>
      </c>
      <c r="I580" s="79">
        <f t="shared" si="74"/>
        <v>87</v>
      </c>
      <c r="J580" s="74"/>
      <c r="K580" s="74"/>
      <c r="L580" s="75"/>
      <c r="M580" s="74"/>
      <c r="N580" s="74"/>
      <c r="O580" s="74"/>
      <c r="P580" s="74"/>
      <c r="Q580" s="74"/>
      <c r="R580" s="74"/>
      <c r="S580" s="74"/>
      <c r="T580" s="74"/>
      <c r="U580" s="74"/>
      <c r="V580" s="74"/>
      <c r="W580" s="74"/>
      <c r="X580" s="74"/>
      <c r="Y580" s="74"/>
    </row>
    <row r="581" spans="1:25" ht="18">
      <c r="A581" s="74"/>
      <c r="B581" s="79">
        <f t="shared" si="65"/>
        <v>88</v>
      </c>
      <c r="C581" s="104" t="s">
        <v>702</v>
      </c>
      <c r="D581" s="18" t="s">
        <v>623</v>
      </c>
      <c r="E581" s="94"/>
      <c r="F581" s="91" t="str">
        <f t="shared" si="66"/>
        <v>B</v>
      </c>
      <c r="G581" s="91" t="str">
        <f t="shared" si="67"/>
        <v>Đơn giản</v>
      </c>
      <c r="H581" s="91">
        <f t="shared" si="73"/>
        <v>3</v>
      </c>
      <c r="I581" s="79" t="str">
        <f t="shared" si="74"/>
        <v/>
      </c>
      <c r="J581" s="74"/>
      <c r="K581" s="74"/>
      <c r="L581" s="75"/>
      <c r="M581" s="74"/>
      <c r="N581" s="74"/>
      <c r="O581" s="74"/>
      <c r="P581" s="74"/>
      <c r="Q581" s="74"/>
      <c r="R581" s="74"/>
      <c r="S581" s="74"/>
      <c r="T581" s="74"/>
      <c r="U581" s="74"/>
      <c r="V581" s="74"/>
      <c r="W581" s="74"/>
      <c r="X581" s="74"/>
      <c r="Y581" s="74"/>
    </row>
    <row r="582" spans="1:25" ht="33.6">
      <c r="A582" s="74"/>
      <c r="B582" s="91" t="str">
        <f t="shared" si="65"/>
        <v/>
      </c>
      <c r="C582" s="94"/>
      <c r="D582" s="18"/>
      <c r="E582" s="104" t="s">
        <v>703</v>
      </c>
      <c r="F582" s="91" t="str">
        <f t="shared" si="66"/>
        <v/>
      </c>
      <c r="G582" s="91" t="str">
        <f t="shared" si="67"/>
        <v/>
      </c>
      <c r="H582" s="91" t="str">
        <f t="shared" si="73"/>
        <v/>
      </c>
      <c r="I582" s="79">
        <f t="shared" si="74"/>
        <v>88</v>
      </c>
      <c r="J582" s="74"/>
      <c r="K582" s="74"/>
      <c r="L582" s="75"/>
      <c r="M582" s="74"/>
      <c r="N582" s="74"/>
      <c r="O582" s="74"/>
      <c r="P582" s="74"/>
      <c r="Q582" s="74"/>
      <c r="R582" s="74"/>
      <c r="S582" s="74"/>
      <c r="T582" s="74"/>
      <c r="U582" s="74"/>
      <c r="V582" s="74"/>
      <c r="W582" s="74"/>
      <c r="X582" s="74"/>
      <c r="Y582" s="74"/>
    </row>
    <row r="583" spans="1:25" ht="33.6">
      <c r="A583" s="74"/>
      <c r="B583" s="91" t="str">
        <f t="shared" si="65"/>
        <v/>
      </c>
      <c r="C583" s="94"/>
      <c r="D583" s="18"/>
      <c r="E583" s="104" t="s">
        <v>704</v>
      </c>
      <c r="F583" s="91" t="str">
        <f t="shared" si="66"/>
        <v/>
      </c>
      <c r="G583" s="91" t="str">
        <f t="shared" si="67"/>
        <v/>
      </c>
      <c r="H583" s="91" t="str">
        <f t="shared" si="73"/>
        <v/>
      </c>
      <c r="I583" s="79">
        <f t="shared" si="74"/>
        <v>88</v>
      </c>
      <c r="J583" s="74"/>
      <c r="K583" s="74"/>
      <c r="L583" s="75"/>
      <c r="M583" s="74"/>
      <c r="N583" s="74"/>
      <c r="O583" s="74"/>
      <c r="P583" s="74"/>
      <c r="Q583" s="74"/>
      <c r="R583" s="74"/>
      <c r="S583" s="74"/>
      <c r="T583" s="74"/>
      <c r="U583" s="74"/>
      <c r="V583" s="74"/>
      <c r="W583" s="74"/>
      <c r="X583" s="74"/>
      <c r="Y583" s="74"/>
    </row>
    <row r="584" spans="1:25" ht="33.6">
      <c r="A584" s="74"/>
      <c r="B584" s="91" t="str">
        <f t="shared" si="65"/>
        <v/>
      </c>
      <c r="C584" s="94"/>
      <c r="D584" s="18"/>
      <c r="E584" s="104" t="s">
        <v>705</v>
      </c>
      <c r="F584" s="91" t="str">
        <f t="shared" si="66"/>
        <v/>
      </c>
      <c r="G584" s="91" t="str">
        <f t="shared" si="67"/>
        <v/>
      </c>
      <c r="H584" s="91" t="str">
        <f t="shared" si="73"/>
        <v/>
      </c>
      <c r="I584" s="79">
        <f t="shared" si="74"/>
        <v>88</v>
      </c>
      <c r="J584" s="74"/>
      <c r="K584" s="74"/>
      <c r="L584" s="75"/>
      <c r="M584" s="74"/>
      <c r="N584" s="74"/>
      <c r="O584" s="74"/>
      <c r="P584" s="74"/>
      <c r="Q584" s="74"/>
      <c r="R584" s="74"/>
      <c r="S584" s="74"/>
      <c r="T584" s="74"/>
      <c r="U584" s="74"/>
      <c r="V584" s="74"/>
      <c r="W584" s="74"/>
      <c r="X584" s="74"/>
      <c r="Y584" s="74"/>
    </row>
    <row r="585" spans="1:25" ht="18">
      <c r="A585" s="74"/>
      <c r="B585" s="79">
        <f t="shared" si="65"/>
        <v>89</v>
      </c>
      <c r="C585" s="104" t="s">
        <v>706</v>
      </c>
      <c r="D585" s="18" t="s">
        <v>623</v>
      </c>
      <c r="E585" s="94"/>
      <c r="F585" s="91" t="str">
        <f t="shared" si="66"/>
        <v>B</v>
      </c>
      <c r="G585" s="91" t="str">
        <f t="shared" si="67"/>
        <v>Đơn giản</v>
      </c>
      <c r="H585" s="91">
        <f t="shared" si="73"/>
        <v>3</v>
      </c>
      <c r="I585" s="79" t="str">
        <f t="shared" si="74"/>
        <v/>
      </c>
      <c r="J585" s="74"/>
      <c r="K585" s="74"/>
      <c r="L585" s="75"/>
      <c r="M585" s="74"/>
      <c r="N585" s="74"/>
      <c r="O585" s="74"/>
      <c r="P585" s="74"/>
      <c r="Q585" s="74"/>
      <c r="R585" s="74"/>
      <c r="S585" s="74"/>
      <c r="T585" s="74"/>
      <c r="U585" s="74"/>
      <c r="V585" s="74"/>
      <c r="W585" s="74"/>
      <c r="X585" s="74"/>
      <c r="Y585" s="74"/>
    </row>
    <row r="586" spans="1:25" ht="33.6">
      <c r="A586" s="74"/>
      <c r="B586" s="91" t="str">
        <f t="shared" si="65"/>
        <v/>
      </c>
      <c r="C586" s="94"/>
      <c r="D586" s="18"/>
      <c r="E586" s="104" t="s">
        <v>707</v>
      </c>
      <c r="F586" s="91" t="str">
        <f t="shared" si="66"/>
        <v/>
      </c>
      <c r="G586" s="91" t="str">
        <f t="shared" si="67"/>
        <v/>
      </c>
      <c r="H586" s="91" t="str">
        <f t="shared" si="73"/>
        <v/>
      </c>
      <c r="I586" s="79">
        <f t="shared" si="74"/>
        <v>89</v>
      </c>
      <c r="J586" s="74"/>
      <c r="K586" s="74"/>
      <c r="L586" s="75"/>
      <c r="M586" s="74"/>
      <c r="N586" s="74"/>
      <c r="O586" s="74"/>
      <c r="P586" s="74"/>
      <c r="Q586" s="74"/>
      <c r="R586" s="74"/>
      <c r="S586" s="74"/>
      <c r="T586" s="74"/>
      <c r="U586" s="74"/>
      <c r="V586" s="74"/>
      <c r="W586" s="74"/>
      <c r="X586" s="74"/>
      <c r="Y586" s="74"/>
    </row>
    <row r="587" spans="1:25" ht="33.6">
      <c r="A587" s="74"/>
      <c r="B587" s="91" t="str">
        <f t="shared" si="65"/>
        <v/>
      </c>
      <c r="C587" s="94"/>
      <c r="D587" s="18"/>
      <c r="E587" s="104" t="s">
        <v>708</v>
      </c>
      <c r="F587" s="91" t="str">
        <f t="shared" si="66"/>
        <v/>
      </c>
      <c r="G587" s="91" t="str">
        <f t="shared" si="67"/>
        <v/>
      </c>
      <c r="H587" s="91" t="str">
        <f t="shared" si="73"/>
        <v/>
      </c>
      <c r="I587" s="79">
        <f t="shared" si="74"/>
        <v>89</v>
      </c>
      <c r="J587" s="74"/>
      <c r="K587" s="74"/>
      <c r="L587" s="75"/>
      <c r="M587" s="74"/>
      <c r="N587" s="74"/>
      <c r="O587" s="74"/>
      <c r="P587" s="74"/>
      <c r="Q587" s="74"/>
      <c r="R587" s="74"/>
      <c r="S587" s="74"/>
      <c r="T587" s="74"/>
      <c r="U587" s="74"/>
      <c r="V587" s="74"/>
      <c r="W587" s="74"/>
      <c r="X587" s="74"/>
      <c r="Y587" s="74"/>
    </row>
    <row r="588" spans="1:25" ht="33.6">
      <c r="A588" s="74"/>
      <c r="B588" s="91" t="str">
        <f t="shared" si="65"/>
        <v/>
      </c>
      <c r="C588" s="94"/>
      <c r="D588" s="18"/>
      <c r="E588" s="104" t="s">
        <v>709</v>
      </c>
      <c r="F588" s="91" t="str">
        <f t="shared" si="66"/>
        <v/>
      </c>
      <c r="G588" s="91" t="str">
        <f t="shared" si="67"/>
        <v/>
      </c>
      <c r="H588" s="91" t="str">
        <f t="shared" si="73"/>
        <v/>
      </c>
      <c r="I588" s="79">
        <f t="shared" si="74"/>
        <v>89</v>
      </c>
      <c r="J588" s="74"/>
      <c r="K588" s="74"/>
      <c r="L588" s="75"/>
      <c r="M588" s="74"/>
      <c r="N588" s="74"/>
      <c r="O588" s="74"/>
      <c r="P588" s="74"/>
      <c r="Q588" s="74"/>
      <c r="R588" s="74"/>
      <c r="S588" s="74"/>
      <c r="T588" s="74"/>
      <c r="U588" s="74"/>
      <c r="V588" s="74"/>
      <c r="W588" s="74"/>
      <c r="X588" s="74"/>
      <c r="Y588" s="74"/>
    </row>
    <row r="589" spans="1:25" ht="18">
      <c r="A589" s="74"/>
      <c r="B589" s="79">
        <f t="shared" si="65"/>
        <v>90</v>
      </c>
      <c r="C589" s="104" t="s">
        <v>710</v>
      </c>
      <c r="D589" s="18" t="s">
        <v>623</v>
      </c>
      <c r="E589" s="94"/>
      <c r="F589" s="91" t="str">
        <f t="shared" si="66"/>
        <v>B</v>
      </c>
      <c r="G589" s="91" t="str">
        <f t="shared" si="67"/>
        <v>Đơn giản</v>
      </c>
      <c r="H589" s="91">
        <f t="shared" si="73"/>
        <v>3</v>
      </c>
      <c r="I589" s="79" t="str">
        <f t="shared" si="74"/>
        <v/>
      </c>
      <c r="J589" s="74"/>
      <c r="K589" s="74"/>
      <c r="L589" s="75"/>
      <c r="M589" s="74"/>
      <c r="N589" s="74"/>
      <c r="O589" s="74"/>
      <c r="P589" s="74"/>
      <c r="Q589" s="74"/>
      <c r="R589" s="74"/>
      <c r="S589" s="74"/>
      <c r="T589" s="74"/>
      <c r="U589" s="74"/>
      <c r="V589" s="74"/>
      <c r="W589" s="74"/>
      <c r="X589" s="74"/>
      <c r="Y589" s="74"/>
    </row>
    <row r="590" spans="1:25" ht="33.6">
      <c r="A590" s="74"/>
      <c r="B590" s="91" t="str">
        <f t="shared" si="65"/>
        <v/>
      </c>
      <c r="C590" s="94"/>
      <c r="D590" s="18"/>
      <c r="E590" s="104" t="s">
        <v>707</v>
      </c>
      <c r="F590" s="91" t="str">
        <f t="shared" si="66"/>
        <v/>
      </c>
      <c r="G590" s="91" t="str">
        <f t="shared" si="67"/>
        <v/>
      </c>
      <c r="H590" s="91" t="str">
        <f t="shared" si="73"/>
        <v/>
      </c>
      <c r="I590" s="79">
        <f t="shared" si="74"/>
        <v>90</v>
      </c>
      <c r="J590" s="74"/>
      <c r="K590" s="74"/>
      <c r="L590" s="75"/>
      <c r="M590" s="74"/>
      <c r="N590" s="74"/>
      <c r="O590" s="74"/>
      <c r="P590" s="74"/>
      <c r="Q590" s="74"/>
      <c r="R590" s="74"/>
      <c r="S590" s="74"/>
      <c r="T590" s="74"/>
      <c r="U590" s="74"/>
      <c r="V590" s="74"/>
      <c r="W590" s="74"/>
      <c r="X590" s="74"/>
      <c r="Y590" s="74"/>
    </row>
    <row r="591" spans="1:25" ht="33.6">
      <c r="A591" s="74"/>
      <c r="B591" s="91" t="str">
        <f t="shared" si="65"/>
        <v/>
      </c>
      <c r="C591" s="94"/>
      <c r="D591" s="18"/>
      <c r="E591" s="104" t="s">
        <v>711</v>
      </c>
      <c r="F591" s="91" t="str">
        <f t="shared" si="66"/>
        <v/>
      </c>
      <c r="G591" s="91" t="str">
        <f t="shared" si="67"/>
        <v/>
      </c>
      <c r="H591" s="91" t="str">
        <f t="shared" si="73"/>
        <v/>
      </c>
      <c r="I591" s="79">
        <f t="shared" si="74"/>
        <v>90</v>
      </c>
      <c r="J591" s="74"/>
      <c r="K591" s="74"/>
      <c r="L591" s="75"/>
      <c r="M591" s="74"/>
      <c r="N591" s="74"/>
      <c r="O591" s="74"/>
      <c r="P591" s="74"/>
      <c r="Q591" s="74"/>
      <c r="R591" s="74"/>
      <c r="S591" s="74"/>
      <c r="T591" s="74"/>
      <c r="U591" s="74"/>
      <c r="V591" s="74"/>
      <c r="W591" s="74"/>
      <c r="X591" s="74"/>
      <c r="Y591" s="74"/>
    </row>
    <row r="592" spans="1:25" ht="33.6">
      <c r="A592" s="74"/>
      <c r="B592" s="91" t="str">
        <f t="shared" si="65"/>
        <v/>
      </c>
      <c r="C592" s="94"/>
      <c r="D592" s="18"/>
      <c r="E592" s="104" t="s">
        <v>712</v>
      </c>
      <c r="F592" s="91" t="str">
        <f t="shared" si="66"/>
        <v/>
      </c>
      <c r="G592" s="91" t="str">
        <f t="shared" si="67"/>
        <v/>
      </c>
      <c r="H592" s="91" t="str">
        <f t="shared" si="73"/>
        <v/>
      </c>
      <c r="I592" s="79">
        <f t="shared" si="74"/>
        <v>90</v>
      </c>
      <c r="J592" s="74"/>
      <c r="K592" s="74"/>
      <c r="L592" s="75"/>
      <c r="M592" s="74"/>
      <c r="N592" s="74"/>
      <c r="O592" s="74"/>
      <c r="P592" s="74"/>
      <c r="Q592" s="74"/>
      <c r="R592" s="74"/>
      <c r="S592" s="74"/>
      <c r="T592" s="74"/>
      <c r="U592" s="74"/>
      <c r="V592" s="74"/>
      <c r="W592" s="74"/>
      <c r="X592" s="74"/>
      <c r="Y592" s="74"/>
    </row>
    <row r="593" spans="1:25" ht="18">
      <c r="A593" s="74"/>
      <c r="B593" s="79">
        <f t="shared" si="65"/>
        <v>91</v>
      </c>
      <c r="C593" s="104" t="s">
        <v>713</v>
      </c>
      <c r="D593" s="18" t="s">
        <v>623</v>
      </c>
      <c r="E593" s="94"/>
      <c r="F593" s="91" t="str">
        <f t="shared" si="66"/>
        <v>B</v>
      </c>
      <c r="G593" s="91" t="str">
        <f t="shared" si="67"/>
        <v>Đơn giản</v>
      </c>
      <c r="H593" s="91">
        <f t="shared" si="73"/>
        <v>3</v>
      </c>
      <c r="I593" s="79" t="str">
        <f t="shared" si="74"/>
        <v/>
      </c>
      <c r="J593" s="74"/>
      <c r="K593" s="74"/>
      <c r="L593" s="75"/>
      <c r="M593" s="74"/>
      <c r="N593" s="74"/>
      <c r="O593" s="74"/>
      <c r="P593" s="74"/>
      <c r="Q593" s="74"/>
      <c r="R593" s="74"/>
      <c r="S593" s="74"/>
      <c r="T593" s="74"/>
      <c r="U593" s="74"/>
      <c r="V593" s="74"/>
      <c r="W593" s="74"/>
      <c r="X593" s="74"/>
      <c r="Y593" s="74"/>
    </row>
    <row r="594" spans="1:25" ht="50.45">
      <c r="A594" s="74"/>
      <c r="B594" s="91" t="str">
        <f t="shared" si="65"/>
        <v/>
      </c>
      <c r="C594" s="94"/>
      <c r="D594" s="18"/>
      <c r="E594" s="104" t="s">
        <v>714</v>
      </c>
      <c r="F594" s="91" t="str">
        <f t="shared" si="66"/>
        <v/>
      </c>
      <c r="G594" s="91" t="str">
        <f t="shared" si="67"/>
        <v/>
      </c>
      <c r="H594" s="91" t="str">
        <f t="shared" si="73"/>
        <v/>
      </c>
      <c r="I594" s="79">
        <f t="shared" si="74"/>
        <v>91</v>
      </c>
      <c r="J594" s="74"/>
      <c r="K594" s="74"/>
      <c r="L594" s="75"/>
      <c r="M594" s="74"/>
      <c r="N594" s="74"/>
      <c r="O594" s="74"/>
      <c r="P594" s="74"/>
      <c r="Q594" s="74"/>
      <c r="R594" s="74"/>
      <c r="S594" s="74"/>
      <c r="T594" s="74"/>
      <c r="U594" s="74"/>
      <c r="V594" s="74"/>
      <c r="W594" s="74"/>
      <c r="X594" s="74"/>
      <c r="Y594" s="74"/>
    </row>
    <row r="595" spans="1:25" ht="33.6">
      <c r="A595" s="74"/>
      <c r="B595" s="91" t="str">
        <f t="shared" si="65"/>
        <v/>
      </c>
      <c r="C595" s="94"/>
      <c r="D595" s="18"/>
      <c r="E595" s="104" t="s">
        <v>715</v>
      </c>
      <c r="F595" s="91" t="str">
        <f t="shared" si="66"/>
        <v/>
      </c>
      <c r="G595" s="91" t="str">
        <f t="shared" si="67"/>
        <v/>
      </c>
      <c r="H595" s="91" t="str">
        <f t="shared" si="73"/>
        <v/>
      </c>
      <c r="I595" s="79">
        <f t="shared" si="74"/>
        <v>91</v>
      </c>
      <c r="J595" s="74"/>
      <c r="K595" s="74"/>
      <c r="L595" s="75"/>
      <c r="M595" s="74"/>
      <c r="N595" s="74"/>
      <c r="O595" s="74"/>
      <c r="P595" s="74"/>
      <c r="Q595" s="74"/>
      <c r="R595" s="74"/>
      <c r="S595" s="74"/>
      <c r="T595" s="74"/>
      <c r="U595" s="74"/>
      <c r="V595" s="74"/>
      <c r="W595" s="74"/>
      <c r="X595" s="74"/>
      <c r="Y595" s="74"/>
    </row>
    <row r="596" spans="1:25" ht="33.6">
      <c r="A596" s="74"/>
      <c r="B596" s="91" t="str">
        <f t="shared" si="65"/>
        <v/>
      </c>
      <c r="C596" s="94"/>
      <c r="D596" s="18"/>
      <c r="E596" s="104" t="s">
        <v>716</v>
      </c>
      <c r="F596" s="91" t="str">
        <f t="shared" si="66"/>
        <v/>
      </c>
      <c r="G596" s="91" t="str">
        <f t="shared" si="67"/>
        <v/>
      </c>
      <c r="H596" s="91" t="str">
        <f t="shared" si="73"/>
        <v/>
      </c>
      <c r="I596" s="79">
        <f t="shared" si="74"/>
        <v>91</v>
      </c>
      <c r="J596" s="74"/>
      <c r="K596" s="74"/>
      <c r="L596" s="75"/>
      <c r="M596" s="74"/>
      <c r="N596" s="74"/>
      <c r="O596" s="74"/>
      <c r="P596" s="74"/>
      <c r="Q596" s="74"/>
      <c r="R596" s="74"/>
      <c r="S596" s="74"/>
      <c r="T596" s="74"/>
      <c r="U596" s="74"/>
      <c r="V596" s="74"/>
      <c r="W596" s="74"/>
      <c r="X596" s="74"/>
      <c r="Y596" s="74"/>
    </row>
    <row r="597" spans="1:25" ht="18">
      <c r="A597" s="74"/>
      <c r="B597" s="79">
        <f t="shared" si="65"/>
        <v>92</v>
      </c>
      <c r="C597" s="104" t="s">
        <v>717</v>
      </c>
      <c r="D597" s="18" t="s">
        <v>623</v>
      </c>
      <c r="E597" s="94"/>
      <c r="F597" s="91" t="str">
        <f t="shared" si="66"/>
        <v>B</v>
      </c>
      <c r="G597" s="91" t="str">
        <f t="shared" si="67"/>
        <v>Đơn giản</v>
      </c>
      <c r="H597" s="91">
        <f t="shared" si="73"/>
        <v>3</v>
      </c>
      <c r="I597" s="79" t="str">
        <f t="shared" si="74"/>
        <v/>
      </c>
      <c r="J597" s="74"/>
      <c r="K597" s="74"/>
      <c r="L597" s="75"/>
      <c r="M597" s="74"/>
      <c r="N597" s="74"/>
      <c r="O597" s="74"/>
      <c r="P597" s="74"/>
      <c r="Q597" s="74"/>
      <c r="R597" s="74"/>
      <c r="S597" s="74"/>
      <c r="T597" s="74"/>
      <c r="U597" s="74"/>
      <c r="V597" s="74"/>
      <c r="W597" s="74"/>
      <c r="X597" s="74"/>
      <c r="Y597" s="74"/>
    </row>
    <row r="598" spans="1:25" ht="50.45">
      <c r="A598" s="74"/>
      <c r="B598" s="91" t="str">
        <f t="shared" si="65"/>
        <v/>
      </c>
      <c r="C598" s="94"/>
      <c r="D598" s="18"/>
      <c r="E598" s="104" t="s">
        <v>718</v>
      </c>
      <c r="F598" s="91" t="str">
        <f t="shared" si="66"/>
        <v/>
      </c>
      <c r="G598" s="91" t="str">
        <f t="shared" si="67"/>
        <v/>
      </c>
      <c r="H598" s="91" t="str">
        <f t="shared" si="73"/>
        <v/>
      </c>
      <c r="I598" s="79">
        <f t="shared" si="74"/>
        <v>92</v>
      </c>
      <c r="J598" s="74"/>
      <c r="K598" s="74"/>
      <c r="L598" s="75"/>
      <c r="M598" s="74"/>
      <c r="N598" s="74"/>
      <c r="O598" s="74"/>
      <c r="P598" s="74"/>
      <c r="Q598" s="74"/>
      <c r="R598" s="74"/>
      <c r="S598" s="74"/>
      <c r="T598" s="74"/>
      <c r="U598" s="74"/>
      <c r="V598" s="74"/>
      <c r="W598" s="74"/>
      <c r="X598" s="74"/>
      <c r="Y598" s="74"/>
    </row>
    <row r="599" spans="1:25" ht="33.6">
      <c r="A599" s="74"/>
      <c r="B599" s="91" t="str">
        <f t="shared" si="65"/>
        <v/>
      </c>
      <c r="C599" s="94"/>
      <c r="D599" s="18"/>
      <c r="E599" s="104" t="s">
        <v>719</v>
      </c>
      <c r="F599" s="91" t="str">
        <f t="shared" si="66"/>
        <v/>
      </c>
      <c r="G599" s="91" t="str">
        <f t="shared" si="67"/>
        <v/>
      </c>
      <c r="H599" s="91" t="str">
        <f t="shared" si="73"/>
        <v/>
      </c>
      <c r="I599" s="79">
        <f t="shared" si="74"/>
        <v>92</v>
      </c>
      <c r="J599" s="74"/>
      <c r="K599" s="74"/>
      <c r="L599" s="75"/>
      <c r="M599" s="74"/>
      <c r="N599" s="74"/>
      <c r="O599" s="74"/>
      <c r="P599" s="74"/>
      <c r="Q599" s="74"/>
      <c r="R599" s="74"/>
      <c r="S599" s="74"/>
      <c r="T599" s="74"/>
      <c r="U599" s="74"/>
      <c r="V599" s="74"/>
      <c r="W599" s="74"/>
      <c r="X599" s="74"/>
      <c r="Y599" s="74"/>
    </row>
    <row r="600" spans="1:25" ht="33.6">
      <c r="A600" s="74"/>
      <c r="B600" s="91" t="str">
        <f t="shared" si="65"/>
        <v/>
      </c>
      <c r="C600" s="94"/>
      <c r="D600" s="18"/>
      <c r="E600" s="104" t="s">
        <v>720</v>
      </c>
      <c r="F600" s="91" t="str">
        <f t="shared" si="66"/>
        <v/>
      </c>
      <c r="G600" s="91" t="str">
        <f t="shared" si="67"/>
        <v/>
      </c>
      <c r="H600" s="91" t="str">
        <f t="shared" si="73"/>
        <v/>
      </c>
      <c r="I600" s="79">
        <f t="shared" si="74"/>
        <v>92</v>
      </c>
      <c r="J600" s="74"/>
      <c r="K600" s="74"/>
      <c r="L600" s="75"/>
      <c r="M600" s="74"/>
      <c r="N600" s="74"/>
      <c r="O600" s="74"/>
      <c r="P600" s="74"/>
      <c r="Q600" s="74"/>
      <c r="R600" s="74"/>
      <c r="S600" s="74"/>
      <c r="T600" s="74"/>
      <c r="U600" s="74"/>
      <c r="V600" s="74"/>
      <c r="W600" s="74"/>
      <c r="X600" s="74"/>
      <c r="Y600" s="74"/>
    </row>
    <row r="601" spans="1:25" ht="18">
      <c r="A601" s="74"/>
      <c r="B601" s="79">
        <f t="shared" si="65"/>
        <v>93</v>
      </c>
      <c r="C601" s="104" t="s">
        <v>721</v>
      </c>
      <c r="D601" s="18" t="s">
        <v>623</v>
      </c>
      <c r="E601" s="94"/>
      <c r="F601" s="91" t="str">
        <f t="shared" si="66"/>
        <v>B</v>
      </c>
      <c r="G601" s="91" t="str">
        <f t="shared" si="67"/>
        <v>Đơn giản</v>
      </c>
      <c r="H601" s="91">
        <f t="shared" si="73"/>
        <v>3</v>
      </c>
      <c r="I601" s="79" t="str">
        <f t="shared" si="74"/>
        <v/>
      </c>
      <c r="J601" s="74"/>
      <c r="K601" s="74"/>
      <c r="L601" s="75"/>
      <c r="M601" s="74"/>
      <c r="N601" s="74"/>
      <c r="O601" s="74"/>
      <c r="P601" s="74"/>
      <c r="Q601" s="74"/>
      <c r="R601" s="74"/>
      <c r="S601" s="74"/>
      <c r="T601" s="74"/>
      <c r="U601" s="74"/>
      <c r="V601" s="74"/>
      <c r="W601" s="74"/>
      <c r="X601" s="74"/>
      <c r="Y601" s="74"/>
    </row>
    <row r="602" spans="1:25" ht="33.6">
      <c r="A602" s="74"/>
      <c r="B602" s="91" t="str">
        <f t="shared" si="65"/>
        <v/>
      </c>
      <c r="C602" s="94"/>
      <c r="D602" s="18"/>
      <c r="E602" s="104" t="s">
        <v>722</v>
      </c>
      <c r="F602" s="91" t="str">
        <f t="shared" si="66"/>
        <v/>
      </c>
      <c r="G602" s="91" t="str">
        <f t="shared" si="67"/>
        <v/>
      </c>
      <c r="H602" s="91" t="str">
        <f t="shared" si="73"/>
        <v/>
      </c>
      <c r="I602" s="79">
        <f t="shared" si="74"/>
        <v>93</v>
      </c>
      <c r="J602" s="74"/>
      <c r="K602" s="74"/>
      <c r="L602" s="75"/>
      <c r="M602" s="74"/>
      <c r="N602" s="74"/>
      <c r="O602" s="74"/>
      <c r="P602" s="74"/>
      <c r="Q602" s="74"/>
      <c r="R602" s="74"/>
      <c r="S602" s="74"/>
      <c r="T602" s="74"/>
      <c r="U602" s="74"/>
      <c r="V602" s="74"/>
      <c r="W602" s="74"/>
      <c r="X602" s="74"/>
      <c r="Y602" s="74"/>
    </row>
    <row r="603" spans="1:25" ht="33.6">
      <c r="A603" s="74"/>
      <c r="B603" s="91" t="str">
        <f t="shared" si="65"/>
        <v/>
      </c>
      <c r="C603" s="94"/>
      <c r="D603" s="18"/>
      <c r="E603" s="104" t="s">
        <v>723</v>
      </c>
      <c r="F603" s="91" t="str">
        <f t="shared" si="66"/>
        <v/>
      </c>
      <c r="G603" s="91" t="str">
        <f t="shared" si="67"/>
        <v/>
      </c>
      <c r="H603" s="91" t="str">
        <f t="shared" si="73"/>
        <v/>
      </c>
      <c r="I603" s="79">
        <f t="shared" si="74"/>
        <v>93</v>
      </c>
      <c r="J603" s="74"/>
      <c r="K603" s="74"/>
      <c r="L603" s="75"/>
      <c r="M603" s="74"/>
      <c r="N603" s="74"/>
      <c r="O603" s="74"/>
      <c r="P603" s="74"/>
      <c r="Q603" s="74"/>
      <c r="R603" s="74"/>
      <c r="S603" s="74"/>
      <c r="T603" s="74"/>
      <c r="U603" s="74"/>
      <c r="V603" s="74"/>
      <c r="W603" s="74"/>
      <c r="X603" s="74"/>
      <c r="Y603" s="74"/>
    </row>
    <row r="604" spans="1:25" ht="33.6">
      <c r="A604" s="74"/>
      <c r="B604" s="91" t="str">
        <f t="shared" si="65"/>
        <v/>
      </c>
      <c r="C604" s="94"/>
      <c r="D604" s="18"/>
      <c r="E604" s="104" t="s">
        <v>724</v>
      </c>
      <c r="F604" s="91" t="str">
        <f t="shared" si="66"/>
        <v/>
      </c>
      <c r="G604" s="91" t="str">
        <f t="shared" si="67"/>
        <v/>
      </c>
      <c r="H604" s="91" t="str">
        <f t="shared" si="73"/>
        <v/>
      </c>
      <c r="I604" s="79">
        <f t="shared" si="74"/>
        <v>93</v>
      </c>
      <c r="J604" s="74"/>
      <c r="K604" s="74"/>
      <c r="L604" s="75"/>
      <c r="M604" s="74"/>
      <c r="N604" s="74"/>
      <c r="O604" s="74"/>
      <c r="P604" s="74"/>
      <c r="Q604" s="74"/>
      <c r="R604" s="74"/>
      <c r="S604" s="74"/>
      <c r="T604" s="74"/>
      <c r="U604" s="74"/>
      <c r="V604" s="74"/>
      <c r="W604" s="74"/>
      <c r="X604" s="74"/>
      <c r="Y604" s="74"/>
    </row>
    <row r="605" spans="1:25" ht="18">
      <c r="A605" s="74"/>
      <c r="B605" s="79">
        <f t="shared" si="65"/>
        <v>94</v>
      </c>
      <c r="C605" s="104" t="s">
        <v>725</v>
      </c>
      <c r="D605" s="18" t="s">
        <v>623</v>
      </c>
      <c r="E605" s="94"/>
      <c r="F605" s="91" t="str">
        <f t="shared" si="66"/>
        <v>B</v>
      </c>
      <c r="G605" s="91" t="str">
        <f t="shared" si="67"/>
        <v>Đơn giản</v>
      </c>
      <c r="H605" s="91">
        <f t="shared" si="73"/>
        <v>3</v>
      </c>
      <c r="I605" s="79" t="str">
        <f t="shared" si="74"/>
        <v/>
      </c>
      <c r="J605" s="74"/>
      <c r="K605" s="74"/>
      <c r="L605" s="75"/>
      <c r="M605" s="74"/>
      <c r="N605" s="74"/>
      <c r="O605" s="74"/>
      <c r="P605" s="74"/>
      <c r="Q605" s="74"/>
      <c r="R605" s="74"/>
      <c r="S605" s="74"/>
      <c r="T605" s="74"/>
      <c r="U605" s="74"/>
      <c r="V605" s="74"/>
      <c r="W605" s="74"/>
      <c r="X605" s="74"/>
      <c r="Y605" s="74"/>
    </row>
    <row r="606" spans="1:25" ht="33.6">
      <c r="A606" s="74"/>
      <c r="B606" s="91" t="str">
        <f t="shared" si="65"/>
        <v/>
      </c>
      <c r="C606" s="94"/>
      <c r="D606" s="18"/>
      <c r="E606" s="104" t="s">
        <v>722</v>
      </c>
      <c r="F606" s="91" t="str">
        <f t="shared" si="66"/>
        <v/>
      </c>
      <c r="G606" s="91" t="str">
        <f t="shared" si="67"/>
        <v/>
      </c>
      <c r="H606" s="91" t="str">
        <f t="shared" si="73"/>
        <v/>
      </c>
      <c r="I606" s="79">
        <f t="shared" si="74"/>
        <v>94</v>
      </c>
      <c r="J606" s="74"/>
      <c r="K606" s="74"/>
      <c r="L606" s="75"/>
      <c r="M606" s="74"/>
      <c r="N606" s="74"/>
      <c r="O606" s="74"/>
      <c r="P606" s="74"/>
      <c r="Q606" s="74"/>
      <c r="R606" s="74"/>
      <c r="S606" s="74"/>
      <c r="T606" s="74"/>
      <c r="U606" s="74"/>
      <c r="V606" s="74"/>
      <c r="W606" s="74"/>
      <c r="X606" s="74"/>
      <c r="Y606" s="74"/>
    </row>
    <row r="607" spans="1:25" ht="33.6">
      <c r="A607" s="74"/>
      <c r="B607" s="91" t="str">
        <f t="shared" si="65"/>
        <v/>
      </c>
      <c r="C607" s="94"/>
      <c r="D607" s="18"/>
      <c r="E607" s="104" t="s">
        <v>726</v>
      </c>
      <c r="F607" s="91" t="str">
        <f t="shared" si="66"/>
        <v/>
      </c>
      <c r="G607" s="91" t="str">
        <f t="shared" si="67"/>
        <v/>
      </c>
      <c r="H607" s="91" t="str">
        <f t="shared" si="73"/>
        <v/>
      </c>
      <c r="I607" s="79">
        <f t="shared" si="74"/>
        <v>94</v>
      </c>
      <c r="J607" s="74"/>
      <c r="K607" s="74"/>
      <c r="L607" s="75"/>
      <c r="M607" s="74"/>
      <c r="N607" s="74"/>
      <c r="O607" s="74"/>
      <c r="P607" s="74"/>
      <c r="Q607" s="74"/>
      <c r="R607" s="74"/>
      <c r="S607" s="74"/>
      <c r="T607" s="74"/>
      <c r="U607" s="74"/>
      <c r="V607" s="74"/>
      <c r="W607" s="74"/>
      <c r="X607" s="74"/>
      <c r="Y607" s="74"/>
    </row>
    <row r="608" spans="1:25" ht="33.6">
      <c r="A608" s="74"/>
      <c r="B608" s="91" t="str">
        <f t="shared" si="65"/>
        <v/>
      </c>
      <c r="C608" s="94"/>
      <c r="D608" s="18"/>
      <c r="E608" s="104" t="s">
        <v>727</v>
      </c>
      <c r="F608" s="91" t="str">
        <f t="shared" si="66"/>
        <v/>
      </c>
      <c r="G608" s="91" t="str">
        <f t="shared" si="67"/>
        <v/>
      </c>
      <c r="H608" s="91" t="str">
        <f t="shared" si="73"/>
        <v/>
      </c>
      <c r="I608" s="79">
        <f t="shared" si="74"/>
        <v>94</v>
      </c>
      <c r="J608" s="74"/>
      <c r="K608" s="74"/>
      <c r="L608" s="75"/>
      <c r="M608" s="74"/>
      <c r="N608" s="74"/>
      <c r="O608" s="74"/>
      <c r="P608" s="74"/>
      <c r="Q608" s="74"/>
      <c r="R608" s="74"/>
      <c r="S608" s="74"/>
      <c r="T608" s="74"/>
      <c r="U608" s="74"/>
      <c r="V608" s="74"/>
      <c r="W608" s="74"/>
      <c r="X608" s="74"/>
      <c r="Y608" s="74"/>
    </row>
    <row r="609" spans="1:25" ht="18">
      <c r="A609" s="74"/>
      <c r="B609" s="79">
        <f t="shared" si="65"/>
        <v>95</v>
      </c>
      <c r="C609" s="104" t="s">
        <v>728</v>
      </c>
      <c r="D609" s="18" t="s">
        <v>623</v>
      </c>
      <c r="E609" s="94"/>
      <c r="F609" s="91" t="str">
        <f t="shared" si="66"/>
        <v>B</v>
      </c>
      <c r="G609" s="91" t="str">
        <f t="shared" si="67"/>
        <v>Đơn giản</v>
      </c>
      <c r="H609" s="91">
        <f t="shared" si="73"/>
        <v>2</v>
      </c>
      <c r="I609" s="79" t="str">
        <f t="shared" si="74"/>
        <v/>
      </c>
      <c r="J609" s="74"/>
      <c r="K609" s="74"/>
      <c r="L609" s="75"/>
      <c r="M609" s="74"/>
      <c r="N609" s="74"/>
      <c r="O609" s="74"/>
      <c r="P609" s="74"/>
      <c r="Q609" s="74"/>
      <c r="R609" s="74"/>
      <c r="S609" s="74"/>
      <c r="T609" s="74"/>
      <c r="U609" s="74"/>
      <c r="V609" s="74"/>
      <c r="W609" s="74"/>
      <c r="X609" s="74"/>
      <c r="Y609" s="74"/>
    </row>
    <row r="610" spans="1:25" ht="33.6">
      <c r="A610" s="74"/>
      <c r="B610" s="91" t="str">
        <f t="shared" si="65"/>
        <v/>
      </c>
      <c r="C610" s="94"/>
      <c r="D610" s="18"/>
      <c r="E610" s="104" t="s">
        <v>649</v>
      </c>
      <c r="F610" s="91" t="str">
        <f t="shared" si="66"/>
        <v/>
      </c>
      <c r="G610" s="91" t="str">
        <f t="shared" si="67"/>
        <v/>
      </c>
      <c r="H610" s="91" t="str">
        <f t="shared" si="73"/>
        <v/>
      </c>
      <c r="I610" s="79">
        <f t="shared" si="74"/>
        <v>95</v>
      </c>
      <c r="J610" s="74"/>
      <c r="K610" s="74"/>
      <c r="L610" s="75"/>
      <c r="M610" s="74"/>
      <c r="N610" s="74"/>
      <c r="O610" s="74"/>
      <c r="P610" s="74"/>
      <c r="Q610" s="74"/>
      <c r="R610" s="74"/>
      <c r="S610" s="74"/>
      <c r="T610" s="74"/>
      <c r="U610" s="74"/>
      <c r="V610" s="74"/>
      <c r="W610" s="74"/>
      <c r="X610" s="74"/>
      <c r="Y610" s="74"/>
    </row>
    <row r="611" spans="1:25" ht="33.6">
      <c r="A611" s="74"/>
      <c r="B611" s="91" t="str">
        <f t="shared" si="65"/>
        <v/>
      </c>
      <c r="C611" s="94"/>
      <c r="D611" s="18"/>
      <c r="E611" s="104" t="s">
        <v>729</v>
      </c>
      <c r="F611" s="91" t="str">
        <f t="shared" si="66"/>
        <v/>
      </c>
      <c r="G611" s="91" t="str">
        <f t="shared" si="67"/>
        <v/>
      </c>
      <c r="H611" s="91" t="str">
        <f t="shared" si="73"/>
        <v/>
      </c>
      <c r="I611" s="79">
        <f t="shared" si="74"/>
        <v>95</v>
      </c>
      <c r="J611" s="74"/>
      <c r="K611" s="74"/>
      <c r="L611" s="75"/>
      <c r="M611" s="74"/>
      <c r="N611" s="74"/>
      <c r="O611" s="74"/>
      <c r="P611" s="74"/>
      <c r="Q611" s="74"/>
      <c r="R611" s="74"/>
      <c r="S611" s="74"/>
      <c r="T611" s="74"/>
      <c r="U611" s="74"/>
      <c r="V611" s="74"/>
      <c r="W611" s="74"/>
      <c r="X611" s="74"/>
      <c r="Y611" s="74"/>
    </row>
    <row r="612" spans="1:25" ht="18">
      <c r="A612" s="74"/>
      <c r="B612" s="79">
        <f t="shared" si="65"/>
        <v>96</v>
      </c>
      <c r="C612" s="104" t="s">
        <v>730</v>
      </c>
      <c r="D612" s="18" t="s">
        <v>623</v>
      </c>
      <c r="E612" s="94"/>
      <c r="F612" s="91" t="str">
        <f t="shared" si="66"/>
        <v>B</v>
      </c>
      <c r="G612" s="91" t="str">
        <f t="shared" si="67"/>
        <v>Đơn giản</v>
      </c>
      <c r="H612" s="91">
        <f t="shared" si="73"/>
        <v>2</v>
      </c>
      <c r="I612" s="79" t="str">
        <f t="shared" si="74"/>
        <v/>
      </c>
      <c r="J612" s="74"/>
      <c r="K612" s="74"/>
      <c r="L612" s="75"/>
      <c r="M612" s="74"/>
      <c r="N612" s="74"/>
      <c r="O612" s="74"/>
      <c r="P612" s="74"/>
      <c r="Q612" s="74"/>
      <c r="R612" s="74"/>
      <c r="S612" s="74"/>
      <c r="T612" s="74"/>
      <c r="U612" s="74"/>
      <c r="V612" s="74"/>
      <c r="W612" s="74"/>
      <c r="X612" s="74"/>
      <c r="Y612" s="74"/>
    </row>
    <row r="613" spans="1:25" ht="33.6">
      <c r="A613" s="74"/>
      <c r="B613" s="91" t="str">
        <f t="shared" si="65"/>
        <v/>
      </c>
      <c r="C613" s="94"/>
      <c r="D613" s="18"/>
      <c r="E613" s="104" t="s">
        <v>649</v>
      </c>
      <c r="F613" s="91" t="str">
        <f t="shared" si="66"/>
        <v/>
      </c>
      <c r="G613" s="91" t="str">
        <f t="shared" si="67"/>
        <v/>
      </c>
      <c r="H613" s="91" t="str">
        <f t="shared" si="73"/>
        <v/>
      </c>
      <c r="I613" s="79">
        <f t="shared" si="74"/>
        <v>96</v>
      </c>
      <c r="J613" s="74"/>
      <c r="K613" s="74"/>
      <c r="L613" s="75"/>
      <c r="M613" s="74"/>
      <c r="N613" s="74"/>
      <c r="O613" s="74"/>
      <c r="P613" s="74"/>
      <c r="Q613" s="74"/>
      <c r="R613" s="74"/>
      <c r="S613" s="74"/>
      <c r="T613" s="74"/>
      <c r="U613" s="74"/>
      <c r="V613" s="74"/>
      <c r="W613" s="74"/>
      <c r="X613" s="74"/>
      <c r="Y613" s="74"/>
    </row>
    <row r="614" spans="1:25" ht="33.6">
      <c r="A614" s="74"/>
      <c r="B614" s="91" t="str">
        <f t="shared" si="65"/>
        <v/>
      </c>
      <c r="C614" s="94"/>
      <c r="D614" s="18"/>
      <c r="E614" s="104" t="s">
        <v>731</v>
      </c>
      <c r="F614" s="91" t="str">
        <f t="shared" si="66"/>
        <v/>
      </c>
      <c r="G614" s="91" t="str">
        <f t="shared" si="67"/>
        <v/>
      </c>
      <c r="H614" s="91" t="str">
        <f t="shared" si="73"/>
        <v/>
      </c>
      <c r="I614" s="79">
        <f t="shared" si="74"/>
        <v>96</v>
      </c>
      <c r="J614" s="74"/>
      <c r="K614" s="74"/>
      <c r="L614" s="75"/>
      <c r="M614" s="74"/>
      <c r="N614" s="74"/>
      <c r="O614" s="74"/>
      <c r="P614" s="74"/>
      <c r="Q614" s="74"/>
      <c r="R614" s="74"/>
      <c r="S614" s="74"/>
      <c r="T614" s="74"/>
      <c r="U614" s="74"/>
      <c r="V614" s="74"/>
      <c r="W614" s="74"/>
      <c r="X614" s="74"/>
      <c r="Y614" s="74"/>
    </row>
    <row r="615" spans="1:25" ht="18">
      <c r="A615" s="74"/>
      <c r="B615" s="79">
        <f t="shared" si="65"/>
        <v>97</v>
      </c>
      <c r="C615" s="104" t="s">
        <v>732</v>
      </c>
      <c r="D615" s="18" t="s">
        <v>623</v>
      </c>
      <c r="E615" s="94"/>
      <c r="F615" s="91" t="str">
        <f t="shared" si="66"/>
        <v>B</v>
      </c>
      <c r="G615" s="91" t="str">
        <f t="shared" si="67"/>
        <v>Đơn giản</v>
      </c>
      <c r="H615" s="91">
        <f t="shared" si="73"/>
        <v>2</v>
      </c>
      <c r="I615" s="79" t="str">
        <f t="shared" si="74"/>
        <v/>
      </c>
      <c r="J615" s="74"/>
      <c r="K615" s="74"/>
      <c r="L615" s="75"/>
      <c r="M615" s="74"/>
      <c r="N615" s="74"/>
      <c r="O615" s="74"/>
      <c r="P615" s="74"/>
      <c r="Q615" s="74"/>
      <c r="R615" s="74"/>
      <c r="S615" s="74"/>
      <c r="T615" s="74"/>
      <c r="U615" s="74"/>
      <c r="V615" s="74"/>
      <c r="W615" s="74"/>
      <c r="X615" s="74"/>
      <c r="Y615" s="74"/>
    </row>
    <row r="616" spans="1:25" ht="33.6">
      <c r="A616" s="74"/>
      <c r="B616" s="91" t="str">
        <f t="shared" si="65"/>
        <v/>
      </c>
      <c r="C616" s="94"/>
      <c r="D616" s="18"/>
      <c r="E616" s="104" t="s">
        <v>649</v>
      </c>
      <c r="F616" s="91" t="str">
        <f t="shared" si="66"/>
        <v/>
      </c>
      <c r="G616" s="91" t="str">
        <f t="shared" si="67"/>
        <v/>
      </c>
      <c r="H616" s="91" t="str">
        <f t="shared" si="73"/>
        <v/>
      </c>
      <c r="I616" s="79">
        <f t="shared" si="74"/>
        <v>97</v>
      </c>
      <c r="J616" s="74"/>
      <c r="K616" s="74"/>
      <c r="L616" s="75"/>
      <c r="M616" s="74"/>
      <c r="N616" s="74"/>
      <c r="O616" s="74"/>
      <c r="P616" s="74"/>
      <c r="Q616" s="74"/>
      <c r="R616" s="74"/>
      <c r="S616" s="74"/>
      <c r="T616" s="74"/>
      <c r="U616" s="74"/>
      <c r="V616" s="74"/>
      <c r="W616" s="74"/>
      <c r="X616" s="74"/>
      <c r="Y616" s="74"/>
    </row>
    <row r="617" spans="1:25" ht="33.6">
      <c r="A617" s="74"/>
      <c r="B617" s="91" t="str">
        <f t="shared" si="65"/>
        <v/>
      </c>
      <c r="C617" s="94"/>
      <c r="D617" s="18"/>
      <c r="E617" s="104" t="s">
        <v>733</v>
      </c>
      <c r="F617" s="91" t="str">
        <f t="shared" si="66"/>
        <v/>
      </c>
      <c r="G617" s="91" t="str">
        <f t="shared" si="67"/>
        <v/>
      </c>
      <c r="H617" s="91" t="str">
        <f t="shared" si="73"/>
        <v/>
      </c>
      <c r="I617" s="79">
        <f t="shared" si="74"/>
        <v>97</v>
      </c>
      <c r="J617" s="74"/>
      <c r="K617" s="74"/>
      <c r="L617" s="75"/>
      <c r="M617" s="74"/>
      <c r="N617" s="74"/>
      <c r="O617" s="74"/>
      <c r="P617" s="74"/>
      <c r="Q617" s="74"/>
      <c r="R617" s="74"/>
      <c r="S617" s="74"/>
      <c r="T617" s="74"/>
      <c r="U617" s="74"/>
      <c r="V617" s="74"/>
      <c r="W617" s="74"/>
      <c r="X617" s="74"/>
      <c r="Y617" s="74"/>
    </row>
    <row r="618" spans="1:25" ht="18">
      <c r="A618" s="74"/>
      <c r="B618" s="79">
        <f t="shared" si="65"/>
        <v>98</v>
      </c>
      <c r="C618" s="104" t="s">
        <v>734</v>
      </c>
      <c r="D618" s="18" t="s">
        <v>623</v>
      </c>
      <c r="E618" s="94"/>
      <c r="F618" s="91" t="str">
        <f t="shared" si="66"/>
        <v>B</v>
      </c>
      <c r="G618" s="91" t="str">
        <f t="shared" si="67"/>
        <v>Đơn giản</v>
      </c>
      <c r="H618" s="91">
        <f t="shared" si="73"/>
        <v>2</v>
      </c>
      <c r="I618" s="79" t="str">
        <f t="shared" si="74"/>
        <v/>
      </c>
      <c r="J618" s="74"/>
      <c r="K618" s="74"/>
      <c r="L618" s="75"/>
      <c r="M618" s="74"/>
      <c r="N618" s="74"/>
      <c r="O618" s="74"/>
      <c r="P618" s="74"/>
      <c r="Q618" s="74"/>
      <c r="R618" s="74"/>
      <c r="S618" s="74"/>
      <c r="T618" s="74"/>
      <c r="U618" s="74"/>
      <c r="V618" s="74"/>
      <c r="W618" s="74"/>
      <c r="X618" s="74"/>
      <c r="Y618" s="74"/>
    </row>
    <row r="619" spans="1:25" ht="33.6">
      <c r="A619" s="74"/>
      <c r="B619" s="91" t="str">
        <f t="shared" si="65"/>
        <v/>
      </c>
      <c r="C619" s="94"/>
      <c r="D619" s="18"/>
      <c r="E619" s="104" t="s">
        <v>649</v>
      </c>
      <c r="F619" s="91" t="str">
        <f t="shared" si="66"/>
        <v/>
      </c>
      <c r="G619" s="91" t="str">
        <f t="shared" si="67"/>
        <v/>
      </c>
      <c r="H619" s="91" t="str">
        <f t="shared" si="73"/>
        <v/>
      </c>
      <c r="I619" s="79">
        <f t="shared" si="74"/>
        <v>98</v>
      </c>
      <c r="J619" s="74"/>
      <c r="K619" s="74"/>
      <c r="L619" s="75"/>
      <c r="M619" s="74"/>
      <c r="N619" s="74"/>
      <c r="O619" s="74"/>
      <c r="P619" s="74"/>
      <c r="Q619" s="74"/>
      <c r="R619" s="74"/>
      <c r="S619" s="74"/>
      <c r="T619" s="74"/>
      <c r="U619" s="74"/>
      <c r="V619" s="74"/>
      <c r="W619" s="74"/>
      <c r="X619" s="74"/>
      <c r="Y619" s="74"/>
    </row>
    <row r="620" spans="1:25" ht="33.6">
      <c r="A620" s="74"/>
      <c r="B620" s="91" t="str">
        <f t="shared" si="65"/>
        <v/>
      </c>
      <c r="C620" s="94"/>
      <c r="D620" s="18"/>
      <c r="E620" s="104" t="s">
        <v>735</v>
      </c>
      <c r="F620" s="91" t="str">
        <f t="shared" si="66"/>
        <v/>
      </c>
      <c r="G620" s="91" t="str">
        <f t="shared" si="67"/>
        <v/>
      </c>
      <c r="H620" s="91" t="str">
        <f t="shared" si="73"/>
        <v/>
      </c>
      <c r="I620" s="79">
        <f t="shared" si="74"/>
        <v>98</v>
      </c>
      <c r="J620" s="74"/>
      <c r="K620" s="74"/>
      <c r="L620" s="75"/>
      <c r="M620" s="74"/>
      <c r="N620" s="74"/>
      <c r="O620" s="74"/>
      <c r="P620" s="74"/>
      <c r="Q620" s="74"/>
      <c r="R620" s="74"/>
      <c r="S620" s="74"/>
      <c r="T620" s="74"/>
      <c r="U620" s="74"/>
      <c r="V620" s="74"/>
      <c r="W620" s="74"/>
      <c r="X620" s="74"/>
      <c r="Y620" s="74"/>
    </row>
    <row r="621" spans="1:25" ht="18">
      <c r="A621" s="74"/>
      <c r="B621" s="79">
        <f t="shared" si="65"/>
        <v>99</v>
      </c>
      <c r="C621" s="104" t="s">
        <v>736</v>
      </c>
      <c r="D621" s="18" t="s">
        <v>623</v>
      </c>
      <c r="E621" s="94"/>
      <c r="F621" s="91" t="str">
        <f t="shared" si="66"/>
        <v>B</v>
      </c>
      <c r="G621" s="91" t="str">
        <f t="shared" si="67"/>
        <v>Đơn giản</v>
      </c>
      <c r="H621" s="91">
        <f t="shared" si="73"/>
        <v>2</v>
      </c>
      <c r="I621" s="79" t="str">
        <f t="shared" si="74"/>
        <v/>
      </c>
      <c r="J621" s="74"/>
      <c r="K621" s="74"/>
      <c r="L621" s="75"/>
      <c r="M621" s="74"/>
      <c r="N621" s="74"/>
      <c r="O621" s="74"/>
      <c r="P621" s="74"/>
      <c r="Q621" s="74"/>
      <c r="R621" s="74"/>
      <c r="S621" s="74"/>
      <c r="T621" s="74"/>
      <c r="U621" s="74"/>
      <c r="V621" s="74"/>
      <c r="W621" s="74"/>
      <c r="X621" s="74"/>
      <c r="Y621" s="74"/>
    </row>
    <row r="622" spans="1:25" ht="33.6">
      <c r="A622" s="74"/>
      <c r="B622" s="91" t="str">
        <f t="shared" si="65"/>
        <v/>
      </c>
      <c r="C622" s="94"/>
      <c r="D622" s="18"/>
      <c r="E622" s="104" t="s">
        <v>649</v>
      </c>
      <c r="F622" s="91" t="str">
        <f t="shared" si="66"/>
        <v/>
      </c>
      <c r="G622" s="91" t="str">
        <f t="shared" si="67"/>
        <v/>
      </c>
      <c r="H622" s="91" t="str">
        <f t="shared" si="73"/>
        <v/>
      </c>
      <c r="I622" s="79">
        <f t="shared" si="74"/>
        <v>99</v>
      </c>
      <c r="J622" s="74"/>
      <c r="K622" s="74"/>
      <c r="L622" s="75"/>
      <c r="M622" s="74"/>
      <c r="N622" s="74"/>
      <c r="O622" s="74"/>
      <c r="P622" s="74"/>
      <c r="Q622" s="74"/>
      <c r="R622" s="74"/>
      <c r="S622" s="74"/>
      <c r="T622" s="74"/>
      <c r="U622" s="74"/>
      <c r="V622" s="74"/>
      <c r="W622" s="74"/>
      <c r="X622" s="74"/>
      <c r="Y622" s="74"/>
    </row>
    <row r="623" spans="1:25" ht="33.6">
      <c r="A623" s="74"/>
      <c r="B623" s="91" t="str">
        <f t="shared" si="65"/>
        <v/>
      </c>
      <c r="C623" s="94"/>
      <c r="D623" s="18"/>
      <c r="E623" s="104" t="s">
        <v>737</v>
      </c>
      <c r="F623" s="91" t="str">
        <f t="shared" si="66"/>
        <v/>
      </c>
      <c r="G623" s="91" t="str">
        <f t="shared" si="67"/>
        <v/>
      </c>
      <c r="H623" s="91" t="str">
        <f t="shared" si="73"/>
        <v/>
      </c>
      <c r="I623" s="79">
        <f t="shared" si="74"/>
        <v>99</v>
      </c>
      <c r="J623" s="74"/>
      <c r="K623" s="74"/>
      <c r="L623" s="75"/>
      <c r="M623" s="74"/>
      <c r="N623" s="74"/>
      <c r="O623" s="74"/>
      <c r="P623" s="74"/>
      <c r="Q623" s="74"/>
      <c r="R623" s="74"/>
      <c r="S623" s="74"/>
      <c r="T623" s="74"/>
      <c r="U623" s="74"/>
      <c r="V623" s="74"/>
      <c r="W623" s="74"/>
      <c r="X623" s="74"/>
      <c r="Y623" s="74"/>
    </row>
    <row r="624" spans="1:25" ht="18">
      <c r="A624" s="74"/>
      <c r="B624" s="79">
        <f t="shared" si="65"/>
        <v>100</v>
      </c>
      <c r="C624" s="104" t="s">
        <v>738</v>
      </c>
      <c r="D624" s="18" t="s">
        <v>623</v>
      </c>
      <c r="E624" s="94"/>
      <c r="F624" s="91" t="str">
        <f t="shared" si="66"/>
        <v>B</v>
      </c>
      <c r="G624" s="91" t="str">
        <f t="shared" si="67"/>
        <v>Đơn giản</v>
      </c>
      <c r="H624" s="91">
        <f t="shared" si="73"/>
        <v>2</v>
      </c>
      <c r="I624" s="79" t="str">
        <f t="shared" si="74"/>
        <v/>
      </c>
      <c r="J624" s="74"/>
      <c r="K624" s="74"/>
      <c r="L624" s="75"/>
      <c r="M624" s="74"/>
      <c r="N624" s="74"/>
      <c r="O624" s="74"/>
      <c r="P624" s="74"/>
      <c r="Q624" s="74"/>
      <c r="R624" s="74"/>
      <c r="S624" s="74"/>
      <c r="T624" s="74"/>
      <c r="U624" s="74"/>
      <c r="V624" s="74"/>
      <c r="W624" s="74"/>
      <c r="X624" s="74"/>
      <c r="Y624" s="74"/>
    </row>
    <row r="625" spans="1:25" ht="33.6">
      <c r="A625" s="74"/>
      <c r="B625" s="91" t="str">
        <f t="shared" si="65"/>
        <v/>
      </c>
      <c r="C625" s="94"/>
      <c r="D625" s="18"/>
      <c r="E625" s="104" t="s">
        <v>649</v>
      </c>
      <c r="F625" s="91" t="str">
        <f t="shared" si="66"/>
        <v/>
      </c>
      <c r="G625" s="91" t="str">
        <f t="shared" si="67"/>
        <v/>
      </c>
      <c r="H625" s="91" t="str">
        <f t="shared" si="73"/>
        <v/>
      </c>
      <c r="I625" s="79">
        <f t="shared" si="74"/>
        <v>100</v>
      </c>
      <c r="J625" s="74"/>
      <c r="K625" s="74"/>
      <c r="L625" s="75"/>
      <c r="M625" s="74"/>
      <c r="N625" s="74"/>
      <c r="O625" s="74"/>
      <c r="P625" s="74"/>
      <c r="Q625" s="74"/>
      <c r="R625" s="74"/>
      <c r="S625" s="74"/>
      <c r="T625" s="74"/>
      <c r="U625" s="74"/>
      <c r="V625" s="74"/>
      <c r="W625" s="74"/>
      <c r="X625" s="74"/>
      <c r="Y625" s="74"/>
    </row>
    <row r="626" spans="1:25" ht="33.6">
      <c r="A626" s="74"/>
      <c r="B626" s="91" t="str">
        <f t="shared" si="65"/>
        <v/>
      </c>
      <c r="C626" s="94"/>
      <c r="D626" s="18"/>
      <c r="E626" s="104" t="s">
        <v>739</v>
      </c>
      <c r="F626" s="91" t="str">
        <f t="shared" si="66"/>
        <v/>
      </c>
      <c r="G626" s="91" t="str">
        <f t="shared" si="67"/>
        <v/>
      </c>
      <c r="H626" s="91" t="str">
        <f t="shared" si="73"/>
        <v/>
      </c>
      <c r="I626" s="79">
        <f t="shared" si="74"/>
        <v>100</v>
      </c>
      <c r="J626" s="74"/>
      <c r="K626" s="74"/>
      <c r="L626" s="75"/>
      <c r="M626" s="74"/>
      <c r="N626" s="74"/>
      <c r="O626" s="74"/>
      <c r="P626" s="74"/>
      <c r="Q626" s="74"/>
      <c r="R626" s="74"/>
      <c r="S626" s="74"/>
      <c r="T626" s="74"/>
      <c r="U626" s="74"/>
      <c r="V626" s="74"/>
      <c r="W626" s="74"/>
      <c r="X626" s="74"/>
      <c r="Y626" s="74"/>
    </row>
    <row r="627" spans="1:25" ht="18">
      <c r="A627" s="74"/>
      <c r="B627" s="79">
        <f t="shared" si="65"/>
        <v>101</v>
      </c>
      <c r="C627" s="101" t="s">
        <v>740</v>
      </c>
      <c r="D627" s="102" t="s">
        <v>127</v>
      </c>
      <c r="E627" s="103"/>
      <c r="F627" s="91" t="str">
        <f t="shared" si="66"/>
        <v>B</v>
      </c>
      <c r="G627" s="91" t="str">
        <f t="shared" si="67"/>
        <v>Trung bình</v>
      </c>
      <c r="H627" s="91">
        <f t="shared" si="73"/>
        <v>4</v>
      </c>
      <c r="I627" s="79" t="str">
        <f t="shared" si="74"/>
        <v/>
      </c>
      <c r="J627" s="74"/>
      <c r="K627" s="74"/>
      <c r="L627" s="75"/>
      <c r="M627" s="74"/>
      <c r="N627" s="74"/>
      <c r="O627" s="74"/>
      <c r="P627" s="74"/>
      <c r="Q627" s="74"/>
      <c r="R627" s="74"/>
      <c r="S627" s="74"/>
      <c r="T627" s="74"/>
      <c r="U627" s="74"/>
      <c r="V627" s="74"/>
      <c r="W627" s="74"/>
      <c r="X627" s="74"/>
      <c r="Y627" s="74"/>
    </row>
    <row r="628" spans="1:25" ht="33.6">
      <c r="A628" s="74"/>
      <c r="B628" s="91" t="str">
        <f t="shared" si="65"/>
        <v/>
      </c>
      <c r="C628" s="94"/>
      <c r="D628" s="18"/>
      <c r="E628" s="104" t="s">
        <v>741</v>
      </c>
      <c r="F628" s="91" t="str">
        <f t="shared" si="66"/>
        <v/>
      </c>
      <c r="G628" s="91" t="str">
        <f t="shared" si="67"/>
        <v/>
      </c>
      <c r="H628" s="91" t="str">
        <f t="shared" si="73"/>
        <v/>
      </c>
      <c r="I628" s="79">
        <f t="shared" si="74"/>
        <v>101</v>
      </c>
      <c r="J628" s="74"/>
      <c r="K628" s="74"/>
      <c r="L628" s="75"/>
      <c r="M628" s="74"/>
      <c r="N628" s="74"/>
      <c r="O628" s="74"/>
      <c r="P628" s="74"/>
      <c r="Q628" s="74"/>
      <c r="R628" s="74"/>
      <c r="S628" s="74"/>
      <c r="T628" s="74"/>
      <c r="U628" s="74"/>
      <c r="V628" s="74"/>
      <c r="W628" s="74"/>
      <c r="X628" s="74"/>
      <c r="Y628" s="74"/>
    </row>
    <row r="629" spans="1:25" ht="33.6">
      <c r="A629" s="74"/>
      <c r="B629" s="91" t="str">
        <f t="shared" si="65"/>
        <v/>
      </c>
      <c r="C629" s="94"/>
      <c r="D629" s="18"/>
      <c r="E629" s="104" t="s">
        <v>742</v>
      </c>
      <c r="F629" s="91" t="str">
        <f t="shared" si="66"/>
        <v/>
      </c>
      <c r="G629" s="91" t="str">
        <f t="shared" si="67"/>
        <v/>
      </c>
      <c r="H629" s="91" t="str">
        <f t="shared" si="73"/>
        <v/>
      </c>
      <c r="I629" s="79">
        <f t="shared" si="74"/>
        <v>101</v>
      </c>
      <c r="J629" s="74"/>
      <c r="K629" s="74"/>
      <c r="L629" s="75"/>
      <c r="M629" s="74"/>
      <c r="N629" s="74"/>
      <c r="O629" s="74"/>
      <c r="P629" s="74"/>
      <c r="Q629" s="74"/>
      <c r="R629" s="74"/>
      <c r="S629" s="74"/>
      <c r="T629" s="74"/>
      <c r="U629" s="74"/>
      <c r="V629" s="74"/>
      <c r="W629" s="74"/>
      <c r="X629" s="74"/>
      <c r="Y629" s="74"/>
    </row>
    <row r="630" spans="1:25" ht="33.6">
      <c r="A630" s="74"/>
      <c r="B630" s="91" t="str">
        <f t="shared" si="65"/>
        <v/>
      </c>
      <c r="C630" s="94"/>
      <c r="D630" s="18"/>
      <c r="E630" s="104" t="s">
        <v>743</v>
      </c>
      <c r="F630" s="91" t="str">
        <f t="shared" si="66"/>
        <v/>
      </c>
      <c r="G630" s="91" t="str">
        <f t="shared" si="67"/>
        <v/>
      </c>
      <c r="H630" s="91" t="str">
        <f t="shared" si="73"/>
        <v/>
      </c>
      <c r="I630" s="79">
        <f t="shared" si="74"/>
        <v>101</v>
      </c>
      <c r="J630" s="74"/>
      <c r="K630" s="74"/>
      <c r="L630" s="75"/>
      <c r="M630" s="74"/>
      <c r="N630" s="74"/>
      <c r="O630" s="74"/>
      <c r="P630" s="74"/>
      <c r="Q630" s="74"/>
      <c r="R630" s="74"/>
      <c r="S630" s="74"/>
      <c r="T630" s="74"/>
      <c r="U630" s="74"/>
      <c r="V630" s="74"/>
      <c r="W630" s="74"/>
      <c r="X630" s="74"/>
      <c r="Y630" s="74"/>
    </row>
    <row r="631" spans="1:25" ht="50.45">
      <c r="A631" s="74"/>
      <c r="B631" s="91" t="str">
        <f t="shared" si="65"/>
        <v/>
      </c>
      <c r="C631" s="94"/>
      <c r="D631" s="18"/>
      <c r="E631" s="104" t="s">
        <v>744</v>
      </c>
      <c r="F631" s="91" t="str">
        <f t="shared" si="66"/>
        <v/>
      </c>
      <c r="G631" s="91" t="str">
        <f t="shared" si="67"/>
        <v/>
      </c>
      <c r="H631" s="91" t="str">
        <f t="shared" si="73"/>
        <v/>
      </c>
      <c r="I631" s="79">
        <f t="shared" si="74"/>
        <v>101</v>
      </c>
      <c r="J631" s="74"/>
      <c r="K631" s="74"/>
      <c r="L631" s="75"/>
      <c r="M631" s="74"/>
      <c r="N631" s="74"/>
      <c r="O631" s="74"/>
      <c r="P631" s="74"/>
      <c r="Q631" s="74"/>
      <c r="R631" s="74"/>
      <c r="S631" s="74"/>
      <c r="T631" s="74"/>
      <c r="U631" s="74"/>
      <c r="V631" s="74"/>
      <c r="W631" s="74"/>
      <c r="X631" s="74"/>
      <c r="Y631" s="74"/>
    </row>
    <row r="632" spans="1:25" ht="18">
      <c r="A632" s="74"/>
      <c r="B632" s="79">
        <f t="shared" si="65"/>
        <v>102</v>
      </c>
      <c r="C632" s="104" t="s">
        <v>745</v>
      </c>
      <c r="D632" s="18" t="s">
        <v>127</v>
      </c>
      <c r="E632" s="94"/>
      <c r="F632" s="91" t="str">
        <f t="shared" si="66"/>
        <v>B</v>
      </c>
      <c r="G632" s="91" t="str">
        <f t="shared" si="67"/>
        <v>Trung bình</v>
      </c>
      <c r="H632" s="91">
        <f t="shared" si="73"/>
        <v>4</v>
      </c>
      <c r="I632" s="79" t="str">
        <f t="shared" si="74"/>
        <v/>
      </c>
      <c r="J632" s="74"/>
      <c r="K632" s="74"/>
      <c r="L632" s="75"/>
      <c r="M632" s="74"/>
      <c r="N632" s="74"/>
      <c r="O632" s="74"/>
      <c r="P632" s="74"/>
      <c r="Q632" s="74"/>
      <c r="R632" s="74"/>
      <c r="S632" s="74"/>
      <c r="T632" s="74"/>
      <c r="U632" s="74"/>
      <c r="V632" s="74"/>
      <c r="W632" s="74"/>
      <c r="X632" s="74"/>
      <c r="Y632" s="74"/>
    </row>
    <row r="633" spans="1:25" ht="33.6">
      <c r="A633" s="74"/>
      <c r="B633" s="91" t="str">
        <f t="shared" si="65"/>
        <v/>
      </c>
      <c r="C633" s="94"/>
      <c r="D633" s="18"/>
      <c r="E633" s="104" t="s">
        <v>746</v>
      </c>
      <c r="F633" s="91" t="str">
        <f t="shared" si="66"/>
        <v/>
      </c>
      <c r="G633" s="91" t="str">
        <f t="shared" si="67"/>
        <v/>
      </c>
      <c r="H633" s="91" t="str">
        <f t="shared" si="73"/>
        <v/>
      </c>
      <c r="I633" s="79">
        <f t="shared" si="74"/>
        <v>102</v>
      </c>
      <c r="J633" s="74"/>
      <c r="K633" s="74"/>
      <c r="L633" s="75"/>
      <c r="M633" s="74"/>
      <c r="N633" s="74"/>
      <c r="O633" s="74"/>
      <c r="P633" s="74"/>
      <c r="Q633" s="74"/>
      <c r="R633" s="74"/>
      <c r="S633" s="74"/>
      <c r="T633" s="74"/>
      <c r="U633" s="74"/>
      <c r="V633" s="74"/>
      <c r="W633" s="74"/>
      <c r="X633" s="74"/>
      <c r="Y633" s="74"/>
    </row>
    <row r="634" spans="1:25" ht="33.6">
      <c r="A634" s="74"/>
      <c r="B634" s="91" t="str">
        <f t="shared" si="65"/>
        <v/>
      </c>
      <c r="C634" s="94"/>
      <c r="D634" s="18"/>
      <c r="E634" s="104" t="s">
        <v>747</v>
      </c>
      <c r="F634" s="91" t="str">
        <f t="shared" si="66"/>
        <v/>
      </c>
      <c r="G634" s="91" t="str">
        <f t="shared" si="67"/>
        <v/>
      </c>
      <c r="H634" s="91" t="str">
        <f t="shared" si="73"/>
        <v/>
      </c>
      <c r="I634" s="79">
        <f t="shared" si="74"/>
        <v>102</v>
      </c>
      <c r="J634" s="74"/>
      <c r="K634" s="74"/>
      <c r="L634" s="75"/>
      <c r="M634" s="74"/>
      <c r="N634" s="74"/>
      <c r="O634" s="74"/>
      <c r="P634" s="74"/>
      <c r="Q634" s="74"/>
      <c r="R634" s="74"/>
      <c r="S634" s="74"/>
      <c r="T634" s="74"/>
      <c r="U634" s="74"/>
      <c r="V634" s="74"/>
      <c r="W634" s="74"/>
      <c r="X634" s="74"/>
      <c r="Y634" s="74"/>
    </row>
    <row r="635" spans="1:25" ht="33.6">
      <c r="A635" s="74"/>
      <c r="B635" s="91" t="str">
        <f t="shared" si="65"/>
        <v/>
      </c>
      <c r="C635" s="94"/>
      <c r="D635" s="18"/>
      <c r="E635" s="104" t="s">
        <v>748</v>
      </c>
      <c r="F635" s="91" t="str">
        <f t="shared" si="66"/>
        <v/>
      </c>
      <c r="G635" s="91" t="str">
        <f t="shared" si="67"/>
        <v/>
      </c>
      <c r="H635" s="91" t="str">
        <f t="shared" si="73"/>
        <v/>
      </c>
      <c r="I635" s="79">
        <f t="shared" si="74"/>
        <v>102</v>
      </c>
      <c r="J635" s="74"/>
      <c r="K635" s="74"/>
      <c r="L635" s="75"/>
      <c r="M635" s="74"/>
      <c r="N635" s="74"/>
      <c r="O635" s="74"/>
      <c r="P635" s="74"/>
      <c r="Q635" s="74"/>
      <c r="R635" s="74"/>
      <c r="S635" s="74"/>
      <c r="T635" s="74"/>
      <c r="U635" s="74"/>
      <c r="V635" s="74"/>
      <c r="W635" s="74"/>
      <c r="X635" s="74"/>
      <c r="Y635" s="74"/>
    </row>
    <row r="636" spans="1:25" ht="50.45">
      <c r="A636" s="74"/>
      <c r="B636" s="91" t="str">
        <f t="shared" si="65"/>
        <v/>
      </c>
      <c r="C636" s="94"/>
      <c r="D636" s="18"/>
      <c r="E636" s="104" t="s">
        <v>749</v>
      </c>
      <c r="F636" s="91" t="str">
        <f t="shared" si="66"/>
        <v/>
      </c>
      <c r="G636" s="91" t="str">
        <f t="shared" si="67"/>
        <v/>
      </c>
      <c r="H636" s="91" t="str">
        <f t="shared" si="73"/>
        <v/>
      </c>
      <c r="I636" s="79">
        <f t="shared" si="74"/>
        <v>102</v>
      </c>
      <c r="J636" s="74"/>
      <c r="K636" s="74"/>
      <c r="L636" s="75"/>
      <c r="M636" s="74"/>
      <c r="N636" s="74"/>
      <c r="O636" s="74"/>
      <c r="P636" s="74"/>
      <c r="Q636" s="74"/>
      <c r="R636" s="74"/>
      <c r="S636" s="74"/>
      <c r="T636" s="74"/>
      <c r="U636" s="74"/>
      <c r="V636" s="74"/>
      <c r="W636" s="74"/>
      <c r="X636" s="74"/>
      <c r="Y636" s="74"/>
    </row>
    <row r="637" spans="1:25" ht="18">
      <c r="A637" s="74"/>
      <c r="B637" s="79">
        <f t="shared" si="65"/>
        <v>103</v>
      </c>
      <c r="C637" s="104" t="s">
        <v>750</v>
      </c>
      <c r="D637" s="18" t="s">
        <v>127</v>
      </c>
      <c r="E637" s="94"/>
      <c r="F637" s="91" t="str">
        <f t="shared" si="66"/>
        <v>B</v>
      </c>
      <c r="G637" s="91" t="str">
        <f t="shared" si="67"/>
        <v>Đơn giản</v>
      </c>
      <c r="H637" s="91">
        <f t="shared" si="73"/>
        <v>3</v>
      </c>
      <c r="I637" s="79" t="str">
        <f t="shared" si="74"/>
        <v/>
      </c>
      <c r="J637" s="74"/>
      <c r="K637" s="74"/>
      <c r="L637" s="75"/>
      <c r="M637" s="74"/>
      <c r="N637" s="74"/>
      <c r="O637" s="74"/>
      <c r="P637" s="74"/>
      <c r="Q637" s="74"/>
      <c r="R637" s="74"/>
      <c r="S637" s="74"/>
      <c r="T637" s="74"/>
      <c r="U637" s="74"/>
      <c r="V637" s="74"/>
      <c r="W637" s="74"/>
      <c r="X637" s="74"/>
      <c r="Y637" s="74"/>
    </row>
    <row r="638" spans="1:25" ht="33.6">
      <c r="A638" s="74"/>
      <c r="B638" s="91" t="str">
        <f t="shared" si="65"/>
        <v/>
      </c>
      <c r="C638" s="94"/>
      <c r="D638" s="18"/>
      <c r="E638" s="104" t="s">
        <v>751</v>
      </c>
      <c r="F638" s="91" t="str">
        <f t="shared" si="66"/>
        <v/>
      </c>
      <c r="G638" s="91" t="str">
        <f t="shared" si="67"/>
        <v/>
      </c>
      <c r="H638" s="91" t="str">
        <f t="shared" si="73"/>
        <v/>
      </c>
      <c r="I638" s="79">
        <f t="shared" si="74"/>
        <v>103</v>
      </c>
      <c r="J638" s="74"/>
      <c r="K638" s="74"/>
      <c r="L638" s="75"/>
      <c r="M638" s="74"/>
      <c r="N638" s="74"/>
      <c r="O638" s="74"/>
      <c r="P638" s="74"/>
      <c r="Q638" s="74"/>
      <c r="R638" s="74"/>
      <c r="S638" s="74"/>
      <c r="T638" s="74"/>
      <c r="U638" s="74"/>
      <c r="V638" s="74"/>
      <c r="W638" s="74"/>
      <c r="X638" s="74"/>
      <c r="Y638" s="74"/>
    </row>
    <row r="639" spans="1:25" ht="33.6">
      <c r="A639" s="74"/>
      <c r="B639" s="91" t="str">
        <f t="shared" si="65"/>
        <v/>
      </c>
      <c r="C639" s="94"/>
      <c r="D639" s="18"/>
      <c r="E639" s="104" t="s">
        <v>752</v>
      </c>
      <c r="F639" s="91" t="str">
        <f t="shared" si="66"/>
        <v/>
      </c>
      <c r="G639" s="91" t="str">
        <f t="shared" si="67"/>
        <v/>
      </c>
      <c r="H639" s="91" t="str">
        <f t="shared" si="73"/>
        <v/>
      </c>
      <c r="I639" s="79">
        <f t="shared" si="74"/>
        <v>103</v>
      </c>
      <c r="J639" s="74"/>
      <c r="K639" s="74"/>
      <c r="L639" s="75"/>
      <c r="M639" s="74"/>
      <c r="N639" s="74"/>
      <c r="O639" s="74"/>
      <c r="P639" s="74"/>
      <c r="Q639" s="74"/>
      <c r="R639" s="74"/>
      <c r="S639" s="74"/>
      <c r="T639" s="74"/>
      <c r="U639" s="74"/>
      <c r="V639" s="74"/>
      <c r="W639" s="74"/>
      <c r="X639" s="74"/>
      <c r="Y639" s="74"/>
    </row>
    <row r="640" spans="1:25" ht="33.6">
      <c r="A640" s="74"/>
      <c r="B640" s="91" t="str">
        <f t="shared" si="65"/>
        <v/>
      </c>
      <c r="C640" s="94"/>
      <c r="D640" s="18"/>
      <c r="E640" s="104" t="s">
        <v>753</v>
      </c>
      <c r="F640" s="91" t="str">
        <f t="shared" si="66"/>
        <v/>
      </c>
      <c r="G640" s="91" t="str">
        <f t="shared" si="67"/>
        <v/>
      </c>
      <c r="H640" s="91" t="str">
        <f t="shared" si="73"/>
        <v/>
      </c>
      <c r="I640" s="79">
        <f t="shared" si="74"/>
        <v>103</v>
      </c>
      <c r="J640" s="74"/>
      <c r="K640" s="74"/>
      <c r="L640" s="75"/>
      <c r="M640" s="74"/>
      <c r="N640" s="74"/>
      <c r="O640" s="74"/>
      <c r="P640" s="74"/>
      <c r="Q640" s="74"/>
      <c r="R640" s="74"/>
      <c r="S640" s="74"/>
      <c r="T640" s="74"/>
      <c r="U640" s="74"/>
      <c r="V640" s="74"/>
      <c r="W640" s="74"/>
      <c r="X640" s="74"/>
      <c r="Y640" s="74"/>
    </row>
    <row r="641" spans="1:25" ht="18">
      <c r="A641" s="74"/>
      <c r="B641" s="79">
        <f t="shared" si="65"/>
        <v>104</v>
      </c>
      <c r="C641" s="104" t="s">
        <v>754</v>
      </c>
      <c r="D641" s="18" t="s">
        <v>127</v>
      </c>
      <c r="E641" s="94"/>
      <c r="F641" s="91" t="str">
        <f t="shared" si="66"/>
        <v>B</v>
      </c>
      <c r="G641" s="91" t="str">
        <f t="shared" si="67"/>
        <v>Đơn giản</v>
      </c>
      <c r="H641" s="91">
        <f t="shared" si="73"/>
        <v>2</v>
      </c>
      <c r="I641" s="79" t="str">
        <f t="shared" si="74"/>
        <v/>
      </c>
      <c r="J641" s="74"/>
      <c r="K641" s="74"/>
      <c r="L641" s="75"/>
      <c r="M641" s="74"/>
      <c r="N641" s="74"/>
      <c r="O641" s="74"/>
      <c r="P641" s="74"/>
      <c r="Q641" s="74"/>
      <c r="R641" s="74"/>
      <c r="S641" s="74"/>
      <c r="T641" s="74"/>
      <c r="U641" s="74"/>
      <c r="V641" s="74"/>
      <c r="W641" s="74"/>
      <c r="X641" s="74"/>
      <c r="Y641" s="74"/>
    </row>
    <row r="642" spans="1:25" ht="50.45">
      <c r="A642" s="74"/>
      <c r="B642" s="91" t="str">
        <f t="shared" si="65"/>
        <v/>
      </c>
      <c r="C642" s="94"/>
      <c r="D642" s="18"/>
      <c r="E642" s="104" t="s">
        <v>755</v>
      </c>
      <c r="F642" s="91" t="str">
        <f t="shared" si="66"/>
        <v/>
      </c>
      <c r="G642" s="91" t="str">
        <f t="shared" si="67"/>
        <v/>
      </c>
      <c r="H642" s="91" t="str">
        <f t="shared" si="73"/>
        <v/>
      </c>
      <c r="I642" s="79">
        <f t="shared" si="74"/>
        <v>104</v>
      </c>
      <c r="J642" s="74"/>
      <c r="K642" s="74"/>
      <c r="L642" s="75"/>
      <c r="M642" s="74"/>
      <c r="N642" s="74"/>
      <c r="O642" s="74"/>
      <c r="P642" s="74"/>
      <c r="Q642" s="74"/>
      <c r="R642" s="74"/>
      <c r="S642" s="74"/>
      <c r="T642" s="74"/>
      <c r="U642" s="74"/>
      <c r="V642" s="74"/>
      <c r="W642" s="74"/>
      <c r="X642" s="74"/>
      <c r="Y642" s="74"/>
    </row>
    <row r="643" spans="1:25" ht="33.6">
      <c r="A643" s="74"/>
      <c r="B643" s="91" t="str">
        <f t="shared" si="65"/>
        <v/>
      </c>
      <c r="C643" s="94"/>
      <c r="D643" s="18"/>
      <c r="E643" s="104" t="s">
        <v>756</v>
      </c>
      <c r="F643" s="91" t="str">
        <f t="shared" si="66"/>
        <v/>
      </c>
      <c r="G643" s="91" t="str">
        <f t="shared" si="67"/>
        <v/>
      </c>
      <c r="H643" s="91" t="str">
        <f t="shared" si="73"/>
        <v/>
      </c>
      <c r="I643" s="79">
        <f t="shared" si="74"/>
        <v>104</v>
      </c>
      <c r="J643" s="74"/>
      <c r="K643" s="74"/>
      <c r="L643" s="75"/>
      <c r="M643" s="74"/>
      <c r="N643" s="74"/>
      <c r="O643" s="74"/>
      <c r="P643" s="74"/>
      <c r="Q643" s="74"/>
      <c r="R643" s="74"/>
      <c r="S643" s="74"/>
      <c r="T643" s="74"/>
      <c r="U643" s="74"/>
      <c r="V643" s="74"/>
      <c r="W643" s="74"/>
      <c r="X643" s="74"/>
      <c r="Y643" s="74"/>
    </row>
    <row r="644" spans="1:25" ht="18">
      <c r="A644" s="74"/>
      <c r="B644" s="79">
        <f t="shared" si="65"/>
        <v>105</v>
      </c>
      <c r="C644" s="104" t="s">
        <v>757</v>
      </c>
      <c r="D644" s="18" t="s">
        <v>127</v>
      </c>
      <c r="E644" s="94"/>
      <c r="F644" s="91" t="str">
        <f t="shared" si="66"/>
        <v>B</v>
      </c>
      <c r="G644" s="91" t="str">
        <f t="shared" si="67"/>
        <v>Đơn giản</v>
      </c>
      <c r="H644" s="91">
        <f t="shared" ref="H644:H646" si="75">IF(AND(B644&lt;&gt;"",C644&lt;&gt;"",D644&lt;&gt;""),COUNTIF(I644:I1710,B644),"")</f>
        <v>2</v>
      </c>
      <c r="I644" s="79" t="str">
        <f>IF(OR(E644="",B644&lt;&gt;""),"",IF(#REF!&lt;&gt;"",#REF!,#REF!))</f>
        <v/>
      </c>
      <c r="J644" s="74"/>
      <c r="K644" s="74"/>
      <c r="L644" s="75"/>
      <c r="M644" s="74"/>
      <c r="N644" s="74"/>
      <c r="O644" s="74"/>
      <c r="P644" s="74"/>
      <c r="Q644" s="74"/>
      <c r="R644" s="74"/>
      <c r="S644" s="74"/>
      <c r="T644" s="74"/>
      <c r="U644" s="74"/>
      <c r="V644" s="74"/>
      <c r="W644" s="74"/>
      <c r="X644" s="74"/>
      <c r="Y644" s="74"/>
    </row>
    <row r="645" spans="1:25" ht="50.45">
      <c r="A645" s="74"/>
      <c r="B645" s="91" t="str">
        <f t="shared" si="65"/>
        <v/>
      </c>
      <c r="C645" s="94"/>
      <c r="D645" s="18"/>
      <c r="E645" s="104" t="s">
        <v>758</v>
      </c>
      <c r="F645" s="91" t="str">
        <f t="shared" si="66"/>
        <v/>
      </c>
      <c r="G645" s="91" t="str">
        <f t="shared" si="67"/>
        <v/>
      </c>
      <c r="H645" s="91" t="str">
        <f t="shared" si="75"/>
        <v/>
      </c>
      <c r="I645" s="79">
        <f t="shared" ref="I645:I646" si="76">IF(OR(E645="",B645&lt;&gt;""),"",IF(I644&lt;&gt;"",I644,B644))</f>
        <v>105</v>
      </c>
      <c r="J645" s="74"/>
      <c r="K645" s="74"/>
      <c r="L645" s="75"/>
      <c r="M645" s="74"/>
      <c r="N645" s="74"/>
      <c r="O645" s="74"/>
      <c r="P645" s="74"/>
      <c r="Q645" s="74"/>
      <c r="R645" s="74"/>
      <c r="S645" s="74"/>
      <c r="T645" s="74"/>
      <c r="U645" s="74"/>
      <c r="V645" s="74"/>
      <c r="W645" s="74"/>
      <c r="X645" s="74"/>
      <c r="Y645" s="74"/>
    </row>
    <row r="646" spans="1:25" ht="33.6">
      <c r="A646" s="74"/>
      <c r="B646" s="91" t="str">
        <f t="shared" si="65"/>
        <v/>
      </c>
      <c r="C646" s="94"/>
      <c r="D646" s="18"/>
      <c r="E646" s="104" t="s">
        <v>759</v>
      </c>
      <c r="F646" s="91" t="str">
        <f t="shared" si="66"/>
        <v/>
      </c>
      <c r="G646" s="91" t="str">
        <f t="shared" si="67"/>
        <v/>
      </c>
      <c r="H646" s="91" t="str">
        <f t="shared" si="75"/>
        <v/>
      </c>
      <c r="I646" s="79">
        <f t="shared" si="76"/>
        <v>105</v>
      </c>
      <c r="J646" s="74"/>
      <c r="K646" s="74"/>
      <c r="L646" s="75"/>
      <c r="M646" s="74"/>
      <c r="N646" s="74"/>
      <c r="O646" s="74"/>
      <c r="P646" s="74"/>
      <c r="Q646" s="74"/>
      <c r="R646" s="74"/>
      <c r="S646" s="74"/>
      <c r="T646" s="74"/>
      <c r="U646" s="74"/>
      <c r="V646" s="74"/>
      <c r="W646" s="74"/>
      <c r="X646" s="74"/>
      <c r="Y646" s="74"/>
    </row>
    <row r="647" spans="1:25" ht="18">
      <c r="A647" s="74"/>
      <c r="B647" s="79">
        <f t="shared" si="65"/>
        <v>106</v>
      </c>
      <c r="C647" s="104" t="s">
        <v>760</v>
      </c>
      <c r="D647" s="18" t="s">
        <v>127</v>
      </c>
      <c r="E647" s="94"/>
      <c r="F647" s="91" t="str">
        <f t="shared" si="66"/>
        <v>B</v>
      </c>
      <c r="G647" s="91" t="str">
        <f t="shared" si="67"/>
        <v>Đơn giản</v>
      </c>
      <c r="H647" s="91">
        <f t="shared" ref="H647:H743" si="77">IF(AND(B647&lt;&gt;"",C647&lt;&gt;"",D647&lt;&gt;""),COUNTIF(I647:I1717,B647),"")</f>
        <v>3</v>
      </c>
      <c r="I647" s="79" t="str">
        <f>IF(OR(E647="",B647&lt;&gt;""),"",IF(#REF!&lt;&gt;"",#REF!,#REF!))</f>
        <v/>
      </c>
      <c r="J647" s="74"/>
      <c r="K647" s="74"/>
      <c r="L647" s="75"/>
      <c r="M647" s="74"/>
      <c r="N647" s="74"/>
      <c r="O647" s="74"/>
      <c r="P647" s="74"/>
      <c r="Q647" s="74"/>
      <c r="R647" s="74"/>
      <c r="S647" s="74"/>
      <c r="T647" s="74"/>
      <c r="U647" s="74"/>
      <c r="V647" s="74"/>
      <c r="W647" s="74"/>
      <c r="X647" s="74"/>
      <c r="Y647" s="74"/>
    </row>
    <row r="648" spans="1:25" ht="33.6">
      <c r="A648" s="74"/>
      <c r="B648" s="91" t="str">
        <f t="shared" si="65"/>
        <v/>
      </c>
      <c r="C648" s="94"/>
      <c r="D648" s="18"/>
      <c r="E648" s="104" t="s">
        <v>761</v>
      </c>
      <c r="F648" s="91" t="str">
        <f t="shared" si="66"/>
        <v/>
      </c>
      <c r="G648" s="91" t="str">
        <f t="shared" si="67"/>
        <v/>
      </c>
      <c r="H648" s="91" t="str">
        <f t="shared" si="77"/>
        <v/>
      </c>
      <c r="I648" s="79">
        <f t="shared" ref="I648:I743" si="78">IF(OR(E648="",B648&lt;&gt;""),"",IF(I647&lt;&gt;"",I647,B647))</f>
        <v>106</v>
      </c>
      <c r="J648" s="74"/>
      <c r="K648" s="74"/>
      <c r="L648" s="75"/>
      <c r="M648" s="74"/>
      <c r="N648" s="74"/>
      <c r="O648" s="74"/>
      <c r="P648" s="74"/>
      <c r="Q648" s="74"/>
      <c r="R648" s="74"/>
      <c r="S648" s="74"/>
      <c r="T648" s="74"/>
      <c r="U648" s="74"/>
      <c r="V648" s="74"/>
      <c r="W648" s="74"/>
      <c r="X648" s="74"/>
      <c r="Y648" s="74"/>
    </row>
    <row r="649" spans="1:25" ht="33.6">
      <c r="A649" s="74"/>
      <c r="B649" s="91" t="str">
        <f t="shared" si="65"/>
        <v/>
      </c>
      <c r="C649" s="94"/>
      <c r="D649" s="18"/>
      <c r="E649" s="104" t="s">
        <v>762</v>
      </c>
      <c r="F649" s="91" t="str">
        <f t="shared" si="66"/>
        <v/>
      </c>
      <c r="G649" s="91" t="str">
        <f t="shared" si="67"/>
        <v/>
      </c>
      <c r="H649" s="91" t="str">
        <f t="shared" si="77"/>
        <v/>
      </c>
      <c r="I649" s="79">
        <f t="shared" si="78"/>
        <v>106</v>
      </c>
      <c r="J649" s="74"/>
      <c r="K649" s="74"/>
      <c r="L649" s="75"/>
      <c r="M649" s="74"/>
      <c r="N649" s="74"/>
      <c r="O649" s="74"/>
      <c r="P649" s="74"/>
      <c r="Q649" s="74"/>
      <c r="R649" s="74"/>
      <c r="S649" s="74"/>
      <c r="T649" s="74"/>
      <c r="U649" s="74"/>
      <c r="V649" s="74"/>
      <c r="W649" s="74"/>
      <c r="X649" s="74"/>
      <c r="Y649" s="74"/>
    </row>
    <row r="650" spans="1:25" ht="33.6">
      <c r="A650" s="74"/>
      <c r="B650" s="91" t="str">
        <f t="shared" si="65"/>
        <v/>
      </c>
      <c r="C650" s="94"/>
      <c r="D650" s="18"/>
      <c r="E650" s="104" t="s">
        <v>763</v>
      </c>
      <c r="F650" s="91" t="str">
        <f t="shared" si="66"/>
        <v/>
      </c>
      <c r="G650" s="91" t="str">
        <f t="shared" si="67"/>
        <v/>
      </c>
      <c r="H650" s="91" t="str">
        <f t="shared" si="77"/>
        <v/>
      </c>
      <c r="I650" s="79">
        <f t="shared" si="78"/>
        <v>106</v>
      </c>
      <c r="J650" s="74"/>
      <c r="K650" s="74"/>
      <c r="L650" s="75"/>
      <c r="M650" s="74"/>
      <c r="N650" s="74"/>
      <c r="O650" s="74"/>
      <c r="P650" s="74"/>
      <c r="Q650" s="74"/>
      <c r="R650" s="74"/>
      <c r="S650" s="74"/>
      <c r="T650" s="74"/>
      <c r="U650" s="74"/>
      <c r="V650" s="74"/>
      <c r="W650" s="74"/>
      <c r="X650" s="74"/>
      <c r="Y650" s="74"/>
    </row>
    <row r="651" spans="1:25" ht="18">
      <c r="A651" s="74"/>
      <c r="B651" s="79">
        <f t="shared" si="65"/>
        <v>107</v>
      </c>
      <c r="C651" s="104" t="s">
        <v>764</v>
      </c>
      <c r="D651" s="18" t="s">
        <v>127</v>
      </c>
      <c r="E651" s="94"/>
      <c r="F651" s="91" t="str">
        <f t="shared" si="66"/>
        <v>B</v>
      </c>
      <c r="G651" s="91" t="str">
        <f t="shared" si="67"/>
        <v>Đơn giản</v>
      </c>
      <c r="H651" s="91">
        <f t="shared" si="77"/>
        <v>3</v>
      </c>
      <c r="I651" s="79" t="str">
        <f t="shared" si="78"/>
        <v/>
      </c>
      <c r="J651" s="74"/>
      <c r="K651" s="74"/>
      <c r="L651" s="75"/>
      <c r="M651" s="74"/>
      <c r="N651" s="74"/>
      <c r="O651" s="74"/>
      <c r="P651" s="74"/>
      <c r="Q651" s="74"/>
      <c r="R651" s="74"/>
      <c r="S651" s="74"/>
      <c r="T651" s="74"/>
      <c r="U651" s="74"/>
      <c r="V651" s="74"/>
      <c r="W651" s="74"/>
      <c r="X651" s="74"/>
      <c r="Y651" s="74"/>
    </row>
    <row r="652" spans="1:25" ht="50.45">
      <c r="A652" s="74"/>
      <c r="B652" s="91" t="str">
        <f t="shared" si="65"/>
        <v/>
      </c>
      <c r="C652" s="94"/>
      <c r="D652" s="18"/>
      <c r="E652" s="104" t="s">
        <v>765</v>
      </c>
      <c r="F652" s="91" t="str">
        <f t="shared" si="66"/>
        <v/>
      </c>
      <c r="G652" s="91" t="str">
        <f t="shared" si="67"/>
        <v/>
      </c>
      <c r="H652" s="91" t="str">
        <f t="shared" si="77"/>
        <v/>
      </c>
      <c r="I652" s="79">
        <f t="shared" si="78"/>
        <v>107</v>
      </c>
      <c r="J652" s="74"/>
      <c r="K652" s="74"/>
      <c r="L652" s="75"/>
      <c r="M652" s="74"/>
      <c r="N652" s="74"/>
      <c r="O652" s="74"/>
      <c r="P652" s="74"/>
      <c r="Q652" s="74"/>
      <c r="R652" s="74"/>
      <c r="S652" s="74"/>
      <c r="T652" s="74"/>
      <c r="U652" s="74"/>
      <c r="V652" s="74"/>
      <c r="W652" s="74"/>
      <c r="X652" s="74"/>
      <c r="Y652" s="74"/>
    </row>
    <row r="653" spans="1:25" ht="33.6">
      <c r="A653" s="74"/>
      <c r="B653" s="91" t="str">
        <f t="shared" si="65"/>
        <v/>
      </c>
      <c r="C653" s="94"/>
      <c r="D653" s="18"/>
      <c r="E653" s="104" t="s">
        <v>766</v>
      </c>
      <c r="F653" s="91" t="str">
        <f t="shared" si="66"/>
        <v/>
      </c>
      <c r="G653" s="91" t="str">
        <f t="shared" si="67"/>
        <v/>
      </c>
      <c r="H653" s="91" t="str">
        <f t="shared" si="77"/>
        <v/>
      </c>
      <c r="I653" s="79">
        <f t="shared" si="78"/>
        <v>107</v>
      </c>
      <c r="J653" s="74"/>
      <c r="K653" s="74"/>
      <c r="L653" s="75"/>
      <c r="M653" s="74"/>
      <c r="N653" s="74"/>
      <c r="O653" s="74"/>
      <c r="P653" s="74"/>
      <c r="Q653" s="74"/>
      <c r="R653" s="74"/>
      <c r="S653" s="74"/>
      <c r="T653" s="74"/>
      <c r="U653" s="74"/>
      <c r="V653" s="74"/>
      <c r="W653" s="74"/>
      <c r="X653" s="74"/>
      <c r="Y653" s="74"/>
    </row>
    <row r="654" spans="1:25" ht="33.6">
      <c r="A654" s="74"/>
      <c r="B654" s="91" t="str">
        <f t="shared" si="65"/>
        <v/>
      </c>
      <c r="C654" s="94"/>
      <c r="D654" s="18"/>
      <c r="E654" s="104" t="s">
        <v>767</v>
      </c>
      <c r="F654" s="91" t="str">
        <f t="shared" si="66"/>
        <v/>
      </c>
      <c r="G654" s="91" t="str">
        <f t="shared" si="67"/>
        <v/>
      </c>
      <c r="H654" s="91" t="str">
        <f t="shared" si="77"/>
        <v/>
      </c>
      <c r="I654" s="79">
        <f t="shared" si="78"/>
        <v>107</v>
      </c>
      <c r="J654" s="74"/>
      <c r="K654" s="74"/>
      <c r="L654" s="75"/>
      <c r="M654" s="74"/>
      <c r="N654" s="74"/>
      <c r="O654" s="74"/>
      <c r="P654" s="74"/>
      <c r="Q654" s="74"/>
      <c r="R654" s="74"/>
      <c r="S654" s="74"/>
      <c r="T654" s="74"/>
      <c r="U654" s="74"/>
      <c r="V654" s="74"/>
      <c r="W654" s="74"/>
      <c r="X654" s="74"/>
      <c r="Y654" s="74"/>
    </row>
    <row r="655" spans="1:25" ht="18">
      <c r="A655" s="74"/>
      <c r="B655" s="79">
        <f t="shared" si="65"/>
        <v>108</v>
      </c>
      <c r="C655" s="104" t="s">
        <v>768</v>
      </c>
      <c r="D655" s="18" t="s">
        <v>127</v>
      </c>
      <c r="E655" s="94"/>
      <c r="F655" s="91" t="str">
        <f t="shared" si="66"/>
        <v>B</v>
      </c>
      <c r="G655" s="91" t="str">
        <f t="shared" si="67"/>
        <v>Đơn giản</v>
      </c>
      <c r="H655" s="91">
        <f t="shared" si="77"/>
        <v>3</v>
      </c>
      <c r="I655" s="79" t="str">
        <f t="shared" si="78"/>
        <v/>
      </c>
      <c r="J655" s="74"/>
      <c r="K655" s="74"/>
      <c r="L655" s="75"/>
      <c r="M655" s="74"/>
      <c r="N655" s="74"/>
      <c r="O655" s="74"/>
      <c r="P655" s="74"/>
      <c r="Q655" s="74"/>
      <c r="R655" s="74"/>
      <c r="S655" s="74"/>
      <c r="T655" s="74"/>
      <c r="U655" s="74"/>
      <c r="V655" s="74"/>
      <c r="W655" s="74"/>
      <c r="X655" s="74"/>
      <c r="Y655" s="74"/>
    </row>
    <row r="656" spans="1:25" ht="50.45">
      <c r="A656" s="74"/>
      <c r="B656" s="91" t="str">
        <f t="shared" si="65"/>
        <v/>
      </c>
      <c r="C656" s="94"/>
      <c r="D656" s="18"/>
      <c r="E656" s="104" t="s">
        <v>769</v>
      </c>
      <c r="F656" s="91" t="str">
        <f t="shared" si="66"/>
        <v/>
      </c>
      <c r="G656" s="91" t="str">
        <f t="shared" si="67"/>
        <v/>
      </c>
      <c r="H656" s="91" t="str">
        <f t="shared" si="77"/>
        <v/>
      </c>
      <c r="I656" s="79">
        <f t="shared" si="78"/>
        <v>108</v>
      </c>
      <c r="J656" s="74"/>
      <c r="K656" s="74"/>
      <c r="L656" s="75"/>
      <c r="M656" s="74"/>
      <c r="N656" s="74"/>
      <c r="O656" s="74"/>
      <c r="P656" s="74"/>
      <c r="Q656" s="74"/>
      <c r="R656" s="74"/>
      <c r="S656" s="74"/>
      <c r="T656" s="74"/>
      <c r="U656" s="74"/>
      <c r="V656" s="74"/>
      <c r="W656" s="74"/>
      <c r="X656" s="74"/>
      <c r="Y656" s="74"/>
    </row>
    <row r="657" spans="1:25" ht="33.6">
      <c r="A657" s="74"/>
      <c r="B657" s="91" t="str">
        <f t="shared" si="65"/>
        <v/>
      </c>
      <c r="C657" s="94"/>
      <c r="D657" s="18"/>
      <c r="E657" s="104" t="s">
        <v>770</v>
      </c>
      <c r="F657" s="91" t="str">
        <f t="shared" si="66"/>
        <v/>
      </c>
      <c r="G657" s="91" t="str">
        <f t="shared" si="67"/>
        <v/>
      </c>
      <c r="H657" s="91" t="str">
        <f t="shared" si="77"/>
        <v/>
      </c>
      <c r="I657" s="79">
        <f t="shared" si="78"/>
        <v>108</v>
      </c>
      <c r="J657" s="74"/>
      <c r="K657" s="74"/>
      <c r="L657" s="75"/>
      <c r="M657" s="74"/>
      <c r="N657" s="74"/>
      <c r="O657" s="74"/>
      <c r="P657" s="74"/>
      <c r="Q657" s="74"/>
      <c r="R657" s="74"/>
      <c r="S657" s="74"/>
      <c r="T657" s="74"/>
      <c r="U657" s="74"/>
      <c r="V657" s="74"/>
      <c r="W657" s="74"/>
      <c r="X657" s="74"/>
      <c r="Y657" s="74"/>
    </row>
    <row r="658" spans="1:25" ht="33.6">
      <c r="A658" s="74"/>
      <c r="B658" s="91" t="str">
        <f t="shared" si="65"/>
        <v/>
      </c>
      <c r="C658" s="94"/>
      <c r="D658" s="18"/>
      <c r="E658" s="104" t="s">
        <v>771</v>
      </c>
      <c r="F658" s="91" t="str">
        <f t="shared" si="66"/>
        <v/>
      </c>
      <c r="G658" s="91" t="str">
        <f t="shared" si="67"/>
        <v/>
      </c>
      <c r="H658" s="91" t="str">
        <f t="shared" si="77"/>
        <v/>
      </c>
      <c r="I658" s="79">
        <f t="shared" si="78"/>
        <v>108</v>
      </c>
      <c r="J658" s="74"/>
      <c r="K658" s="74"/>
      <c r="L658" s="75"/>
      <c r="M658" s="74"/>
      <c r="N658" s="74"/>
      <c r="O658" s="74"/>
      <c r="P658" s="74"/>
      <c r="Q658" s="74"/>
      <c r="R658" s="74"/>
      <c r="S658" s="74"/>
      <c r="T658" s="74"/>
      <c r="U658" s="74"/>
      <c r="V658" s="74"/>
      <c r="W658" s="74"/>
      <c r="X658" s="74"/>
      <c r="Y658" s="74"/>
    </row>
    <row r="659" spans="1:25" ht="18">
      <c r="A659" s="74"/>
      <c r="B659" s="79">
        <f t="shared" si="65"/>
        <v>109</v>
      </c>
      <c r="C659" s="104" t="s">
        <v>772</v>
      </c>
      <c r="D659" s="18" t="s">
        <v>127</v>
      </c>
      <c r="E659" s="94"/>
      <c r="F659" s="91" t="str">
        <f t="shared" si="66"/>
        <v>B</v>
      </c>
      <c r="G659" s="91" t="str">
        <f t="shared" si="67"/>
        <v>Đơn giản</v>
      </c>
      <c r="H659" s="91">
        <f t="shared" si="77"/>
        <v>3</v>
      </c>
      <c r="I659" s="79" t="str">
        <f t="shared" si="78"/>
        <v/>
      </c>
      <c r="J659" s="74"/>
      <c r="K659" s="74"/>
      <c r="L659" s="75"/>
      <c r="M659" s="74"/>
      <c r="N659" s="74"/>
      <c r="O659" s="74"/>
      <c r="P659" s="74"/>
      <c r="Q659" s="74"/>
      <c r="R659" s="74"/>
      <c r="S659" s="74"/>
      <c r="T659" s="74"/>
      <c r="U659" s="74"/>
      <c r="V659" s="74"/>
      <c r="W659" s="74"/>
      <c r="X659" s="74"/>
      <c r="Y659" s="74"/>
    </row>
    <row r="660" spans="1:25" ht="33.6">
      <c r="A660" s="74"/>
      <c r="B660" s="91" t="str">
        <f t="shared" si="65"/>
        <v/>
      </c>
      <c r="C660" s="94"/>
      <c r="D660" s="18"/>
      <c r="E660" s="104" t="s">
        <v>773</v>
      </c>
      <c r="F660" s="91" t="str">
        <f t="shared" si="66"/>
        <v/>
      </c>
      <c r="G660" s="91" t="str">
        <f t="shared" si="67"/>
        <v/>
      </c>
      <c r="H660" s="91" t="str">
        <f t="shared" si="77"/>
        <v/>
      </c>
      <c r="I660" s="79">
        <f t="shared" si="78"/>
        <v>109</v>
      </c>
      <c r="J660" s="74"/>
      <c r="K660" s="74"/>
      <c r="L660" s="75"/>
      <c r="M660" s="74"/>
      <c r="N660" s="74"/>
      <c r="O660" s="74"/>
      <c r="P660" s="74"/>
      <c r="Q660" s="74"/>
      <c r="R660" s="74"/>
      <c r="S660" s="74"/>
      <c r="T660" s="74"/>
      <c r="U660" s="74"/>
      <c r="V660" s="74"/>
      <c r="W660" s="74"/>
      <c r="X660" s="74"/>
      <c r="Y660" s="74"/>
    </row>
    <row r="661" spans="1:25" ht="33.6">
      <c r="A661" s="74"/>
      <c r="B661" s="91" t="str">
        <f t="shared" si="65"/>
        <v/>
      </c>
      <c r="C661" s="94"/>
      <c r="D661" s="18"/>
      <c r="E661" s="104" t="s">
        <v>774</v>
      </c>
      <c r="F661" s="91" t="str">
        <f t="shared" si="66"/>
        <v/>
      </c>
      <c r="G661" s="91" t="str">
        <f t="shared" si="67"/>
        <v/>
      </c>
      <c r="H661" s="91" t="str">
        <f t="shared" si="77"/>
        <v/>
      </c>
      <c r="I661" s="79">
        <f t="shared" si="78"/>
        <v>109</v>
      </c>
      <c r="J661" s="74"/>
      <c r="K661" s="74"/>
      <c r="L661" s="75"/>
      <c r="M661" s="74"/>
      <c r="N661" s="74"/>
      <c r="O661" s="74"/>
      <c r="P661" s="74"/>
      <c r="Q661" s="74"/>
      <c r="R661" s="74"/>
      <c r="S661" s="74"/>
      <c r="T661" s="74"/>
      <c r="U661" s="74"/>
      <c r="V661" s="74"/>
      <c r="W661" s="74"/>
      <c r="X661" s="74"/>
      <c r="Y661" s="74"/>
    </row>
    <row r="662" spans="1:25" ht="33.6">
      <c r="A662" s="74"/>
      <c r="B662" s="91" t="str">
        <f t="shared" si="65"/>
        <v/>
      </c>
      <c r="C662" s="94"/>
      <c r="D662" s="18"/>
      <c r="E662" s="104" t="s">
        <v>775</v>
      </c>
      <c r="F662" s="91" t="str">
        <f t="shared" si="66"/>
        <v/>
      </c>
      <c r="G662" s="91" t="str">
        <f t="shared" si="67"/>
        <v/>
      </c>
      <c r="H662" s="91" t="str">
        <f t="shared" si="77"/>
        <v/>
      </c>
      <c r="I662" s="79">
        <f t="shared" si="78"/>
        <v>109</v>
      </c>
      <c r="J662" s="74"/>
      <c r="K662" s="74"/>
      <c r="L662" s="75"/>
      <c r="M662" s="74"/>
      <c r="N662" s="74"/>
      <c r="O662" s="74"/>
      <c r="P662" s="74"/>
      <c r="Q662" s="74"/>
      <c r="R662" s="74"/>
      <c r="S662" s="74"/>
      <c r="T662" s="74"/>
      <c r="U662" s="74"/>
      <c r="V662" s="74"/>
      <c r="W662" s="74"/>
      <c r="X662" s="74"/>
      <c r="Y662" s="74"/>
    </row>
    <row r="663" spans="1:25" ht="18">
      <c r="A663" s="74"/>
      <c r="B663" s="79">
        <f t="shared" si="65"/>
        <v>110</v>
      </c>
      <c r="C663" s="104" t="s">
        <v>776</v>
      </c>
      <c r="D663" s="18" t="s">
        <v>127</v>
      </c>
      <c r="E663" s="94"/>
      <c r="F663" s="91" t="str">
        <f t="shared" si="66"/>
        <v>B</v>
      </c>
      <c r="G663" s="91" t="str">
        <f t="shared" si="67"/>
        <v>Đơn giản</v>
      </c>
      <c r="H663" s="91">
        <f t="shared" si="77"/>
        <v>3</v>
      </c>
      <c r="I663" s="79" t="str">
        <f t="shared" si="78"/>
        <v/>
      </c>
      <c r="J663" s="74"/>
      <c r="K663" s="74"/>
      <c r="L663" s="75"/>
      <c r="M663" s="74"/>
      <c r="N663" s="74"/>
      <c r="O663" s="74"/>
      <c r="P663" s="74"/>
      <c r="Q663" s="74"/>
      <c r="R663" s="74"/>
      <c r="S663" s="74"/>
      <c r="T663" s="74"/>
      <c r="U663" s="74"/>
      <c r="V663" s="74"/>
      <c r="W663" s="74"/>
      <c r="X663" s="74"/>
      <c r="Y663" s="74"/>
    </row>
    <row r="664" spans="1:25" ht="33.6">
      <c r="A664" s="74"/>
      <c r="B664" s="91" t="str">
        <f t="shared" si="65"/>
        <v/>
      </c>
      <c r="C664" s="92"/>
      <c r="D664" s="18"/>
      <c r="E664" s="104" t="s">
        <v>777</v>
      </c>
      <c r="F664" s="91" t="str">
        <f t="shared" si="66"/>
        <v/>
      </c>
      <c r="G664" s="91" t="str">
        <f t="shared" si="67"/>
        <v/>
      </c>
      <c r="H664" s="91" t="str">
        <f t="shared" si="77"/>
        <v/>
      </c>
      <c r="I664" s="79">
        <f t="shared" si="78"/>
        <v>110</v>
      </c>
      <c r="J664" s="74"/>
      <c r="K664" s="74"/>
      <c r="L664" s="75"/>
      <c r="M664" s="74"/>
      <c r="N664" s="74"/>
      <c r="O664" s="74"/>
      <c r="P664" s="74"/>
      <c r="Q664" s="74"/>
      <c r="R664" s="74"/>
      <c r="S664" s="74"/>
      <c r="T664" s="74"/>
      <c r="U664" s="74"/>
      <c r="V664" s="74"/>
      <c r="W664" s="74"/>
      <c r="X664" s="74"/>
      <c r="Y664" s="74"/>
    </row>
    <row r="665" spans="1:25" ht="33.6">
      <c r="A665" s="74"/>
      <c r="B665" s="91" t="str">
        <f t="shared" si="65"/>
        <v/>
      </c>
      <c r="C665" s="92"/>
      <c r="D665" s="18"/>
      <c r="E665" s="104" t="s">
        <v>778</v>
      </c>
      <c r="F665" s="91" t="str">
        <f t="shared" si="66"/>
        <v/>
      </c>
      <c r="G665" s="91" t="str">
        <f t="shared" si="67"/>
        <v/>
      </c>
      <c r="H665" s="91" t="str">
        <f t="shared" si="77"/>
        <v/>
      </c>
      <c r="I665" s="79">
        <f t="shared" si="78"/>
        <v>110</v>
      </c>
      <c r="J665" s="74"/>
      <c r="K665" s="74"/>
      <c r="L665" s="75"/>
      <c r="M665" s="74"/>
      <c r="N665" s="74"/>
      <c r="O665" s="74"/>
      <c r="P665" s="74"/>
      <c r="Q665" s="74"/>
      <c r="R665" s="74"/>
      <c r="S665" s="74"/>
      <c r="T665" s="74"/>
      <c r="U665" s="74"/>
      <c r="V665" s="74"/>
      <c r="W665" s="74"/>
      <c r="X665" s="74"/>
      <c r="Y665" s="74"/>
    </row>
    <row r="666" spans="1:25" ht="33.6">
      <c r="A666" s="74"/>
      <c r="B666" s="91" t="str">
        <f t="shared" si="65"/>
        <v/>
      </c>
      <c r="C666" s="92"/>
      <c r="D666" s="18"/>
      <c r="E666" s="104" t="s">
        <v>779</v>
      </c>
      <c r="F666" s="91" t="str">
        <f t="shared" si="66"/>
        <v/>
      </c>
      <c r="G666" s="91" t="str">
        <f t="shared" si="67"/>
        <v/>
      </c>
      <c r="H666" s="91" t="str">
        <f t="shared" si="77"/>
        <v/>
      </c>
      <c r="I666" s="79">
        <f t="shared" si="78"/>
        <v>110</v>
      </c>
      <c r="J666" s="74"/>
      <c r="K666" s="74"/>
      <c r="L666" s="75"/>
      <c r="M666" s="74"/>
      <c r="N666" s="74"/>
      <c r="O666" s="74"/>
      <c r="P666" s="74"/>
      <c r="Q666" s="74"/>
      <c r="R666" s="74"/>
      <c r="S666" s="74"/>
      <c r="T666" s="74"/>
      <c r="U666" s="74"/>
      <c r="V666" s="74"/>
      <c r="W666" s="74"/>
      <c r="X666" s="74"/>
      <c r="Y666" s="74"/>
    </row>
    <row r="667" spans="1:25" ht="18">
      <c r="A667" s="74"/>
      <c r="B667" s="91" t="s">
        <v>780</v>
      </c>
      <c r="C667" s="105" t="s">
        <v>781</v>
      </c>
      <c r="D667" s="18"/>
      <c r="E667" s="94"/>
      <c r="F667" s="91" t="str">
        <f t="shared" si="66"/>
        <v/>
      </c>
      <c r="G667" s="91" t="str">
        <f t="shared" si="67"/>
        <v/>
      </c>
      <c r="H667" s="91" t="str">
        <f t="shared" si="77"/>
        <v/>
      </c>
      <c r="I667" s="79" t="str">
        <f t="shared" si="78"/>
        <v/>
      </c>
      <c r="J667" s="74"/>
      <c r="K667" s="74"/>
      <c r="L667" s="75"/>
      <c r="M667" s="74"/>
      <c r="N667" s="74"/>
      <c r="O667" s="74"/>
      <c r="P667" s="74"/>
      <c r="Q667" s="74"/>
      <c r="R667" s="74"/>
      <c r="S667" s="74"/>
      <c r="T667" s="74"/>
      <c r="U667" s="74"/>
      <c r="V667" s="74"/>
      <c r="W667" s="74"/>
      <c r="X667" s="74"/>
      <c r="Y667" s="74"/>
    </row>
    <row r="668" spans="1:25" ht="18">
      <c r="A668" s="74"/>
      <c r="B668" s="79">
        <f t="shared" ref="B668:B753" si="79">IF(C668="","",IF(F668="B",COUNTIF($F$6:F668,"B"),""))</f>
        <v>111</v>
      </c>
      <c r="C668" s="104" t="s">
        <v>782</v>
      </c>
      <c r="D668" s="18" t="s">
        <v>127</v>
      </c>
      <c r="E668" s="94"/>
      <c r="F668" s="91" t="str">
        <f t="shared" si="66"/>
        <v>B</v>
      </c>
      <c r="G668" s="91" t="str">
        <f t="shared" si="67"/>
        <v>Đơn giản</v>
      </c>
      <c r="H668" s="91">
        <f t="shared" si="77"/>
        <v>3</v>
      </c>
      <c r="I668" s="79" t="str">
        <f t="shared" si="78"/>
        <v/>
      </c>
      <c r="J668" s="74"/>
      <c r="K668" s="74"/>
      <c r="L668" s="75"/>
      <c r="M668" s="74"/>
      <c r="N668" s="74"/>
      <c r="O668" s="74"/>
      <c r="P668" s="74"/>
      <c r="Q668" s="74"/>
      <c r="R668" s="74"/>
      <c r="S668" s="74"/>
      <c r="T668" s="74"/>
      <c r="U668" s="74"/>
      <c r="V668" s="74"/>
      <c r="W668" s="74"/>
      <c r="X668" s="74"/>
      <c r="Y668" s="74"/>
    </row>
    <row r="669" spans="1:25" ht="50.45">
      <c r="A669" s="74"/>
      <c r="B669" s="91" t="str">
        <f t="shared" si="79"/>
        <v/>
      </c>
      <c r="C669" s="94"/>
      <c r="D669" s="18"/>
      <c r="E669" s="104" t="s">
        <v>783</v>
      </c>
      <c r="F669" s="91" t="str">
        <f t="shared" si="66"/>
        <v/>
      </c>
      <c r="G669" s="91" t="str">
        <f t="shared" si="67"/>
        <v/>
      </c>
      <c r="H669" s="91" t="str">
        <f t="shared" si="77"/>
        <v/>
      </c>
      <c r="I669" s="79">
        <f t="shared" si="78"/>
        <v>111</v>
      </c>
      <c r="J669" s="74"/>
      <c r="K669" s="74"/>
      <c r="L669" s="75"/>
      <c r="M669" s="74"/>
      <c r="N669" s="74"/>
      <c r="O669" s="74"/>
      <c r="P669" s="74"/>
      <c r="Q669" s="74"/>
      <c r="R669" s="74"/>
      <c r="S669" s="74"/>
      <c r="T669" s="74"/>
      <c r="U669" s="74"/>
      <c r="V669" s="74"/>
      <c r="W669" s="74"/>
      <c r="X669" s="74"/>
      <c r="Y669" s="74"/>
    </row>
    <row r="670" spans="1:25" ht="33.6">
      <c r="A670" s="74"/>
      <c r="B670" s="91" t="str">
        <f t="shared" si="79"/>
        <v/>
      </c>
      <c r="C670" s="94"/>
      <c r="D670" s="18"/>
      <c r="E670" s="104" t="s">
        <v>784</v>
      </c>
      <c r="F670" s="91" t="str">
        <f t="shared" si="66"/>
        <v/>
      </c>
      <c r="G670" s="91" t="str">
        <f t="shared" si="67"/>
        <v/>
      </c>
      <c r="H670" s="91" t="str">
        <f t="shared" si="77"/>
        <v/>
      </c>
      <c r="I670" s="79">
        <f t="shared" si="78"/>
        <v>111</v>
      </c>
      <c r="J670" s="74"/>
      <c r="K670" s="74"/>
      <c r="L670" s="75"/>
      <c r="M670" s="74"/>
      <c r="N670" s="74"/>
      <c r="O670" s="74"/>
      <c r="P670" s="74"/>
      <c r="Q670" s="74"/>
      <c r="R670" s="74"/>
      <c r="S670" s="74"/>
      <c r="T670" s="74"/>
      <c r="U670" s="74"/>
      <c r="V670" s="74"/>
      <c r="W670" s="74"/>
      <c r="X670" s="74"/>
      <c r="Y670" s="74"/>
    </row>
    <row r="671" spans="1:25" ht="33.6">
      <c r="A671" s="74"/>
      <c r="B671" s="91" t="str">
        <f t="shared" si="79"/>
        <v/>
      </c>
      <c r="C671" s="94"/>
      <c r="D671" s="18"/>
      <c r="E671" s="104" t="s">
        <v>785</v>
      </c>
      <c r="F671" s="91" t="str">
        <f t="shared" si="66"/>
        <v/>
      </c>
      <c r="G671" s="91" t="str">
        <f t="shared" si="67"/>
        <v/>
      </c>
      <c r="H671" s="91" t="str">
        <f t="shared" si="77"/>
        <v/>
      </c>
      <c r="I671" s="79">
        <f t="shared" si="78"/>
        <v>111</v>
      </c>
      <c r="J671" s="74"/>
      <c r="K671" s="74"/>
      <c r="L671" s="75"/>
      <c r="M671" s="74"/>
      <c r="N671" s="74"/>
      <c r="O671" s="74"/>
      <c r="P671" s="74"/>
      <c r="Q671" s="74"/>
      <c r="R671" s="74"/>
      <c r="S671" s="74"/>
      <c r="T671" s="74"/>
      <c r="U671" s="74"/>
      <c r="V671" s="74"/>
      <c r="W671" s="74"/>
      <c r="X671" s="74"/>
      <c r="Y671" s="74"/>
    </row>
    <row r="672" spans="1:25" ht="18">
      <c r="A672" s="74"/>
      <c r="B672" s="79">
        <f t="shared" si="79"/>
        <v>112</v>
      </c>
      <c r="C672" s="104" t="s">
        <v>786</v>
      </c>
      <c r="D672" s="18" t="s">
        <v>127</v>
      </c>
      <c r="E672" s="94"/>
      <c r="F672" s="91" t="str">
        <f t="shared" si="66"/>
        <v>B</v>
      </c>
      <c r="G672" s="91" t="str">
        <f t="shared" si="67"/>
        <v>Đơn giản</v>
      </c>
      <c r="H672" s="91">
        <f t="shared" si="77"/>
        <v>3</v>
      </c>
      <c r="I672" s="79" t="str">
        <f t="shared" si="78"/>
        <v/>
      </c>
      <c r="J672" s="74"/>
      <c r="K672" s="74"/>
      <c r="L672" s="75"/>
      <c r="M672" s="74"/>
      <c r="N672" s="74"/>
      <c r="O672" s="74"/>
      <c r="P672" s="74"/>
      <c r="Q672" s="74"/>
      <c r="R672" s="74"/>
      <c r="S672" s="74"/>
      <c r="T672" s="74"/>
      <c r="U672" s="74"/>
      <c r="V672" s="74"/>
      <c r="W672" s="74"/>
      <c r="X672" s="74"/>
      <c r="Y672" s="74"/>
    </row>
    <row r="673" spans="1:25" ht="33.6">
      <c r="A673" s="74"/>
      <c r="B673" s="91" t="str">
        <f t="shared" si="79"/>
        <v/>
      </c>
      <c r="C673" s="94"/>
      <c r="D673" s="18"/>
      <c r="E673" s="104" t="s">
        <v>787</v>
      </c>
      <c r="F673" s="91" t="str">
        <f t="shared" si="66"/>
        <v/>
      </c>
      <c r="G673" s="91" t="str">
        <f t="shared" si="67"/>
        <v/>
      </c>
      <c r="H673" s="91" t="str">
        <f t="shared" si="77"/>
        <v/>
      </c>
      <c r="I673" s="79">
        <f t="shared" si="78"/>
        <v>112</v>
      </c>
      <c r="J673" s="74"/>
      <c r="K673" s="74"/>
      <c r="L673" s="75"/>
      <c r="M673" s="74"/>
      <c r="N673" s="74"/>
      <c r="O673" s="74"/>
      <c r="P673" s="74"/>
      <c r="Q673" s="74"/>
      <c r="R673" s="74"/>
      <c r="S673" s="74"/>
      <c r="T673" s="74"/>
      <c r="U673" s="74"/>
      <c r="V673" s="74"/>
      <c r="W673" s="74"/>
      <c r="X673" s="74"/>
      <c r="Y673" s="74"/>
    </row>
    <row r="674" spans="1:25" ht="33.6">
      <c r="A674" s="74"/>
      <c r="B674" s="91" t="str">
        <f t="shared" si="79"/>
        <v/>
      </c>
      <c r="C674" s="94"/>
      <c r="D674" s="18"/>
      <c r="E674" s="104" t="s">
        <v>788</v>
      </c>
      <c r="F674" s="91" t="str">
        <f t="shared" si="66"/>
        <v/>
      </c>
      <c r="G674" s="91" t="str">
        <f t="shared" si="67"/>
        <v/>
      </c>
      <c r="H674" s="91" t="str">
        <f t="shared" si="77"/>
        <v/>
      </c>
      <c r="I674" s="79">
        <f t="shared" si="78"/>
        <v>112</v>
      </c>
      <c r="J674" s="74"/>
      <c r="K674" s="74"/>
      <c r="L674" s="75"/>
      <c r="M674" s="74"/>
      <c r="N674" s="74"/>
      <c r="O674" s="74"/>
      <c r="P674" s="74"/>
      <c r="Q674" s="74"/>
      <c r="R674" s="74"/>
      <c r="S674" s="74"/>
      <c r="T674" s="74"/>
      <c r="U674" s="74"/>
      <c r="V674" s="74"/>
      <c r="W674" s="74"/>
      <c r="X674" s="74"/>
      <c r="Y674" s="74"/>
    </row>
    <row r="675" spans="1:25" ht="50.45">
      <c r="A675" s="74"/>
      <c r="B675" s="91" t="str">
        <f t="shared" si="79"/>
        <v/>
      </c>
      <c r="C675" s="94"/>
      <c r="D675" s="18"/>
      <c r="E675" s="104" t="s">
        <v>789</v>
      </c>
      <c r="F675" s="91" t="str">
        <f t="shared" si="66"/>
        <v/>
      </c>
      <c r="G675" s="91" t="str">
        <f t="shared" si="67"/>
        <v/>
      </c>
      <c r="H675" s="91" t="str">
        <f t="shared" si="77"/>
        <v/>
      </c>
      <c r="I675" s="79">
        <f t="shared" si="78"/>
        <v>112</v>
      </c>
      <c r="J675" s="74"/>
      <c r="K675" s="74"/>
      <c r="L675" s="75"/>
      <c r="M675" s="74"/>
      <c r="N675" s="74"/>
      <c r="O675" s="74"/>
      <c r="P675" s="74"/>
      <c r="Q675" s="74"/>
      <c r="R675" s="74"/>
      <c r="S675" s="74"/>
      <c r="T675" s="74"/>
      <c r="U675" s="74"/>
      <c r="V675" s="74"/>
      <c r="W675" s="74"/>
      <c r="X675" s="74"/>
      <c r="Y675" s="74"/>
    </row>
    <row r="676" spans="1:25" ht="18">
      <c r="A676" s="74"/>
      <c r="B676" s="79">
        <f t="shared" si="79"/>
        <v>113</v>
      </c>
      <c r="C676" s="104" t="s">
        <v>790</v>
      </c>
      <c r="D676" s="18" t="s">
        <v>127</v>
      </c>
      <c r="E676" s="94"/>
      <c r="F676" s="91" t="str">
        <f t="shared" si="66"/>
        <v>B</v>
      </c>
      <c r="G676" s="91" t="str">
        <f t="shared" si="67"/>
        <v>Đơn giản</v>
      </c>
      <c r="H676" s="91">
        <f t="shared" si="77"/>
        <v>3</v>
      </c>
      <c r="I676" s="79" t="str">
        <f t="shared" si="78"/>
        <v/>
      </c>
      <c r="J676" s="74"/>
      <c r="K676" s="74"/>
      <c r="L676" s="75"/>
      <c r="M676" s="74"/>
      <c r="N676" s="74"/>
      <c r="O676" s="74"/>
      <c r="P676" s="74"/>
      <c r="Q676" s="74"/>
      <c r="R676" s="74"/>
      <c r="S676" s="74"/>
      <c r="T676" s="74"/>
      <c r="U676" s="74"/>
      <c r="V676" s="74"/>
      <c r="W676" s="74"/>
      <c r="X676" s="74"/>
      <c r="Y676" s="74"/>
    </row>
    <row r="677" spans="1:25" ht="33.6">
      <c r="A677" s="74"/>
      <c r="B677" s="91" t="str">
        <f t="shared" si="79"/>
        <v/>
      </c>
      <c r="C677" s="94"/>
      <c r="D677" s="18"/>
      <c r="E677" s="104" t="s">
        <v>791</v>
      </c>
      <c r="F677" s="91" t="str">
        <f t="shared" si="66"/>
        <v/>
      </c>
      <c r="G677" s="91" t="str">
        <f t="shared" si="67"/>
        <v/>
      </c>
      <c r="H677" s="91" t="str">
        <f t="shared" si="77"/>
        <v/>
      </c>
      <c r="I677" s="79">
        <f t="shared" si="78"/>
        <v>113</v>
      </c>
      <c r="J677" s="74"/>
      <c r="K677" s="74"/>
      <c r="L677" s="75"/>
      <c r="M677" s="74"/>
      <c r="N677" s="74"/>
      <c r="O677" s="74"/>
      <c r="P677" s="74"/>
      <c r="Q677" s="74"/>
      <c r="R677" s="74"/>
      <c r="S677" s="74"/>
      <c r="T677" s="74"/>
      <c r="U677" s="74"/>
      <c r="V677" s="74"/>
      <c r="W677" s="74"/>
      <c r="X677" s="74"/>
      <c r="Y677" s="74"/>
    </row>
    <row r="678" spans="1:25" ht="33.6">
      <c r="A678" s="74"/>
      <c r="B678" s="91" t="str">
        <f t="shared" si="79"/>
        <v/>
      </c>
      <c r="C678" s="94"/>
      <c r="D678" s="18"/>
      <c r="E678" s="104" t="s">
        <v>792</v>
      </c>
      <c r="F678" s="91" t="str">
        <f t="shared" si="66"/>
        <v/>
      </c>
      <c r="G678" s="91" t="str">
        <f t="shared" si="67"/>
        <v/>
      </c>
      <c r="H678" s="91" t="str">
        <f t="shared" si="77"/>
        <v/>
      </c>
      <c r="I678" s="79">
        <f t="shared" si="78"/>
        <v>113</v>
      </c>
      <c r="J678" s="74"/>
      <c r="K678" s="74"/>
      <c r="L678" s="75"/>
      <c r="M678" s="74"/>
      <c r="N678" s="74"/>
      <c r="O678" s="74"/>
      <c r="P678" s="74"/>
      <c r="Q678" s="74"/>
      <c r="R678" s="74"/>
      <c r="S678" s="74"/>
      <c r="T678" s="74"/>
      <c r="U678" s="74"/>
      <c r="V678" s="74"/>
      <c r="W678" s="74"/>
      <c r="X678" s="74"/>
      <c r="Y678" s="74"/>
    </row>
    <row r="679" spans="1:25" ht="50.45">
      <c r="A679" s="74"/>
      <c r="B679" s="91" t="str">
        <f t="shared" si="79"/>
        <v/>
      </c>
      <c r="C679" s="94"/>
      <c r="D679" s="18"/>
      <c r="E679" s="104" t="s">
        <v>793</v>
      </c>
      <c r="F679" s="91" t="str">
        <f t="shared" si="66"/>
        <v/>
      </c>
      <c r="G679" s="91" t="str">
        <f t="shared" si="67"/>
        <v/>
      </c>
      <c r="H679" s="91" t="str">
        <f t="shared" si="77"/>
        <v/>
      </c>
      <c r="I679" s="79">
        <f t="shared" si="78"/>
        <v>113</v>
      </c>
      <c r="J679" s="74"/>
      <c r="K679" s="74"/>
      <c r="L679" s="75"/>
      <c r="M679" s="74"/>
      <c r="N679" s="74"/>
      <c r="O679" s="74"/>
      <c r="P679" s="74"/>
      <c r="Q679" s="74"/>
      <c r="R679" s="74"/>
      <c r="S679" s="74"/>
      <c r="T679" s="74"/>
      <c r="U679" s="74"/>
      <c r="V679" s="74"/>
      <c r="W679" s="74"/>
      <c r="X679" s="74"/>
      <c r="Y679" s="74"/>
    </row>
    <row r="680" spans="1:25" ht="18">
      <c r="A680" s="74"/>
      <c r="B680" s="79">
        <f t="shared" si="79"/>
        <v>114</v>
      </c>
      <c r="C680" s="104" t="s">
        <v>794</v>
      </c>
      <c r="D680" s="18" t="s">
        <v>127</v>
      </c>
      <c r="E680" s="94"/>
      <c r="F680" s="91" t="str">
        <f t="shared" si="66"/>
        <v>B</v>
      </c>
      <c r="G680" s="91" t="str">
        <f t="shared" si="67"/>
        <v>Đơn giản</v>
      </c>
      <c r="H680" s="91">
        <f t="shared" si="77"/>
        <v>2</v>
      </c>
      <c r="I680" s="79" t="str">
        <f t="shared" si="78"/>
        <v/>
      </c>
      <c r="J680" s="74"/>
      <c r="K680" s="74"/>
      <c r="L680" s="75"/>
      <c r="M680" s="74"/>
      <c r="N680" s="74"/>
      <c r="O680" s="74"/>
      <c r="P680" s="74"/>
      <c r="Q680" s="74"/>
      <c r="R680" s="74"/>
      <c r="S680" s="74"/>
      <c r="T680" s="74"/>
      <c r="U680" s="74"/>
      <c r="V680" s="74"/>
      <c r="W680" s="74"/>
      <c r="X680" s="74"/>
      <c r="Y680" s="74"/>
    </row>
    <row r="681" spans="1:25" ht="50.45">
      <c r="A681" s="74"/>
      <c r="B681" s="91" t="str">
        <f t="shared" si="79"/>
        <v/>
      </c>
      <c r="C681" s="94"/>
      <c r="D681" s="18"/>
      <c r="E681" s="104" t="s">
        <v>795</v>
      </c>
      <c r="F681" s="91" t="str">
        <f t="shared" si="66"/>
        <v/>
      </c>
      <c r="G681" s="91" t="str">
        <f t="shared" si="67"/>
        <v/>
      </c>
      <c r="H681" s="91" t="str">
        <f t="shared" si="77"/>
        <v/>
      </c>
      <c r="I681" s="79">
        <f t="shared" si="78"/>
        <v>114</v>
      </c>
      <c r="J681" s="74"/>
      <c r="K681" s="74"/>
      <c r="L681" s="75"/>
      <c r="M681" s="74"/>
      <c r="N681" s="74"/>
      <c r="O681" s="74"/>
      <c r="P681" s="74"/>
      <c r="Q681" s="74"/>
      <c r="R681" s="74"/>
      <c r="S681" s="74"/>
      <c r="T681" s="74"/>
      <c r="U681" s="74"/>
      <c r="V681" s="74"/>
      <c r="W681" s="74"/>
      <c r="X681" s="74"/>
      <c r="Y681" s="74"/>
    </row>
    <row r="682" spans="1:25" ht="33.6">
      <c r="A682" s="74"/>
      <c r="B682" s="91" t="str">
        <f t="shared" si="79"/>
        <v/>
      </c>
      <c r="C682" s="94"/>
      <c r="D682" s="18"/>
      <c r="E682" s="104" t="s">
        <v>796</v>
      </c>
      <c r="F682" s="91" t="str">
        <f t="shared" si="66"/>
        <v/>
      </c>
      <c r="G682" s="91" t="str">
        <f t="shared" si="67"/>
        <v/>
      </c>
      <c r="H682" s="91" t="str">
        <f t="shared" si="77"/>
        <v/>
      </c>
      <c r="I682" s="79">
        <f t="shared" si="78"/>
        <v>114</v>
      </c>
      <c r="J682" s="74"/>
      <c r="K682" s="74"/>
      <c r="L682" s="75"/>
      <c r="M682" s="74"/>
      <c r="N682" s="74"/>
      <c r="O682" s="74"/>
      <c r="P682" s="74"/>
      <c r="Q682" s="74"/>
      <c r="R682" s="74"/>
      <c r="S682" s="74"/>
      <c r="T682" s="74"/>
      <c r="U682" s="74"/>
      <c r="V682" s="74"/>
      <c r="W682" s="74"/>
      <c r="X682" s="74"/>
      <c r="Y682" s="74"/>
    </row>
    <row r="683" spans="1:25" ht="18">
      <c r="A683" s="74"/>
      <c r="B683" s="79">
        <f t="shared" si="79"/>
        <v>115</v>
      </c>
      <c r="C683" s="104" t="s">
        <v>797</v>
      </c>
      <c r="D683" s="18" t="s">
        <v>127</v>
      </c>
      <c r="E683" s="94"/>
      <c r="F683" s="91" t="str">
        <f t="shared" si="66"/>
        <v>B</v>
      </c>
      <c r="G683" s="91" t="str">
        <f t="shared" si="67"/>
        <v>Đơn giản</v>
      </c>
      <c r="H683" s="91">
        <f t="shared" si="77"/>
        <v>3</v>
      </c>
      <c r="I683" s="79" t="str">
        <f t="shared" si="78"/>
        <v/>
      </c>
      <c r="J683" s="74"/>
      <c r="K683" s="74"/>
      <c r="L683" s="75"/>
      <c r="M683" s="74"/>
      <c r="N683" s="74"/>
      <c r="O683" s="74"/>
      <c r="P683" s="74"/>
      <c r="Q683" s="74"/>
      <c r="R683" s="74"/>
      <c r="S683" s="74"/>
      <c r="T683" s="74"/>
      <c r="U683" s="74"/>
      <c r="V683" s="74"/>
      <c r="W683" s="74"/>
      <c r="X683" s="74"/>
      <c r="Y683" s="74"/>
    </row>
    <row r="684" spans="1:25" ht="50.45">
      <c r="A684" s="74"/>
      <c r="B684" s="91" t="str">
        <f t="shared" si="79"/>
        <v/>
      </c>
      <c r="C684" s="94"/>
      <c r="D684" s="18"/>
      <c r="E684" s="104" t="s">
        <v>798</v>
      </c>
      <c r="F684" s="91" t="str">
        <f t="shared" si="66"/>
        <v/>
      </c>
      <c r="G684" s="91" t="str">
        <f t="shared" si="67"/>
        <v/>
      </c>
      <c r="H684" s="91" t="str">
        <f t="shared" si="77"/>
        <v/>
      </c>
      <c r="I684" s="79">
        <f t="shared" si="78"/>
        <v>115</v>
      </c>
      <c r="J684" s="74"/>
      <c r="K684" s="74"/>
      <c r="L684" s="75"/>
      <c r="M684" s="74"/>
      <c r="N684" s="74"/>
      <c r="O684" s="74"/>
      <c r="P684" s="74"/>
      <c r="Q684" s="74"/>
      <c r="R684" s="74"/>
      <c r="S684" s="74"/>
      <c r="T684" s="74"/>
      <c r="U684" s="74"/>
      <c r="V684" s="74"/>
      <c r="W684" s="74"/>
      <c r="X684" s="74"/>
      <c r="Y684" s="74"/>
    </row>
    <row r="685" spans="1:25" ht="50.45">
      <c r="A685" s="74"/>
      <c r="B685" s="91" t="str">
        <f t="shared" si="79"/>
        <v/>
      </c>
      <c r="C685" s="94"/>
      <c r="D685" s="18"/>
      <c r="E685" s="104" t="s">
        <v>799</v>
      </c>
      <c r="F685" s="91" t="str">
        <f t="shared" si="66"/>
        <v/>
      </c>
      <c r="G685" s="91" t="str">
        <f t="shared" si="67"/>
        <v/>
      </c>
      <c r="H685" s="91" t="str">
        <f t="shared" si="77"/>
        <v/>
      </c>
      <c r="I685" s="79">
        <f t="shared" si="78"/>
        <v>115</v>
      </c>
      <c r="J685" s="74"/>
      <c r="K685" s="74"/>
      <c r="L685" s="75"/>
      <c r="M685" s="74"/>
      <c r="N685" s="74"/>
      <c r="O685" s="74"/>
      <c r="P685" s="74"/>
      <c r="Q685" s="74"/>
      <c r="R685" s="74"/>
      <c r="S685" s="74"/>
      <c r="T685" s="74"/>
      <c r="U685" s="74"/>
      <c r="V685" s="74"/>
      <c r="W685" s="74"/>
      <c r="X685" s="74"/>
      <c r="Y685" s="74"/>
    </row>
    <row r="686" spans="1:25" ht="33.6">
      <c r="A686" s="74"/>
      <c r="B686" s="91" t="str">
        <f t="shared" si="79"/>
        <v/>
      </c>
      <c r="C686" s="94"/>
      <c r="D686" s="18"/>
      <c r="E686" s="104" t="s">
        <v>800</v>
      </c>
      <c r="F686" s="91" t="str">
        <f t="shared" si="66"/>
        <v/>
      </c>
      <c r="G686" s="91" t="str">
        <f t="shared" si="67"/>
        <v/>
      </c>
      <c r="H686" s="91" t="str">
        <f t="shared" si="77"/>
        <v/>
      </c>
      <c r="I686" s="79">
        <f t="shared" si="78"/>
        <v>115</v>
      </c>
      <c r="J686" s="74"/>
      <c r="K686" s="74"/>
      <c r="L686" s="75"/>
      <c r="M686" s="74"/>
      <c r="N686" s="74"/>
      <c r="O686" s="74"/>
      <c r="P686" s="74"/>
      <c r="Q686" s="74"/>
      <c r="R686" s="74"/>
      <c r="S686" s="74"/>
      <c r="T686" s="74"/>
      <c r="U686" s="74"/>
      <c r="V686" s="74"/>
      <c r="W686" s="74"/>
      <c r="X686" s="74"/>
      <c r="Y686" s="74"/>
    </row>
    <row r="687" spans="1:25" ht="18">
      <c r="A687" s="74"/>
      <c r="B687" s="79">
        <f t="shared" si="79"/>
        <v>116</v>
      </c>
      <c r="C687" s="104" t="s">
        <v>801</v>
      </c>
      <c r="D687" s="18" t="s">
        <v>127</v>
      </c>
      <c r="E687" s="94"/>
      <c r="F687" s="91" t="str">
        <f t="shared" si="66"/>
        <v>B</v>
      </c>
      <c r="G687" s="91" t="str">
        <f t="shared" si="67"/>
        <v>Đơn giản</v>
      </c>
      <c r="H687" s="91">
        <f t="shared" si="77"/>
        <v>3</v>
      </c>
      <c r="I687" s="79" t="str">
        <f t="shared" si="78"/>
        <v/>
      </c>
      <c r="J687" s="74"/>
      <c r="K687" s="74"/>
      <c r="L687" s="75"/>
      <c r="M687" s="74"/>
      <c r="N687" s="74"/>
      <c r="O687" s="74"/>
      <c r="P687" s="74"/>
      <c r="Q687" s="74"/>
      <c r="R687" s="74"/>
      <c r="S687" s="74"/>
      <c r="T687" s="74"/>
      <c r="U687" s="74"/>
      <c r="V687" s="74"/>
      <c r="W687" s="74"/>
      <c r="X687" s="74"/>
      <c r="Y687" s="74"/>
    </row>
    <row r="688" spans="1:25" ht="50.45">
      <c r="A688" s="74"/>
      <c r="B688" s="91" t="str">
        <f t="shared" si="79"/>
        <v/>
      </c>
      <c r="C688" s="94"/>
      <c r="D688" s="18"/>
      <c r="E688" s="104" t="s">
        <v>802</v>
      </c>
      <c r="F688" s="91" t="str">
        <f t="shared" si="66"/>
        <v/>
      </c>
      <c r="G688" s="91" t="str">
        <f t="shared" si="67"/>
        <v/>
      </c>
      <c r="H688" s="91" t="str">
        <f t="shared" si="77"/>
        <v/>
      </c>
      <c r="I688" s="79">
        <f t="shared" si="78"/>
        <v>116</v>
      </c>
      <c r="J688" s="74"/>
      <c r="K688" s="74"/>
      <c r="L688" s="75"/>
      <c r="M688" s="74"/>
      <c r="N688" s="74"/>
      <c r="O688" s="74"/>
      <c r="P688" s="74"/>
      <c r="Q688" s="74"/>
      <c r="R688" s="74"/>
      <c r="S688" s="74"/>
      <c r="T688" s="74"/>
      <c r="U688" s="74"/>
      <c r="V688" s="74"/>
      <c r="W688" s="74"/>
      <c r="X688" s="74"/>
      <c r="Y688" s="74"/>
    </row>
    <row r="689" spans="1:25" ht="33.6">
      <c r="A689" s="74"/>
      <c r="B689" s="91" t="str">
        <f t="shared" si="79"/>
        <v/>
      </c>
      <c r="C689" s="94"/>
      <c r="D689" s="18"/>
      <c r="E689" s="104" t="s">
        <v>803</v>
      </c>
      <c r="F689" s="91" t="str">
        <f t="shared" si="66"/>
        <v/>
      </c>
      <c r="G689" s="91" t="str">
        <f t="shared" si="67"/>
        <v/>
      </c>
      <c r="H689" s="91" t="str">
        <f t="shared" si="77"/>
        <v/>
      </c>
      <c r="I689" s="79">
        <f t="shared" si="78"/>
        <v>116</v>
      </c>
      <c r="J689" s="74"/>
      <c r="K689" s="74"/>
      <c r="L689" s="75"/>
      <c r="M689" s="74"/>
      <c r="N689" s="74"/>
      <c r="O689" s="74"/>
      <c r="P689" s="74"/>
      <c r="Q689" s="74"/>
      <c r="R689" s="74"/>
      <c r="S689" s="74"/>
      <c r="T689" s="74"/>
      <c r="U689" s="74"/>
      <c r="V689" s="74"/>
      <c r="W689" s="74"/>
      <c r="X689" s="74"/>
      <c r="Y689" s="74"/>
    </row>
    <row r="690" spans="1:25" ht="33.6">
      <c r="A690" s="74"/>
      <c r="B690" s="91" t="str">
        <f t="shared" si="79"/>
        <v/>
      </c>
      <c r="C690" s="94"/>
      <c r="D690" s="18"/>
      <c r="E690" s="104" t="s">
        <v>804</v>
      </c>
      <c r="F690" s="91" t="str">
        <f t="shared" si="66"/>
        <v/>
      </c>
      <c r="G690" s="91" t="str">
        <f t="shared" si="67"/>
        <v/>
      </c>
      <c r="H690" s="91" t="str">
        <f t="shared" si="77"/>
        <v/>
      </c>
      <c r="I690" s="79">
        <f t="shared" si="78"/>
        <v>116</v>
      </c>
      <c r="J690" s="74"/>
      <c r="K690" s="74"/>
      <c r="L690" s="75"/>
      <c r="M690" s="74"/>
      <c r="N690" s="74"/>
      <c r="O690" s="74"/>
      <c r="P690" s="74"/>
      <c r="Q690" s="74"/>
      <c r="R690" s="74"/>
      <c r="S690" s="74"/>
      <c r="T690" s="74"/>
      <c r="U690" s="74"/>
      <c r="V690" s="74"/>
      <c r="W690" s="74"/>
      <c r="X690" s="74"/>
      <c r="Y690" s="74"/>
    </row>
    <row r="691" spans="1:25" ht="18">
      <c r="A691" s="74"/>
      <c r="B691" s="79">
        <f t="shared" si="79"/>
        <v>117</v>
      </c>
      <c r="C691" s="104" t="s">
        <v>805</v>
      </c>
      <c r="D691" s="18" t="s">
        <v>127</v>
      </c>
      <c r="E691" s="94"/>
      <c r="F691" s="91" t="str">
        <f t="shared" si="66"/>
        <v>B</v>
      </c>
      <c r="G691" s="91" t="str">
        <f t="shared" si="67"/>
        <v>Đơn giản</v>
      </c>
      <c r="H691" s="91">
        <f t="shared" si="77"/>
        <v>2</v>
      </c>
      <c r="I691" s="79" t="str">
        <f t="shared" si="78"/>
        <v/>
      </c>
      <c r="J691" s="74"/>
      <c r="K691" s="74"/>
      <c r="L691" s="75"/>
      <c r="M691" s="74"/>
      <c r="N691" s="74"/>
      <c r="O691" s="74"/>
      <c r="P691" s="74"/>
      <c r="Q691" s="74"/>
      <c r="R691" s="74"/>
      <c r="S691" s="74"/>
      <c r="T691" s="74"/>
      <c r="U691" s="74"/>
      <c r="V691" s="74"/>
      <c r="W691" s="74"/>
      <c r="X691" s="74"/>
      <c r="Y691" s="74"/>
    </row>
    <row r="692" spans="1:25" ht="50.45">
      <c r="A692" s="74"/>
      <c r="B692" s="91" t="str">
        <f t="shared" si="79"/>
        <v/>
      </c>
      <c r="C692" s="94"/>
      <c r="D692" s="18"/>
      <c r="E692" s="104" t="s">
        <v>806</v>
      </c>
      <c r="F692" s="91" t="str">
        <f t="shared" si="66"/>
        <v/>
      </c>
      <c r="G692" s="91" t="str">
        <f t="shared" si="67"/>
        <v/>
      </c>
      <c r="H692" s="91" t="str">
        <f t="shared" si="77"/>
        <v/>
      </c>
      <c r="I692" s="79">
        <f t="shared" si="78"/>
        <v>117</v>
      </c>
      <c r="J692" s="74"/>
      <c r="K692" s="74"/>
      <c r="L692" s="75"/>
      <c r="M692" s="74"/>
      <c r="N692" s="74"/>
      <c r="O692" s="74"/>
      <c r="P692" s="74"/>
      <c r="Q692" s="74"/>
      <c r="R692" s="74"/>
      <c r="S692" s="74"/>
      <c r="T692" s="74"/>
      <c r="U692" s="74"/>
      <c r="V692" s="74"/>
      <c r="W692" s="74"/>
      <c r="X692" s="74"/>
      <c r="Y692" s="74"/>
    </row>
    <row r="693" spans="1:25" ht="33.6">
      <c r="A693" s="74"/>
      <c r="B693" s="91" t="str">
        <f t="shared" si="79"/>
        <v/>
      </c>
      <c r="C693" s="94"/>
      <c r="D693" s="18"/>
      <c r="E693" s="104" t="s">
        <v>807</v>
      </c>
      <c r="F693" s="91" t="str">
        <f t="shared" si="66"/>
        <v/>
      </c>
      <c r="G693" s="91" t="str">
        <f t="shared" si="67"/>
        <v/>
      </c>
      <c r="H693" s="91" t="str">
        <f t="shared" si="77"/>
        <v/>
      </c>
      <c r="I693" s="79">
        <f t="shared" si="78"/>
        <v>117</v>
      </c>
      <c r="J693" s="74"/>
      <c r="K693" s="74"/>
      <c r="L693" s="75"/>
      <c r="M693" s="74"/>
      <c r="N693" s="74"/>
      <c r="O693" s="74"/>
      <c r="P693" s="74"/>
      <c r="Q693" s="74"/>
      <c r="R693" s="74"/>
      <c r="S693" s="74"/>
      <c r="T693" s="74"/>
      <c r="U693" s="74"/>
      <c r="V693" s="74"/>
      <c r="W693" s="74"/>
      <c r="X693" s="74"/>
      <c r="Y693" s="74"/>
    </row>
    <row r="694" spans="1:25" ht="18">
      <c r="A694" s="74"/>
      <c r="B694" s="79">
        <f t="shared" si="79"/>
        <v>118</v>
      </c>
      <c r="C694" s="104" t="s">
        <v>808</v>
      </c>
      <c r="D694" s="18" t="s">
        <v>127</v>
      </c>
      <c r="E694" s="94"/>
      <c r="F694" s="91" t="str">
        <f t="shared" si="66"/>
        <v>B</v>
      </c>
      <c r="G694" s="91" t="str">
        <f t="shared" si="67"/>
        <v>Đơn giản</v>
      </c>
      <c r="H694" s="91">
        <f t="shared" si="77"/>
        <v>3</v>
      </c>
      <c r="I694" s="79" t="str">
        <f t="shared" si="78"/>
        <v/>
      </c>
      <c r="J694" s="74"/>
      <c r="K694" s="74"/>
      <c r="L694" s="75"/>
      <c r="M694" s="74"/>
      <c r="N694" s="74"/>
      <c r="O694" s="74"/>
      <c r="P694" s="74"/>
      <c r="Q694" s="74"/>
      <c r="R694" s="74"/>
      <c r="S694" s="74"/>
      <c r="T694" s="74"/>
      <c r="U694" s="74"/>
      <c r="V694" s="74"/>
      <c r="W694" s="74"/>
      <c r="X694" s="74"/>
      <c r="Y694" s="74"/>
    </row>
    <row r="695" spans="1:25" ht="33.6">
      <c r="A695" s="74"/>
      <c r="B695" s="91" t="str">
        <f t="shared" si="79"/>
        <v/>
      </c>
      <c r="C695" s="94"/>
      <c r="D695" s="18"/>
      <c r="E695" s="104" t="s">
        <v>809</v>
      </c>
      <c r="F695" s="91" t="str">
        <f t="shared" si="66"/>
        <v/>
      </c>
      <c r="G695" s="91" t="str">
        <f t="shared" si="67"/>
        <v/>
      </c>
      <c r="H695" s="91" t="str">
        <f t="shared" si="77"/>
        <v/>
      </c>
      <c r="I695" s="79">
        <f t="shared" si="78"/>
        <v>118</v>
      </c>
      <c r="J695" s="74"/>
      <c r="K695" s="74"/>
      <c r="L695" s="75"/>
      <c r="M695" s="74"/>
      <c r="N695" s="74"/>
      <c r="O695" s="74"/>
      <c r="P695" s="74"/>
      <c r="Q695" s="74"/>
      <c r="R695" s="74"/>
      <c r="S695" s="74"/>
      <c r="T695" s="74"/>
      <c r="U695" s="74"/>
      <c r="V695" s="74"/>
      <c r="W695" s="74"/>
      <c r="X695" s="74"/>
      <c r="Y695" s="74"/>
    </row>
    <row r="696" spans="1:25" ht="50.45">
      <c r="A696" s="74"/>
      <c r="B696" s="91" t="str">
        <f t="shared" si="79"/>
        <v/>
      </c>
      <c r="C696" s="94"/>
      <c r="D696" s="18"/>
      <c r="E696" s="104" t="s">
        <v>810</v>
      </c>
      <c r="F696" s="91" t="str">
        <f t="shared" si="66"/>
        <v/>
      </c>
      <c r="G696" s="91" t="str">
        <f t="shared" si="67"/>
        <v/>
      </c>
      <c r="H696" s="91" t="str">
        <f t="shared" si="77"/>
        <v/>
      </c>
      <c r="I696" s="79">
        <f t="shared" si="78"/>
        <v>118</v>
      </c>
      <c r="J696" s="74"/>
      <c r="K696" s="74"/>
      <c r="L696" s="75"/>
      <c r="M696" s="74"/>
      <c r="N696" s="74"/>
      <c r="O696" s="74"/>
      <c r="P696" s="74"/>
      <c r="Q696" s="74"/>
      <c r="R696" s="74"/>
      <c r="S696" s="74"/>
      <c r="T696" s="74"/>
      <c r="U696" s="74"/>
      <c r="V696" s="74"/>
      <c r="W696" s="74"/>
      <c r="X696" s="74"/>
      <c r="Y696" s="74"/>
    </row>
    <row r="697" spans="1:25" ht="33.6">
      <c r="A697" s="74"/>
      <c r="B697" s="91" t="str">
        <f t="shared" si="79"/>
        <v/>
      </c>
      <c r="C697" s="94"/>
      <c r="D697" s="18"/>
      <c r="E697" s="104" t="s">
        <v>811</v>
      </c>
      <c r="F697" s="91" t="str">
        <f t="shared" si="66"/>
        <v/>
      </c>
      <c r="G697" s="91" t="str">
        <f t="shared" si="67"/>
        <v/>
      </c>
      <c r="H697" s="91" t="str">
        <f t="shared" si="77"/>
        <v/>
      </c>
      <c r="I697" s="79">
        <f t="shared" si="78"/>
        <v>118</v>
      </c>
      <c r="J697" s="74"/>
      <c r="K697" s="74"/>
      <c r="L697" s="75"/>
      <c r="M697" s="74"/>
      <c r="N697" s="74"/>
      <c r="O697" s="74"/>
      <c r="P697" s="74"/>
      <c r="Q697" s="74"/>
      <c r="R697" s="74"/>
      <c r="S697" s="74"/>
      <c r="T697" s="74"/>
      <c r="U697" s="74"/>
      <c r="V697" s="74"/>
      <c r="W697" s="74"/>
      <c r="X697" s="74"/>
      <c r="Y697" s="74"/>
    </row>
    <row r="698" spans="1:25" ht="18">
      <c r="A698" s="74"/>
      <c r="B698" s="79">
        <f t="shared" si="79"/>
        <v>119</v>
      </c>
      <c r="C698" s="104" t="s">
        <v>812</v>
      </c>
      <c r="D698" s="18" t="s">
        <v>127</v>
      </c>
      <c r="E698" s="94"/>
      <c r="F698" s="91" t="str">
        <f t="shared" si="66"/>
        <v>B</v>
      </c>
      <c r="G698" s="91" t="str">
        <f t="shared" si="67"/>
        <v>Đơn giản</v>
      </c>
      <c r="H698" s="91">
        <f t="shared" si="77"/>
        <v>3</v>
      </c>
      <c r="I698" s="79" t="str">
        <f t="shared" si="78"/>
        <v/>
      </c>
      <c r="J698" s="74"/>
      <c r="K698" s="74"/>
      <c r="L698" s="75"/>
      <c r="M698" s="74"/>
      <c r="N698" s="74"/>
      <c r="O698" s="74"/>
      <c r="P698" s="74"/>
      <c r="Q698" s="74"/>
      <c r="R698" s="74"/>
      <c r="S698" s="74"/>
      <c r="T698" s="74"/>
      <c r="U698" s="74"/>
      <c r="V698" s="74"/>
      <c r="W698" s="74"/>
      <c r="X698" s="74"/>
      <c r="Y698" s="74"/>
    </row>
    <row r="699" spans="1:25" ht="33.6">
      <c r="A699" s="74"/>
      <c r="B699" s="91" t="str">
        <f t="shared" si="79"/>
        <v/>
      </c>
      <c r="C699" s="94"/>
      <c r="D699" s="18"/>
      <c r="E699" s="104" t="s">
        <v>813</v>
      </c>
      <c r="F699" s="91" t="str">
        <f t="shared" si="66"/>
        <v/>
      </c>
      <c r="G699" s="91" t="str">
        <f t="shared" si="67"/>
        <v/>
      </c>
      <c r="H699" s="91" t="str">
        <f t="shared" si="77"/>
        <v/>
      </c>
      <c r="I699" s="79">
        <f t="shared" si="78"/>
        <v>119</v>
      </c>
      <c r="J699" s="74"/>
      <c r="K699" s="74"/>
      <c r="L699" s="75"/>
      <c r="M699" s="74"/>
      <c r="N699" s="74"/>
      <c r="O699" s="74"/>
      <c r="P699" s="74"/>
      <c r="Q699" s="74"/>
      <c r="R699" s="74"/>
      <c r="S699" s="74"/>
      <c r="T699" s="74"/>
      <c r="U699" s="74"/>
      <c r="V699" s="74"/>
      <c r="W699" s="74"/>
      <c r="X699" s="74"/>
      <c r="Y699" s="74"/>
    </row>
    <row r="700" spans="1:25" ht="50.45">
      <c r="A700" s="74"/>
      <c r="B700" s="91" t="str">
        <f t="shared" si="79"/>
        <v/>
      </c>
      <c r="C700" s="94"/>
      <c r="D700" s="18"/>
      <c r="E700" s="104" t="s">
        <v>814</v>
      </c>
      <c r="F700" s="91" t="str">
        <f t="shared" si="66"/>
        <v/>
      </c>
      <c r="G700" s="91" t="str">
        <f t="shared" si="67"/>
        <v/>
      </c>
      <c r="H700" s="91" t="str">
        <f t="shared" si="77"/>
        <v/>
      </c>
      <c r="I700" s="79">
        <f t="shared" si="78"/>
        <v>119</v>
      </c>
      <c r="J700" s="74"/>
      <c r="K700" s="74"/>
      <c r="L700" s="75"/>
      <c r="M700" s="74"/>
      <c r="N700" s="74"/>
      <c r="O700" s="74"/>
      <c r="P700" s="74"/>
      <c r="Q700" s="74"/>
      <c r="R700" s="74"/>
      <c r="S700" s="74"/>
      <c r="T700" s="74"/>
      <c r="U700" s="74"/>
      <c r="V700" s="74"/>
      <c r="W700" s="74"/>
      <c r="X700" s="74"/>
      <c r="Y700" s="74"/>
    </row>
    <row r="701" spans="1:25" ht="33.6">
      <c r="A701" s="74"/>
      <c r="B701" s="91" t="str">
        <f t="shared" si="79"/>
        <v/>
      </c>
      <c r="C701" s="94"/>
      <c r="D701" s="18"/>
      <c r="E701" s="104" t="s">
        <v>815</v>
      </c>
      <c r="F701" s="91" t="str">
        <f t="shared" si="66"/>
        <v/>
      </c>
      <c r="G701" s="91" t="str">
        <f t="shared" si="67"/>
        <v/>
      </c>
      <c r="H701" s="91" t="str">
        <f t="shared" si="77"/>
        <v/>
      </c>
      <c r="I701" s="79">
        <f t="shared" si="78"/>
        <v>119</v>
      </c>
      <c r="J701" s="74"/>
      <c r="K701" s="74"/>
      <c r="L701" s="75"/>
      <c r="M701" s="74"/>
      <c r="N701" s="74"/>
      <c r="O701" s="74"/>
      <c r="P701" s="74"/>
      <c r="Q701" s="74"/>
      <c r="R701" s="74"/>
      <c r="S701" s="74"/>
      <c r="T701" s="74"/>
      <c r="U701" s="74"/>
      <c r="V701" s="74"/>
      <c r="W701" s="74"/>
      <c r="X701" s="74"/>
      <c r="Y701" s="74"/>
    </row>
    <row r="702" spans="1:25" ht="18">
      <c r="A702" s="74"/>
      <c r="B702" s="79">
        <f t="shared" si="79"/>
        <v>120</v>
      </c>
      <c r="C702" s="104" t="s">
        <v>816</v>
      </c>
      <c r="D702" s="18" t="s">
        <v>127</v>
      </c>
      <c r="E702" s="94"/>
      <c r="F702" s="91" t="str">
        <f t="shared" si="66"/>
        <v>B</v>
      </c>
      <c r="G702" s="91" t="str">
        <f t="shared" si="67"/>
        <v>Đơn giản</v>
      </c>
      <c r="H702" s="91">
        <f t="shared" si="77"/>
        <v>3</v>
      </c>
      <c r="I702" s="79" t="str">
        <f t="shared" si="78"/>
        <v/>
      </c>
      <c r="J702" s="74"/>
      <c r="K702" s="74"/>
      <c r="L702" s="75"/>
      <c r="M702" s="74"/>
      <c r="N702" s="74"/>
      <c r="O702" s="74"/>
      <c r="P702" s="74"/>
      <c r="Q702" s="74"/>
      <c r="R702" s="74"/>
      <c r="S702" s="74"/>
      <c r="T702" s="74"/>
      <c r="U702" s="74"/>
      <c r="V702" s="74"/>
      <c r="W702" s="74"/>
      <c r="X702" s="74"/>
      <c r="Y702" s="74"/>
    </row>
    <row r="703" spans="1:25" ht="50.45">
      <c r="A703" s="74"/>
      <c r="B703" s="91" t="str">
        <f t="shared" si="79"/>
        <v/>
      </c>
      <c r="C703" s="94"/>
      <c r="D703" s="18"/>
      <c r="E703" s="104" t="s">
        <v>817</v>
      </c>
      <c r="F703" s="91" t="str">
        <f t="shared" si="66"/>
        <v/>
      </c>
      <c r="G703" s="91" t="str">
        <f t="shared" si="67"/>
        <v/>
      </c>
      <c r="H703" s="91" t="str">
        <f t="shared" si="77"/>
        <v/>
      </c>
      <c r="I703" s="79">
        <f t="shared" si="78"/>
        <v>120</v>
      </c>
      <c r="J703" s="74"/>
      <c r="K703" s="74"/>
      <c r="L703" s="75"/>
      <c r="M703" s="74"/>
      <c r="N703" s="74"/>
      <c r="O703" s="74"/>
      <c r="P703" s="74"/>
      <c r="Q703" s="74"/>
      <c r="R703" s="74"/>
      <c r="S703" s="74"/>
      <c r="T703" s="74"/>
      <c r="U703" s="74"/>
      <c r="V703" s="74"/>
      <c r="W703" s="74"/>
      <c r="X703" s="74"/>
      <c r="Y703" s="74"/>
    </row>
    <row r="704" spans="1:25" ht="50.45">
      <c r="A704" s="74"/>
      <c r="B704" s="91" t="str">
        <f t="shared" si="79"/>
        <v/>
      </c>
      <c r="C704" s="94"/>
      <c r="D704" s="18"/>
      <c r="E704" s="104" t="s">
        <v>818</v>
      </c>
      <c r="F704" s="91" t="str">
        <f t="shared" si="66"/>
        <v/>
      </c>
      <c r="G704" s="91" t="str">
        <f t="shared" si="67"/>
        <v/>
      </c>
      <c r="H704" s="91" t="str">
        <f t="shared" si="77"/>
        <v/>
      </c>
      <c r="I704" s="79">
        <f t="shared" si="78"/>
        <v>120</v>
      </c>
      <c r="J704" s="74"/>
      <c r="K704" s="74"/>
      <c r="L704" s="75"/>
      <c r="M704" s="74"/>
      <c r="N704" s="74"/>
      <c r="O704" s="74"/>
      <c r="P704" s="74"/>
      <c r="Q704" s="74"/>
      <c r="R704" s="74"/>
      <c r="S704" s="74"/>
      <c r="T704" s="74"/>
      <c r="U704" s="74"/>
      <c r="V704" s="74"/>
      <c r="W704" s="74"/>
      <c r="X704" s="74"/>
      <c r="Y704" s="74"/>
    </row>
    <row r="705" spans="1:25" ht="33.6">
      <c r="A705" s="74"/>
      <c r="B705" s="91" t="str">
        <f t="shared" si="79"/>
        <v/>
      </c>
      <c r="C705" s="94"/>
      <c r="D705" s="18"/>
      <c r="E705" s="104" t="s">
        <v>819</v>
      </c>
      <c r="F705" s="91" t="str">
        <f t="shared" si="66"/>
        <v/>
      </c>
      <c r="G705" s="91" t="str">
        <f t="shared" si="67"/>
        <v/>
      </c>
      <c r="H705" s="91" t="str">
        <f t="shared" si="77"/>
        <v/>
      </c>
      <c r="I705" s="79">
        <f t="shared" si="78"/>
        <v>120</v>
      </c>
      <c r="J705" s="74"/>
      <c r="K705" s="74"/>
      <c r="L705" s="75"/>
      <c r="M705" s="74"/>
      <c r="N705" s="74"/>
      <c r="O705" s="74"/>
      <c r="P705" s="74"/>
      <c r="Q705" s="74"/>
      <c r="R705" s="74"/>
      <c r="S705" s="74"/>
      <c r="T705" s="74"/>
      <c r="U705" s="74"/>
      <c r="V705" s="74"/>
      <c r="W705" s="74"/>
      <c r="X705" s="74"/>
      <c r="Y705" s="74"/>
    </row>
    <row r="706" spans="1:25" ht="18">
      <c r="A706" s="74"/>
      <c r="B706" s="79">
        <f t="shared" si="79"/>
        <v>121</v>
      </c>
      <c r="C706" s="101" t="s">
        <v>820</v>
      </c>
      <c r="D706" s="102" t="s">
        <v>623</v>
      </c>
      <c r="E706" s="103"/>
      <c r="F706" s="91" t="str">
        <f t="shared" si="66"/>
        <v>B</v>
      </c>
      <c r="G706" s="91" t="str">
        <f t="shared" si="67"/>
        <v>Đơn giản</v>
      </c>
      <c r="H706" s="91">
        <f t="shared" si="77"/>
        <v>3</v>
      </c>
      <c r="I706" s="79" t="str">
        <f t="shared" si="78"/>
        <v/>
      </c>
      <c r="J706" s="74"/>
      <c r="K706" s="74"/>
      <c r="L706" s="75"/>
      <c r="M706" s="74"/>
      <c r="N706" s="74"/>
      <c r="O706" s="74"/>
      <c r="P706" s="74"/>
      <c r="Q706" s="74"/>
      <c r="R706" s="74"/>
      <c r="S706" s="74"/>
      <c r="T706" s="74"/>
      <c r="U706" s="74"/>
      <c r="V706" s="74"/>
      <c r="W706" s="74"/>
      <c r="X706" s="74"/>
      <c r="Y706" s="74"/>
    </row>
    <row r="707" spans="1:25" ht="33.6">
      <c r="A707" s="74"/>
      <c r="B707" s="91" t="str">
        <f t="shared" si="79"/>
        <v/>
      </c>
      <c r="C707" s="94"/>
      <c r="D707" s="18"/>
      <c r="E707" s="104" t="s">
        <v>821</v>
      </c>
      <c r="F707" s="91" t="str">
        <f t="shared" si="66"/>
        <v/>
      </c>
      <c r="G707" s="91" t="str">
        <f t="shared" si="67"/>
        <v/>
      </c>
      <c r="H707" s="91" t="str">
        <f t="shared" si="77"/>
        <v/>
      </c>
      <c r="I707" s="79">
        <f t="shared" si="78"/>
        <v>121</v>
      </c>
      <c r="J707" s="74"/>
      <c r="K707" s="74"/>
      <c r="L707" s="75"/>
      <c r="M707" s="74"/>
      <c r="N707" s="74"/>
      <c r="O707" s="74"/>
      <c r="P707" s="74"/>
      <c r="Q707" s="74"/>
      <c r="R707" s="74"/>
      <c r="S707" s="74"/>
      <c r="T707" s="74"/>
      <c r="U707" s="74"/>
      <c r="V707" s="74"/>
      <c r="W707" s="74"/>
      <c r="X707" s="74"/>
      <c r="Y707" s="74"/>
    </row>
    <row r="708" spans="1:25" ht="33.6">
      <c r="A708" s="74"/>
      <c r="B708" s="91" t="str">
        <f t="shared" si="79"/>
        <v/>
      </c>
      <c r="C708" s="94"/>
      <c r="D708" s="18"/>
      <c r="E708" s="104" t="s">
        <v>822</v>
      </c>
      <c r="F708" s="91" t="str">
        <f t="shared" si="66"/>
        <v/>
      </c>
      <c r="G708" s="91" t="str">
        <f t="shared" si="67"/>
        <v/>
      </c>
      <c r="H708" s="91" t="str">
        <f t="shared" si="77"/>
        <v/>
      </c>
      <c r="I708" s="79">
        <f t="shared" si="78"/>
        <v>121</v>
      </c>
      <c r="J708" s="74"/>
      <c r="K708" s="74"/>
      <c r="L708" s="75"/>
      <c r="M708" s="74"/>
      <c r="N708" s="74"/>
      <c r="O708" s="74"/>
      <c r="P708" s="74"/>
      <c r="Q708" s="74"/>
      <c r="R708" s="74"/>
      <c r="S708" s="74"/>
      <c r="T708" s="74"/>
      <c r="U708" s="74"/>
      <c r="V708" s="74"/>
      <c r="W708" s="74"/>
      <c r="X708" s="74"/>
      <c r="Y708" s="74"/>
    </row>
    <row r="709" spans="1:25" ht="33.6">
      <c r="A709" s="74"/>
      <c r="B709" s="91" t="str">
        <f t="shared" si="79"/>
        <v/>
      </c>
      <c r="C709" s="94"/>
      <c r="D709" s="18"/>
      <c r="E709" s="104" t="s">
        <v>823</v>
      </c>
      <c r="F709" s="91" t="str">
        <f t="shared" si="66"/>
        <v/>
      </c>
      <c r="G709" s="91" t="str">
        <f t="shared" si="67"/>
        <v/>
      </c>
      <c r="H709" s="91" t="str">
        <f t="shared" si="77"/>
        <v/>
      </c>
      <c r="I709" s="79">
        <f t="shared" si="78"/>
        <v>121</v>
      </c>
      <c r="J709" s="74"/>
      <c r="K709" s="74"/>
      <c r="L709" s="75"/>
      <c r="M709" s="74"/>
      <c r="N709" s="74"/>
      <c r="O709" s="74"/>
      <c r="P709" s="74"/>
      <c r="Q709" s="74"/>
      <c r="R709" s="74"/>
      <c r="S709" s="74"/>
      <c r="T709" s="74"/>
      <c r="U709" s="74"/>
      <c r="V709" s="74"/>
      <c r="W709" s="74"/>
      <c r="X709" s="74"/>
      <c r="Y709" s="74"/>
    </row>
    <row r="710" spans="1:25" ht="18">
      <c r="A710" s="74"/>
      <c r="B710" s="79">
        <f t="shared" si="79"/>
        <v>122</v>
      </c>
      <c r="C710" s="104" t="s">
        <v>824</v>
      </c>
      <c r="D710" s="18" t="s">
        <v>623</v>
      </c>
      <c r="E710" s="94"/>
      <c r="F710" s="91" t="str">
        <f t="shared" si="66"/>
        <v>B</v>
      </c>
      <c r="G710" s="91" t="str">
        <f t="shared" si="67"/>
        <v>Trung bình</v>
      </c>
      <c r="H710" s="91">
        <f t="shared" si="77"/>
        <v>4</v>
      </c>
      <c r="I710" s="79" t="str">
        <f t="shared" si="78"/>
        <v/>
      </c>
      <c r="J710" s="74"/>
      <c r="K710" s="74"/>
      <c r="L710" s="75"/>
      <c r="M710" s="74"/>
      <c r="N710" s="74"/>
      <c r="O710" s="74"/>
      <c r="P710" s="74"/>
      <c r="Q710" s="74"/>
      <c r="R710" s="74"/>
      <c r="S710" s="74"/>
      <c r="T710" s="74"/>
      <c r="U710" s="74"/>
      <c r="V710" s="74"/>
      <c r="W710" s="74"/>
      <c r="X710" s="74"/>
      <c r="Y710" s="74"/>
    </row>
    <row r="711" spans="1:25" ht="33.6">
      <c r="A711" s="74"/>
      <c r="B711" s="91" t="str">
        <f t="shared" si="79"/>
        <v/>
      </c>
      <c r="C711" s="94"/>
      <c r="D711" s="18"/>
      <c r="E711" s="104" t="s">
        <v>825</v>
      </c>
      <c r="F711" s="91" t="str">
        <f t="shared" si="66"/>
        <v/>
      </c>
      <c r="G711" s="91" t="str">
        <f t="shared" si="67"/>
        <v/>
      </c>
      <c r="H711" s="91" t="str">
        <f t="shared" si="77"/>
        <v/>
      </c>
      <c r="I711" s="79">
        <f t="shared" si="78"/>
        <v>122</v>
      </c>
      <c r="J711" s="74"/>
      <c r="K711" s="74"/>
      <c r="L711" s="75"/>
      <c r="M711" s="74"/>
      <c r="N711" s="74"/>
      <c r="O711" s="74"/>
      <c r="P711" s="74"/>
      <c r="Q711" s="74"/>
      <c r="R711" s="74"/>
      <c r="S711" s="74"/>
      <c r="T711" s="74"/>
      <c r="U711" s="74"/>
      <c r="V711" s="74"/>
      <c r="W711" s="74"/>
      <c r="X711" s="74"/>
      <c r="Y711" s="74"/>
    </row>
    <row r="712" spans="1:25" ht="33.6">
      <c r="A712" s="74"/>
      <c r="B712" s="91" t="str">
        <f t="shared" si="79"/>
        <v/>
      </c>
      <c r="C712" s="94"/>
      <c r="D712" s="18"/>
      <c r="E712" s="104" t="s">
        <v>826</v>
      </c>
      <c r="F712" s="91" t="str">
        <f t="shared" si="66"/>
        <v/>
      </c>
      <c r="G712" s="91" t="str">
        <f t="shared" si="67"/>
        <v/>
      </c>
      <c r="H712" s="91" t="str">
        <f t="shared" si="77"/>
        <v/>
      </c>
      <c r="I712" s="79">
        <f t="shared" si="78"/>
        <v>122</v>
      </c>
      <c r="J712" s="74"/>
      <c r="K712" s="74"/>
      <c r="L712" s="75"/>
      <c r="M712" s="74"/>
      <c r="N712" s="74"/>
      <c r="O712" s="74"/>
      <c r="P712" s="74"/>
      <c r="Q712" s="74"/>
      <c r="R712" s="74"/>
      <c r="S712" s="74"/>
      <c r="T712" s="74"/>
      <c r="U712" s="74"/>
      <c r="V712" s="74"/>
      <c r="W712" s="74"/>
      <c r="X712" s="74"/>
      <c r="Y712" s="74"/>
    </row>
    <row r="713" spans="1:25" ht="33.6">
      <c r="A713" s="74"/>
      <c r="B713" s="91" t="str">
        <f t="shared" si="79"/>
        <v/>
      </c>
      <c r="C713" s="94"/>
      <c r="D713" s="18"/>
      <c r="E713" s="104" t="s">
        <v>827</v>
      </c>
      <c r="F713" s="91" t="str">
        <f t="shared" si="66"/>
        <v/>
      </c>
      <c r="G713" s="91" t="str">
        <f t="shared" si="67"/>
        <v/>
      </c>
      <c r="H713" s="91" t="str">
        <f t="shared" si="77"/>
        <v/>
      </c>
      <c r="I713" s="79">
        <f t="shared" si="78"/>
        <v>122</v>
      </c>
      <c r="J713" s="74"/>
      <c r="K713" s="74"/>
      <c r="L713" s="75"/>
      <c r="M713" s="74"/>
      <c r="N713" s="74"/>
      <c r="O713" s="74"/>
      <c r="P713" s="74"/>
      <c r="Q713" s="74"/>
      <c r="R713" s="74"/>
      <c r="S713" s="74"/>
      <c r="T713" s="74"/>
      <c r="U713" s="74"/>
      <c r="V713" s="74"/>
      <c r="W713" s="74"/>
      <c r="X713" s="74"/>
      <c r="Y713" s="74"/>
    </row>
    <row r="714" spans="1:25" ht="33.6">
      <c r="A714" s="74"/>
      <c r="B714" s="91" t="str">
        <f t="shared" si="79"/>
        <v/>
      </c>
      <c r="C714" s="94"/>
      <c r="D714" s="18"/>
      <c r="E714" s="104" t="s">
        <v>828</v>
      </c>
      <c r="F714" s="91" t="str">
        <f t="shared" si="66"/>
        <v/>
      </c>
      <c r="G714" s="91" t="str">
        <f t="shared" si="67"/>
        <v/>
      </c>
      <c r="H714" s="91" t="str">
        <f t="shared" si="77"/>
        <v/>
      </c>
      <c r="I714" s="79">
        <f t="shared" si="78"/>
        <v>122</v>
      </c>
      <c r="J714" s="74"/>
      <c r="K714" s="74"/>
      <c r="L714" s="75"/>
      <c r="M714" s="74"/>
      <c r="N714" s="74"/>
      <c r="O714" s="74"/>
      <c r="P714" s="74"/>
      <c r="Q714" s="74"/>
      <c r="R714" s="74"/>
      <c r="S714" s="74"/>
      <c r="T714" s="74"/>
      <c r="U714" s="74"/>
      <c r="V714" s="74"/>
      <c r="W714" s="74"/>
      <c r="X714" s="74"/>
      <c r="Y714" s="74"/>
    </row>
    <row r="715" spans="1:25" ht="18">
      <c r="A715" s="74"/>
      <c r="B715" s="79">
        <f t="shared" si="79"/>
        <v>123</v>
      </c>
      <c r="C715" s="104" t="s">
        <v>829</v>
      </c>
      <c r="D715" s="18" t="s">
        <v>623</v>
      </c>
      <c r="E715" s="94"/>
      <c r="F715" s="91" t="str">
        <f t="shared" si="66"/>
        <v>B</v>
      </c>
      <c r="G715" s="91" t="str">
        <f t="shared" si="67"/>
        <v>Đơn giản</v>
      </c>
      <c r="H715" s="91">
        <f t="shared" si="77"/>
        <v>3</v>
      </c>
      <c r="I715" s="79" t="str">
        <f t="shared" si="78"/>
        <v/>
      </c>
      <c r="J715" s="74"/>
      <c r="K715" s="74"/>
      <c r="L715" s="75"/>
      <c r="M715" s="74"/>
      <c r="N715" s="74"/>
      <c r="O715" s="74"/>
      <c r="P715" s="74"/>
      <c r="Q715" s="74"/>
      <c r="R715" s="74"/>
      <c r="S715" s="74"/>
      <c r="T715" s="74"/>
      <c r="U715" s="74"/>
      <c r="V715" s="74"/>
      <c r="W715" s="74"/>
      <c r="X715" s="74"/>
      <c r="Y715" s="74"/>
    </row>
    <row r="716" spans="1:25" ht="33.6">
      <c r="A716" s="74"/>
      <c r="B716" s="91" t="str">
        <f t="shared" si="79"/>
        <v/>
      </c>
      <c r="C716" s="94"/>
      <c r="D716" s="18"/>
      <c r="E716" s="104" t="s">
        <v>830</v>
      </c>
      <c r="F716" s="91" t="str">
        <f t="shared" si="66"/>
        <v/>
      </c>
      <c r="G716" s="91" t="str">
        <f t="shared" si="67"/>
        <v/>
      </c>
      <c r="H716" s="91" t="str">
        <f t="shared" si="77"/>
        <v/>
      </c>
      <c r="I716" s="79">
        <f t="shared" si="78"/>
        <v>123</v>
      </c>
      <c r="J716" s="74"/>
      <c r="K716" s="74"/>
      <c r="L716" s="75"/>
      <c r="M716" s="74"/>
      <c r="N716" s="74"/>
      <c r="O716" s="74"/>
      <c r="P716" s="74"/>
      <c r="Q716" s="74"/>
      <c r="R716" s="74"/>
      <c r="S716" s="74"/>
      <c r="T716" s="74"/>
      <c r="U716" s="74"/>
      <c r="V716" s="74"/>
      <c r="W716" s="74"/>
      <c r="X716" s="74"/>
      <c r="Y716" s="74"/>
    </row>
    <row r="717" spans="1:25" ht="33.6">
      <c r="A717" s="74"/>
      <c r="B717" s="91" t="str">
        <f t="shared" si="79"/>
        <v/>
      </c>
      <c r="C717" s="94"/>
      <c r="D717" s="18"/>
      <c r="E717" s="104" t="s">
        <v>831</v>
      </c>
      <c r="F717" s="91" t="str">
        <f t="shared" si="66"/>
        <v/>
      </c>
      <c r="G717" s="91" t="str">
        <f t="shared" si="67"/>
        <v/>
      </c>
      <c r="H717" s="91" t="str">
        <f t="shared" si="77"/>
        <v/>
      </c>
      <c r="I717" s="79">
        <f t="shared" si="78"/>
        <v>123</v>
      </c>
      <c r="J717" s="74"/>
      <c r="K717" s="74"/>
      <c r="L717" s="75"/>
      <c r="M717" s="74"/>
      <c r="N717" s="74"/>
      <c r="O717" s="74"/>
      <c r="P717" s="74"/>
      <c r="Q717" s="74"/>
      <c r="R717" s="74"/>
      <c r="S717" s="74"/>
      <c r="T717" s="74"/>
      <c r="U717" s="74"/>
      <c r="V717" s="74"/>
      <c r="W717" s="74"/>
      <c r="X717" s="74"/>
      <c r="Y717" s="74"/>
    </row>
    <row r="718" spans="1:25" ht="33.6">
      <c r="A718" s="74"/>
      <c r="B718" s="91" t="str">
        <f t="shared" si="79"/>
        <v/>
      </c>
      <c r="C718" s="94"/>
      <c r="D718" s="18"/>
      <c r="E718" s="104" t="s">
        <v>832</v>
      </c>
      <c r="F718" s="91" t="str">
        <f t="shared" si="66"/>
        <v/>
      </c>
      <c r="G718" s="91" t="str">
        <f t="shared" si="67"/>
        <v/>
      </c>
      <c r="H718" s="91" t="str">
        <f t="shared" si="77"/>
        <v/>
      </c>
      <c r="I718" s="79">
        <f t="shared" si="78"/>
        <v>123</v>
      </c>
      <c r="J718" s="74"/>
      <c r="K718" s="74"/>
      <c r="L718" s="75"/>
      <c r="M718" s="74"/>
      <c r="N718" s="74"/>
      <c r="O718" s="74"/>
      <c r="P718" s="74"/>
      <c r="Q718" s="74"/>
      <c r="R718" s="74"/>
      <c r="S718" s="74"/>
      <c r="T718" s="74"/>
      <c r="U718" s="74"/>
      <c r="V718" s="74"/>
      <c r="W718" s="74"/>
      <c r="X718" s="74"/>
      <c r="Y718" s="74"/>
    </row>
    <row r="719" spans="1:25" ht="18">
      <c r="A719" s="74"/>
      <c r="B719" s="79">
        <f t="shared" si="79"/>
        <v>124</v>
      </c>
      <c r="C719" s="104" t="s">
        <v>833</v>
      </c>
      <c r="D719" s="18" t="s">
        <v>623</v>
      </c>
      <c r="E719" s="94"/>
      <c r="F719" s="91" t="str">
        <f t="shared" si="66"/>
        <v>B</v>
      </c>
      <c r="G719" s="91" t="str">
        <f t="shared" si="67"/>
        <v>Trung bình</v>
      </c>
      <c r="H719" s="91">
        <f t="shared" si="77"/>
        <v>4</v>
      </c>
      <c r="I719" s="79" t="str">
        <f t="shared" si="78"/>
        <v/>
      </c>
      <c r="J719" s="74"/>
      <c r="K719" s="74"/>
      <c r="L719" s="75"/>
      <c r="M719" s="74"/>
      <c r="N719" s="74"/>
      <c r="O719" s="74"/>
      <c r="P719" s="74"/>
      <c r="Q719" s="74"/>
      <c r="R719" s="74"/>
      <c r="S719" s="74"/>
      <c r="T719" s="74"/>
      <c r="U719" s="74"/>
      <c r="V719" s="74"/>
      <c r="W719" s="74"/>
      <c r="X719" s="74"/>
      <c r="Y719" s="74"/>
    </row>
    <row r="720" spans="1:25" ht="33.6">
      <c r="A720" s="74"/>
      <c r="B720" s="91" t="str">
        <f t="shared" si="79"/>
        <v/>
      </c>
      <c r="C720" s="94"/>
      <c r="D720" s="18"/>
      <c r="E720" s="104" t="s">
        <v>834</v>
      </c>
      <c r="F720" s="91" t="str">
        <f t="shared" si="66"/>
        <v/>
      </c>
      <c r="G720" s="91" t="str">
        <f t="shared" si="67"/>
        <v/>
      </c>
      <c r="H720" s="91" t="str">
        <f t="shared" si="77"/>
        <v/>
      </c>
      <c r="I720" s="79">
        <f t="shared" si="78"/>
        <v>124</v>
      </c>
      <c r="J720" s="74"/>
      <c r="K720" s="74"/>
      <c r="L720" s="75"/>
      <c r="M720" s="74"/>
      <c r="N720" s="74"/>
      <c r="O720" s="74"/>
      <c r="P720" s="74"/>
      <c r="Q720" s="74"/>
      <c r="R720" s="74"/>
      <c r="S720" s="74"/>
      <c r="T720" s="74"/>
      <c r="U720" s="74"/>
      <c r="V720" s="74"/>
      <c r="W720" s="74"/>
      <c r="X720" s="74"/>
      <c r="Y720" s="74"/>
    </row>
    <row r="721" spans="1:25" ht="33.6">
      <c r="A721" s="74"/>
      <c r="B721" s="91" t="str">
        <f t="shared" si="79"/>
        <v/>
      </c>
      <c r="C721" s="94"/>
      <c r="D721" s="18"/>
      <c r="E721" s="104" t="s">
        <v>835</v>
      </c>
      <c r="F721" s="91" t="str">
        <f t="shared" si="66"/>
        <v/>
      </c>
      <c r="G721" s="91" t="str">
        <f t="shared" si="67"/>
        <v/>
      </c>
      <c r="H721" s="91" t="str">
        <f t="shared" si="77"/>
        <v/>
      </c>
      <c r="I721" s="79">
        <f t="shared" si="78"/>
        <v>124</v>
      </c>
      <c r="J721" s="74"/>
      <c r="K721" s="74"/>
      <c r="L721" s="75"/>
      <c r="M721" s="74"/>
      <c r="N721" s="74"/>
      <c r="O721" s="74"/>
      <c r="P721" s="74"/>
      <c r="Q721" s="74"/>
      <c r="R721" s="74"/>
      <c r="S721" s="74"/>
      <c r="T721" s="74"/>
      <c r="U721" s="74"/>
      <c r="V721" s="74"/>
      <c r="W721" s="74"/>
      <c r="X721" s="74"/>
      <c r="Y721" s="74"/>
    </row>
    <row r="722" spans="1:25" ht="33.6">
      <c r="A722" s="74"/>
      <c r="B722" s="91" t="str">
        <f t="shared" si="79"/>
        <v/>
      </c>
      <c r="C722" s="94"/>
      <c r="D722" s="18"/>
      <c r="E722" s="104" t="s">
        <v>836</v>
      </c>
      <c r="F722" s="91" t="str">
        <f t="shared" si="66"/>
        <v/>
      </c>
      <c r="G722" s="91" t="str">
        <f t="shared" si="67"/>
        <v/>
      </c>
      <c r="H722" s="91" t="str">
        <f t="shared" si="77"/>
        <v/>
      </c>
      <c r="I722" s="79">
        <f t="shared" si="78"/>
        <v>124</v>
      </c>
      <c r="J722" s="74"/>
      <c r="K722" s="74"/>
      <c r="L722" s="75"/>
      <c r="M722" s="74"/>
      <c r="N722" s="74"/>
      <c r="O722" s="74"/>
      <c r="P722" s="74"/>
      <c r="Q722" s="74"/>
      <c r="R722" s="74"/>
      <c r="S722" s="74"/>
      <c r="T722" s="74"/>
      <c r="U722" s="74"/>
      <c r="V722" s="74"/>
      <c r="W722" s="74"/>
      <c r="X722" s="74"/>
      <c r="Y722" s="74"/>
    </row>
    <row r="723" spans="1:25" ht="33.6">
      <c r="A723" s="74"/>
      <c r="B723" s="91" t="str">
        <f t="shared" si="79"/>
        <v/>
      </c>
      <c r="C723" s="94"/>
      <c r="D723" s="18"/>
      <c r="E723" s="104" t="s">
        <v>828</v>
      </c>
      <c r="F723" s="91" t="str">
        <f t="shared" si="66"/>
        <v/>
      </c>
      <c r="G723" s="91" t="str">
        <f t="shared" si="67"/>
        <v/>
      </c>
      <c r="H723" s="91" t="str">
        <f t="shared" si="77"/>
        <v/>
      </c>
      <c r="I723" s="79">
        <f t="shared" si="78"/>
        <v>124</v>
      </c>
      <c r="J723" s="74"/>
      <c r="K723" s="74"/>
      <c r="L723" s="75"/>
      <c r="M723" s="74"/>
      <c r="N723" s="74"/>
      <c r="O723" s="74"/>
      <c r="P723" s="74"/>
      <c r="Q723" s="74"/>
      <c r="R723" s="74"/>
      <c r="S723" s="74"/>
      <c r="T723" s="74"/>
      <c r="U723" s="74"/>
      <c r="V723" s="74"/>
      <c r="W723" s="74"/>
      <c r="X723" s="74"/>
      <c r="Y723" s="74"/>
    </row>
    <row r="724" spans="1:25" ht="18">
      <c r="A724" s="74"/>
      <c r="B724" s="79">
        <f t="shared" si="79"/>
        <v>125</v>
      </c>
      <c r="C724" s="104" t="s">
        <v>837</v>
      </c>
      <c r="D724" s="18" t="s">
        <v>623</v>
      </c>
      <c r="E724" s="94"/>
      <c r="F724" s="91" t="str">
        <f t="shared" si="66"/>
        <v>B</v>
      </c>
      <c r="G724" s="91" t="str">
        <f t="shared" si="67"/>
        <v>Đơn giản</v>
      </c>
      <c r="H724" s="91">
        <f t="shared" si="77"/>
        <v>2</v>
      </c>
      <c r="I724" s="79" t="str">
        <f t="shared" si="78"/>
        <v/>
      </c>
      <c r="J724" s="74"/>
      <c r="K724" s="74"/>
      <c r="L724" s="75"/>
      <c r="M724" s="74"/>
      <c r="N724" s="74"/>
      <c r="O724" s="74"/>
      <c r="P724" s="74"/>
      <c r="Q724" s="74"/>
      <c r="R724" s="74"/>
      <c r="S724" s="74"/>
      <c r="T724" s="74"/>
      <c r="U724" s="74"/>
      <c r="V724" s="74"/>
      <c r="W724" s="74"/>
      <c r="X724" s="74"/>
      <c r="Y724" s="74"/>
    </row>
    <row r="725" spans="1:25" ht="33.6">
      <c r="A725" s="74"/>
      <c r="B725" s="91" t="str">
        <f t="shared" si="79"/>
        <v/>
      </c>
      <c r="C725" s="94"/>
      <c r="D725" s="18"/>
      <c r="E725" s="104" t="s">
        <v>838</v>
      </c>
      <c r="F725" s="91" t="str">
        <f t="shared" si="66"/>
        <v/>
      </c>
      <c r="G725" s="91" t="str">
        <f t="shared" si="67"/>
        <v/>
      </c>
      <c r="H725" s="91" t="str">
        <f t="shared" si="77"/>
        <v/>
      </c>
      <c r="I725" s="79">
        <f t="shared" si="78"/>
        <v>125</v>
      </c>
      <c r="J725" s="74"/>
      <c r="K725" s="74"/>
      <c r="L725" s="75"/>
      <c r="M725" s="74"/>
      <c r="N725" s="74"/>
      <c r="O725" s="74"/>
      <c r="P725" s="74"/>
      <c r="Q725" s="74"/>
      <c r="R725" s="74"/>
      <c r="S725" s="74"/>
      <c r="T725" s="74"/>
      <c r="U725" s="74"/>
      <c r="V725" s="74"/>
      <c r="W725" s="74"/>
      <c r="X725" s="74"/>
      <c r="Y725" s="74"/>
    </row>
    <row r="726" spans="1:25" ht="33.6">
      <c r="A726" s="74"/>
      <c r="B726" s="91" t="str">
        <f t="shared" si="79"/>
        <v/>
      </c>
      <c r="C726" s="94"/>
      <c r="D726" s="18"/>
      <c r="E726" s="104" t="s">
        <v>839</v>
      </c>
      <c r="F726" s="91" t="str">
        <f t="shared" si="66"/>
        <v/>
      </c>
      <c r="G726" s="91" t="str">
        <f t="shared" si="67"/>
        <v/>
      </c>
      <c r="H726" s="91" t="str">
        <f t="shared" si="77"/>
        <v/>
      </c>
      <c r="I726" s="79">
        <f t="shared" si="78"/>
        <v>125</v>
      </c>
      <c r="J726" s="74"/>
      <c r="K726" s="74"/>
      <c r="L726" s="75"/>
      <c r="M726" s="74"/>
      <c r="N726" s="74"/>
      <c r="O726" s="74"/>
      <c r="P726" s="74"/>
      <c r="Q726" s="74"/>
      <c r="R726" s="74"/>
      <c r="S726" s="74"/>
      <c r="T726" s="74"/>
      <c r="U726" s="74"/>
      <c r="V726" s="74"/>
      <c r="W726" s="74"/>
      <c r="X726" s="74"/>
      <c r="Y726" s="74"/>
    </row>
    <row r="727" spans="1:25" ht="18">
      <c r="A727" s="74"/>
      <c r="B727" s="79">
        <f t="shared" si="79"/>
        <v>126</v>
      </c>
      <c r="C727" s="104" t="s">
        <v>840</v>
      </c>
      <c r="D727" s="18" t="s">
        <v>623</v>
      </c>
      <c r="E727" s="94"/>
      <c r="F727" s="91" t="str">
        <f t="shared" si="66"/>
        <v>B</v>
      </c>
      <c r="G727" s="91" t="str">
        <f t="shared" si="67"/>
        <v>Đơn giản</v>
      </c>
      <c r="H727" s="91">
        <f t="shared" si="77"/>
        <v>2</v>
      </c>
      <c r="I727" s="79" t="str">
        <f t="shared" si="78"/>
        <v/>
      </c>
      <c r="J727" s="74"/>
      <c r="K727" s="74"/>
      <c r="L727" s="75"/>
      <c r="M727" s="74"/>
      <c r="N727" s="74"/>
      <c r="O727" s="74"/>
      <c r="P727" s="74"/>
      <c r="Q727" s="74"/>
      <c r="R727" s="74"/>
      <c r="S727" s="74"/>
      <c r="T727" s="74"/>
      <c r="U727" s="74"/>
      <c r="V727" s="74"/>
      <c r="W727" s="74"/>
      <c r="X727" s="74"/>
      <c r="Y727" s="74"/>
    </row>
    <row r="728" spans="1:25" ht="50.45">
      <c r="A728" s="74"/>
      <c r="B728" s="91" t="str">
        <f t="shared" si="79"/>
        <v/>
      </c>
      <c r="C728" s="94"/>
      <c r="D728" s="18"/>
      <c r="E728" s="104" t="s">
        <v>841</v>
      </c>
      <c r="F728" s="91" t="str">
        <f t="shared" si="66"/>
        <v/>
      </c>
      <c r="G728" s="91" t="str">
        <f t="shared" si="67"/>
        <v/>
      </c>
      <c r="H728" s="91" t="str">
        <f t="shared" si="77"/>
        <v/>
      </c>
      <c r="I728" s="79">
        <f t="shared" si="78"/>
        <v>126</v>
      </c>
      <c r="J728" s="74"/>
      <c r="K728" s="74"/>
      <c r="L728" s="75"/>
      <c r="M728" s="74"/>
      <c r="N728" s="74"/>
      <c r="O728" s="74"/>
      <c r="P728" s="74"/>
      <c r="Q728" s="74"/>
      <c r="R728" s="74"/>
      <c r="S728" s="74"/>
      <c r="T728" s="74"/>
      <c r="U728" s="74"/>
      <c r="V728" s="74"/>
      <c r="W728" s="74"/>
      <c r="X728" s="74"/>
      <c r="Y728" s="74"/>
    </row>
    <row r="729" spans="1:25" ht="33.6">
      <c r="A729" s="74"/>
      <c r="B729" s="91" t="str">
        <f t="shared" si="79"/>
        <v/>
      </c>
      <c r="C729" s="94"/>
      <c r="D729" s="18"/>
      <c r="E729" s="104" t="s">
        <v>842</v>
      </c>
      <c r="F729" s="91" t="str">
        <f t="shared" si="66"/>
        <v/>
      </c>
      <c r="G729" s="91" t="str">
        <f t="shared" si="67"/>
        <v/>
      </c>
      <c r="H729" s="91" t="str">
        <f t="shared" si="77"/>
        <v/>
      </c>
      <c r="I729" s="79">
        <f t="shared" si="78"/>
        <v>126</v>
      </c>
      <c r="J729" s="74"/>
      <c r="K729" s="74"/>
      <c r="L729" s="75"/>
      <c r="M729" s="74"/>
      <c r="N729" s="74"/>
      <c r="O729" s="74"/>
      <c r="P729" s="74"/>
      <c r="Q729" s="74"/>
      <c r="R729" s="74"/>
      <c r="S729" s="74"/>
      <c r="T729" s="74"/>
      <c r="U729" s="74"/>
      <c r="V729" s="74"/>
      <c r="W729" s="74"/>
      <c r="X729" s="74"/>
      <c r="Y729" s="74"/>
    </row>
    <row r="730" spans="1:25" ht="18">
      <c r="A730" s="74"/>
      <c r="B730" s="79">
        <f t="shared" si="79"/>
        <v>127</v>
      </c>
      <c r="C730" s="104" t="s">
        <v>843</v>
      </c>
      <c r="D730" s="18" t="s">
        <v>623</v>
      </c>
      <c r="E730" s="94"/>
      <c r="F730" s="91" t="str">
        <f t="shared" si="66"/>
        <v>B</v>
      </c>
      <c r="G730" s="91" t="str">
        <f t="shared" si="67"/>
        <v>Đơn giản</v>
      </c>
      <c r="H730" s="91">
        <f t="shared" si="77"/>
        <v>3</v>
      </c>
      <c r="I730" s="79" t="str">
        <f t="shared" si="78"/>
        <v/>
      </c>
      <c r="J730" s="74"/>
      <c r="K730" s="74"/>
      <c r="L730" s="75"/>
      <c r="M730" s="74"/>
      <c r="N730" s="74"/>
      <c r="O730" s="74"/>
      <c r="P730" s="74"/>
      <c r="Q730" s="74"/>
      <c r="R730" s="74"/>
      <c r="S730" s="74"/>
      <c r="T730" s="74"/>
      <c r="U730" s="74"/>
      <c r="V730" s="74"/>
      <c r="W730" s="74"/>
      <c r="X730" s="74"/>
      <c r="Y730" s="74"/>
    </row>
    <row r="731" spans="1:25" ht="33.6">
      <c r="A731" s="74"/>
      <c r="B731" s="91" t="str">
        <f t="shared" si="79"/>
        <v/>
      </c>
      <c r="C731" s="94"/>
      <c r="D731" s="18"/>
      <c r="E731" s="104" t="s">
        <v>844</v>
      </c>
      <c r="F731" s="91" t="str">
        <f t="shared" si="66"/>
        <v/>
      </c>
      <c r="G731" s="91" t="str">
        <f t="shared" si="67"/>
        <v/>
      </c>
      <c r="H731" s="91" t="str">
        <f t="shared" si="77"/>
        <v/>
      </c>
      <c r="I731" s="79">
        <f t="shared" si="78"/>
        <v>127</v>
      </c>
      <c r="J731" s="74"/>
      <c r="K731" s="74"/>
      <c r="L731" s="75"/>
      <c r="M731" s="74"/>
      <c r="N731" s="74"/>
      <c r="O731" s="74"/>
      <c r="P731" s="74"/>
      <c r="Q731" s="74"/>
      <c r="R731" s="74"/>
      <c r="S731" s="74"/>
      <c r="T731" s="74"/>
      <c r="U731" s="74"/>
      <c r="V731" s="74"/>
      <c r="W731" s="74"/>
      <c r="X731" s="74"/>
      <c r="Y731" s="74"/>
    </row>
    <row r="732" spans="1:25" ht="33.6">
      <c r="A732" s="74"/>
      <c r="B732" s="91" t="str">
        <f t="shared" si="79"/>
        <v/>
      </c>
      <c r="C732" s="94"/>
      <c r="D732" s="18"/>
      <c r="E732" s="104" t="s">
        <v>845</v>
      </c>
      <c r="F732" s="91" t="str">
        <f t="shared" si="66"/>
        <v/>
      </c>
      <c r="G732" s="91" t="str">
        <f t="shared" si="67"/>
        <v/>
      </c>
      <c r="H732" s="91" t="str">
        <f t="shared" si="77"/>
        <v/>
      </c>
      <c r="I732" s="79">
        <f t="shared" si="78"/>
        <v>127</v>
      </c>
      <c r="J732" s="74"/>
      <c r="K732" s="74"/>
      <c r="L732" s="75"/>
      <c r="M732" s="74"/>
      <c r="N732" s="74"/>
      <c r="O732" s="74"/>
      <c r="P732" s="74"/>
      <c r="Q732" s="74"/>
      <c r="R732" s="74"/>
      <c r="S732" s="74"/>
      <c r="T732" s="74"/>
      <c r="U732" s="74"/>
      <c r="V732" s="74"/>
      <c r="W732" s="74"/>
      <c r="X732" s="74"/>
      <c r="Y732" s="74"/>
    </row>
    <row r="733" spans="1:25" ht="33.6">
      <c r="A733" s="74"/>
      <c r="B733" s="91" t="str">
        <f t="shared" si="79"/>
        <v/>
      </c>
      <c r="C733" s="94"/>
      <c r="D733" s="18"/>
      <c r="E733" s="104" t="s">
        <v>846</v>
      </c>
      <c r="F733" s="91" t="str">
        <f t="shared" si="66"/>
        <v/>
      </c>
      <c r="G733" s="91" t="str">
        <f t="shared" si="67"/>
        <v/>
      </c>
      <c r="H733" s="91" t="str">
        <f t="shared" si="77"/>
        <v/>
      </c>
      <c r="I733" s="79">
        <f t="shared" si="78"/>
        <v>127</v>
      </c>
      <c r="J733" s="74"/>
      <c r="K733" s="74"/>
      <c r="L733" s="75"/>
      <c r="M733" s="74"/>
      <c r="N733" s="74"/>
      <c r="O733" s="74"/>
      <c r="P733" s="74"/>
      <c r="Q733" s="74"/>
      <c r="R733" s="74"/>
      <c r="S733" s="74"/>
      <c r="T733" s="74"/>
      <c r="U733" s="74"/>
      <c r="V733" s="74"/>
      <c r="W733" s="74"/>
      <c r="X733" s="74"/>
      <c r="Y733" s="74"/>
    </row>
    <row r="734" spans="1:25" ht="18">
      <c r="A734" s="74"/>
      <c r="B734" s="79">
        <f t="shared" si="79"/>
        <v>128</v>
      </c>
      <c r="C734" s="104" t="s">
        <v>847</v>
      </c>
      <c r="D734" s="18" t="s">
        <v>623</v>
      </c>
      <c r="E734" s="94"/>
      <c r="F734" s="91" t="str">
        <f t="shared" si="66"/>
        <v>B</v>
      </c>
      <c r="G734" s="91" t="str">
        <f t="shared" si="67"/>
        <v>Đơn giản</v>
      </c>
      <c r="H734" s="91">
        <f t="shared" si="77"/>
        <v>2</v>
      </c>
      <c r="I734" s="79" t="str">
        <f t="shared" si="78"/>
        <v/>
      </c>
      <c r="J734" s="74"/>
      <c r="K734" s="74"/>
      <c r="L734" s="75"/>
      <c r="M734" s="74"/>
      <c r="N734" s="74"/>
      <c r="O734" s="74"/>
      <c r="P734" s="74"/>
      <c r="Q734" s="74"/>
      <c r="R734" s="74"/>
      <c r="S734" s="74"/>
      <c r="T734" s="74"/>
      <c r="U734" s="74"/>
      <c r="V734" s="74"/>
      <c r="W734" s="74"/>
      <c r="X734" s="74"/>
      <c r="Y734" s="74"/>
    </row>
    <row r="735" spans="1:25" ht="33.6">
      <c r="A735" s="74"/>
      <c r="B735" s="91" t="str">
        <f t="shared" si="79"/>
        <v/>
      </c>
      <c r="C735" s="94"/>
      <c r="D735" s="18"/>
      <c r="E735" s="104" t="s">
        <v>848</v>
      </c>
      <c r="F735" s="91" t="str">
        <f t="shared" si="66"/>
        <v/>
      </c>
      <c r="G735" s="91" t="str">
        <f t="shared" si="67"/>
        <v/>
      </c>
      <c r="H735" s="91" t="str">
        <f t="shared" si="77"/>
        <v/>
      </c>
      <c r="I735" s="79">
        <f t="shared" si="78"/>
        <v>128</v>
      </c>
      <c r="J735" s="74"/>
      <c r="K735" s="74"/>
      <c r="L735" s="75"/>
      <c r="M735" s="74"/>
      <c r="N735" s="74"/>
      <c r="O735" s="74"/>
      <c r="P735" s="74"/>
      <c r="Q735" s="74"/>
      <c r="R735" s="74"/>
      <c r="S735" s="74"/>
      <c r="T735" s="74"/>
      <c r="U735" s="74"/>
      <c r="V735" s="74"/>
      <c r="W735" s="74"/>
      <c r="X735" s="74"/>
      <c r="Y735" s="74"/>
    </row>
    <row r="736" spans="1:25" ht="33.6">
      <c r="A736" s="74"/>
      <c r="B736" s="91" t="str">
        <f t="shared" si="79"/>
        <v/>
      </c>
      <c r="C736" s="94"/>
      <c r="D736" s="18"/>
      <c r="E736" s="104" t="s">
        <v>849</v>
      </c>
      <c r="F736" s="91" t="str">
        <f t="shared" si="66"/>
        <v/>
      </c>
      <c r="G736" s="91" t="str">
        <f t="shared" si="67"/>
        <v/>
      </c>
      <c r="H736" s="91" t="str">
        <f t="shared" si="77"/>
        <v/>
      </c>
      <c r="I736" s="79">
        <f t="shared" si="78"/>
        <v>128</v>
      </c>
      <c r="J736" s="74"/>
      <c r="K736" s="74"/>
      <c r="L736" s="75"/>
      <c r="M736" s="74"/>
      <c r="N736" s="74"/>
      <c r="O736" s="74"/>
      <c r="P736" s="74"/>
      <c r="Q736" s="74"/>
      <c r="R736" s="74"/>
      <c r="S736" s="74"/>
      <c r="T736" s="74"/>
      <c r="U736" s="74"/>
      <c r="V736" s="74"/>
      <c r="W736" s="74"/>
      <c r="X736" s="74"/>
      <c r="Y736" s="74"/>
    </row>
    <row r="737" spans="1:25" ht="18">
      <c r="A737" s="74"/>
      <c r="B737" s="79">
        <f t="shared" si="79"/>
        <v>129</v>
      </c>
      <c r="C737" s="104" t="s">
        <v>850</v>
      </c>
      <c r="D737" s="18" t="s">
        <v>623</v>
      </c>
      <c r="E737" s="94"/>
      <c r="F737" s="91" t="str">
        <f t="shared" si="66"/>
        <v>B</v>
      </c>
      <c r="G737" s="91" t="str">
        <f t="shared" si="67"/>
        <v>Đơn giản</v>
      </c>
      <c r="H737" s="91">
        <f t="shared" si="77"/>
        <v>2</v>
      </c>
      <c r="I737" s="79" t="str">
        <f t="shared" si="78"/>
        <v/>
      </c>
      <c r="J737" s="74"/>
      <c r="K737" s="74"/>
      <c r="L737" s="75"/>
      <c r="M737" s="74"/>
      <c r="N737" s="74"/>
      <c r="O737" s="74"/>
      <c r="P737" s="74"/>
      <c r="Q737" s="74"/>
      <c r="R737" s="74"/>
      <c r="S737" s="74"/>
      <c r="T737" s="74"/>
      <c r="U737" s="74"/>
      <c r="V737" s="74"/>
      <c r="W737" s="74"/>
      <c r="X737" s="74"/>
      <c r="Y737" s="74"/>
    </row>
    <row r="738" spans="1:25" ht="33.6">
      <c r="A738" s="74"/>
      <c r="B738" s="91" t="str">
        <f t="shared" si="79"/>
        <v/>
      </c>
      <c r="C738" s="94"/>
      <c r="D738" s="18"/>
      <c r="E738" s="104" t="s">
        <v>851</v>
      </c>
      <c r="F738" s="91" t="str">
        <f t="shared" si="66"/>
        <v/>
      </c>
      <c r="G738" s="91" t="str">
        <f t="shared" si="67"/>
        <v/>
      </c>
      <c r="H738" s="91" t="str">
        <f t="shared" si="77"/>
        <v/>
      </c>
      <c r="I738" s="79">
        <f t="shared" si="78"/>
        <v>129</v>
      </c>
      <c r="J738" s="74"/>
      <c r="K738" s="74"/>
      <c r="L738" s="75"/>
      <c r="M738" s="74"/>
      <c r="N738" s="74"/>
      <c r="O738" s="74"/>
      <c r="P738" s="74"/>
      <c r="Q738" s="74"/>
      <c r="R738" s="74"/>
      <c r="S738" s="74"/>
      <c r="T738" s="74"/>
      <c r="U738" s="74"/>
      <c r="V738" s="74"/>
      <c r="W738" s="74"/>
      <c r="X738" s="74"/>
      <c r="Y738" s="74"/>
    </row>
    <row r="739" spans="1:25" ht="33.6">
      <c r="A739" s="74"/>
      <c r="B739" s="91" t="str">
        <f t="shared" si="79"/>
        <v/>
      </c>
      <c r="C739" s="94"/>
      <c r="D739" s="18"/>
      <c r="E739" s="104" t="s">
        <v>852</v>
      </c>
      <c r="F739" s="91" t="str">
        <f t="shared" si="66"/>
        <v/>
      </c>
      <c r="G739" s="91" t="str">
        <f t="shared" si="67"/>
        <v/>
      </c>
      <c r="H739" s="91" t="str">
        <f t="shared" si="77"/>
        <v/>
      </c>
      <c r="I739" s="79">
        <f t="shared" si="78"/>
        <v>129</v>
      </c>
      <c r="J739" s="74"/>
      <c r="K739" s="74"/>
      <c r="L739" s="75"/>
      <c r="M739" s="74"/>
      <c r="N739" s="74"/>
      <c r="O739" s="74"/>
      <c r="P739" s="74"/>
      <c r="Q739" s="74"/>
      <c r="R739" s="74"/>
      <c r="S739" s="74"/>
      <c r="T739" s="74"/>
      <c r="U739" s="74"/>
      <c r="V739" s="74"/>
      <c r="W739" s="74"/>
      <c r="X739" s="74"/>
      <c r="Y739" s="74"/>
    </row>
    <row r="740" spans="1:25" ht="18">
      <c r="A740" s="74"/>
      <c r="B740" s="79">
        <f t="shared" si="79"/>
        <v>130</v>
      </c>
      <c r="C740" s="101" t="s">
        <v>853</v>
      </c>
      <c r="D740" s="102" t="s">
        <v>623</v>
      </c>
      <c r="E740" s="103"/>
      <c r="F740" s="91" t="str">
        <f t="shared" si="66"/>
        <v>B</v>
      </c>
      <c r="G740" s="91" t="str">
        <f t="shared" si="67"/>
        <v>Đơn giản</v>
      </c>
      <c r="H740" s="91">
        <f t="shared" si="77"/>
        <v>3</v>
      </c>
      <c r="I740" s="79" t="str">
        <f t="shared" si="78"/>
        <v/>
      </c>
      <c r="J740" s="74"/>
      <c r="K740" s="74"/>
      <c r="L740" s="75"/>
      <c r="M740" s="74"/>
      <c r="N740" s="74"/>
      <c r="O740" s="74"/>
      <c r="P740" s="74"/>
      <c r="Q740" s="74"/>
      <c r="R740" s="74"/>
      <c r="S740" s="74"/>
      <c r="T740" s="74"/>
      <c r="U740" s="74"/>
      <c r="V740" s="74"/>
      <c r="W740" s="74"/>
      <c r="X740" s="74"/>
      <c r="Y740" s="74"/>
    </row>
    <row r="741" spans="1:25" ht="50.45">
      <c r="A741" s="74"/>
      <c r="B741" s="91" t="str">
        <f t="shared" si="79"/>
        <v/>
      </c>
      <c r="C741" s="94"/>
      <c r="D741" s="18"/>
      <c r="E741" s="104" t="s">
        <v>854</v>
      </c>
      <c r="F741" s="91" t="str">
        <f t="shared" si="66"/>
        <v/>
      </c>
      <c r="G741" s="91" t="str">
        <f t="shared" si="67"/>
        <v/>
      </c>
      <c r="H741" s="91" t="str">
        <f t="shared" si="77"/>
        <v/>
      </c>
      <c r="I741" s="79">
        <f t="shared" si="78"/>
        <v>130</v>
      </c>
      <c r="J741" s="74"/>
      <c r="K741" s="74"/>
      <c r="L741" s="75"/>
      <c r="M741" s="74"/>
      <c r="N741" s="74"/>
      <c r="O741" s="74"/>
      <c r="P741" s="74"/>
      <c r="Q741" s="74"/>
      <c r="R741" s="74"/>
      <c r="S741" s="74"/>
      <c r="T741" s="74"/>
      <c r="U741" s="74"/>
      <c r="V741" s="74"/>
      <c r="W741" s="74"/>
      <c r="X741" s="74"/>
      <c r="Y741" s="74"/>
    </row>
    <row r="742" spans="1:25" ht="33.6">
      <c r="A742" s="74"/>
      <c r="B742" s="91" t="str">
        <f t="shared" si="79"/>
        <v/>
      </c>
      <c r="C742" s="94"/>
      <c r="D742" s="18"/>
      <c r="E742" s="104" t="s">
        <v>855</v>
      </c>
      <c r="F742" s="91" t="str">
        <f t="shared" si="66"/>
        <v/>
      </c>
      <c r="G742" s="91" t="str">
        <f t="shared" si="67"/>
        <v/>
      </c>
      <c r="H742" s="91" t="str">
        <f t="shared" si="77"/>
        <v/>
      </c>
      <c r="I742" s="79">
        <f t="shared" si="78"/>
        <v>130</v>
      </c>
      <c r="J742" s="74"/>
      <c r="K742" s="74"/>
      <c r="L742" s="75"/>
      <c r="M742" s="74"/>
      <c r="N742" s="74"/>
      <c r="O742" s="74"/>
      <c r="P742" s="74"/>
      <c r="Q742" s="74"/>
      <c r="R742" s="74"/>
      <c r="S742" s="74"/>
      <c r="T742" s="74"/>
      <c r="U742" s="74"/>
      <c r="V742" s="74"/>
      <c r="W742" s="74"/>
      <c r="X742" s="74"/>
      <c r="Y742" s="74"/>
    </row>
    <row r="743" spans="1:25" ht="33.6">
      <c r="A743" s="74"/>
      <c r="B743" s="91" t="str">
        <f t="shared" si="79"/>
        <v/>
      </c>
      <c r="C743" s="94"/>
      <c r="D743" s="18"/>
      <c r="E743" s="104" t="s">
        <v>856</v>
      </c>
      <c r="F743" s="91" t="str">
        <f t="shared" si="66"/>
        <v/>
      </c>
      <c r="G743" s="91" t="str">
        <f t="shared" si="67"/>
        <v/>
      </c>
      <c r="H743" s="91" t="str">
        <f t="shared" si="77"/>
        <v/>
      </c>
      <c r="I743" s="79">
        <f t="shared" si="78"/>
        <v>130</v>
      </c>
      <c r="J743" s="74"/>
      <c r="K743" s="74"/>
      <c r="L743" s="75"/>
      <c r="M743" s="74"/>
      <c r="N743" s="74"/>
      <c r="O743" s="74"/>
      <c r="P743" s="74"/>
      <c r="Q743" s="74"/>
      <c r="R743" s="74"/>
      <c r="S743" s="74"/>
      <c r="T743" s="74"/>
      <c r="U743" s="74"/>
      <c r="V743" s="74"/>
      <c r="W743" s="74"/>
      <c r="X743" s="74"/>
      <c r="Y743" s="74"/>
    </row>
    <row r="744" spans="1:25" ht="18">
      <c r="A744" s="74"/>
      <c r="B744" s="79">
        <f t="shared" si="79"/>
        <v>131</v>
      </c>
      <c r="C744" s="104" t="s">
        <v>857</v>
      </c>
      <c r="D744" s="18" t="s">
        <v>858</v>
      </c>
      <c r="E744" s="94"/>
      <c r="F744" s="91" t="str">
        <f t="shared" si="66"/>
        <v>B</v>
      </c>
      <c r="G744" s="91" t="str">
        <f t="shared" si="67"/>
        <v>Trung bình</v>
      </c>
      <c r="H744" s="91">
        <f t="shared" ref="H744:H773" si="80">IF(AND(B744&lt;&gt;"",C744&lt;&gt;"",D744&lt;&gt;""),COUNTIF(I744:I1817,B744),"")</f>
        <v>4</v>
      </c>
      <c r="I744" s="79" t="str">
        <f>IF(OR(E744="",B744&lt;&gt;""),"",IF(#REF!&lt;&gt;"",#REF!,#REF!))</f>
        <v/>
      </c>
      <c r="J744" s="74"/>
      <c r="K744" s="74"/>
      <c r="L744" s="75"/>
      <c r="M744" s="74"/>
      <c r="N744" s="74"/>
      <c r="O744" s="74"/>
      <c r="P744" s="74"/>
      <c r="Q744" s="74"/>
      <c r="R744" s="74"/>
      <c r="S744" s="74"/>
      <c r="T744" s="74"/>
      <c r="U744" s="74"/>
      <c r="V744" s="74"/>
      <c r="W744" s="74"/>
      <c r="X744" s="74"/>
      <c r="Y744" s="74"/>
    </row>
    <row r="745" spans="1:25" ht="33.6">
      <c r="A745" s="74"/>
      <c r="B745" s="91" t="str">
        <f t="shared" si="79"/>
        <v/>
      </c>
      <c r="C745" s="94"/>
      <c r="D745" s="18"/>
      <c r="E745" s="104" t="s">
        <v>859</v>
      </c>
      <c r="F745" s="91" t="str">
        <f t="shared" si="66"/>
        <v/>
      </c>
      <c r="G745" s="91" t="str">
        <f t="shared" si="67"/>
        <v/>
      </c>
      <c r="H745" s="91" t="str">
        <f t="shared" si="80"/>
        <v/>
      </c>
      <c r="I745" s="79">
        <f t="shared" ref="I745:I773" si="81">IF(OR(E745="",B745&lt;&gt;""),"",IF(I744&lt;&gt;"",I744,B744))</f>
        <v>131</v>
      </c>
      <c r="J745" s="74"/>
      <c r="K745" s="74"/>
      <c r="L745" s="75"/>
      <c r="M745" s="74"/>
      <c r="N745" s="74"/>
      <c r="O745" s="74"/>
      <c r="P745" s="74"/>
      <c r="Q745" s="74"/>
      <c r="R745" s="74"/>
      <c r="S745" s="74"/>
      <c r="T745" s="74"/>
      <c r="U745" s="74"/>
      <c r="V745" s="74"/>
      <c r="W745" s="74"/>
      <c r="X745" s="74"/>
      <c r="Y745" s="74"/>
    </row>
    <row r="746" spans="1:25" ht="33.6">
      <c r="A746" s="74"/>
      <c r="B746" s="91" t="str">
        <f t="shared" si="79"/>
        <v/>
      </c>
      <c r="C746" s="94"/>
      <c r="D746" s="18"/>
      <c r="E746" s="104" t="s">
        <v>860</v>
      </c>
      <c r="F746" s="91" t="str">
        <f t="shared" si="66"/>
        <v/>
      </c>
      <c r="G746" s="91" t="str">
        <f t="shared" si="67"/>
        <v/>
      </c>
      <c r="H746" s="91" t="str">
        <f t="shared" si="80"/>
        <v/>
      </c>
      <c r="I746" s="79">
        <f t="shared" si="81"/>
        <v>131</v>
      </c>
      <c r="J746" s="74"/>
      <c r="K746" s="74"/>
      <c r="L746" s="75"/>
      <c r="M746" s="74"/>
      <c r="N746" s="74"/>
      <c r="O746" s="74"/>
      <c r="P746" s="74"/>
      <c r="Q746" s="74"/>
      <c r="R746" s="74"/>
      <c r="S746" s="74"/>
      <c r="T746" s="74"/>
      <c r="U746" s="74"/>
      <c r="V746" s="74"/>
      <c r="W746" s="74"/>
      <c r="X746" s="74"/>
      <c r="Y746" s="74"/>
    </row>
    <row r="747" spans="1:25" ht="33.6">
      <c r="A747" s="74"/>
      <c r="B747" s="91" t="str">
        <f t="shared" si="79"/>
        <v/>
      </c>
      <c r="C747" s="94"/>
      <c r="D747" s="18"/>
      <c r="E747" s="104" t="s">
        <v>861</v>
      </c>
      <c r="F747" s="91" t="str">
        <f t="shared" si="66"/>
        <v/>
      </c>
      <c r="G747" s="91" t="str">
        <f t="shared" si="67"/>
        <v/>
      </c>
      <c r="H747" s="91" t="str">
        <f t="shared" si="80"/>
        <v/>
      </c>
      <c r="I747" s="79">
        <f t="shared" si="81"/>
        <v>131</v>
      </c>
      <c r="J747" s="74"/>
      <c r="K747" s="74"/>
      <c r="L747" s="75"/>
      <c r="M747" s="74"/>
      <c r="N747" s="74"/>
      <c r="O747" s="74"/>
      <c r="P747" s="74"/>
      <c r="Q747" s="74"/>
      <c r="R747" s="74"/>
      <c r="S747" s="74"/>
      <c r="T747" s="74"/>
      <c r="U747" s="74"/>
      <c r="V747" s="74"/>
      <c r="W747" s="74"/>
      <c r="X747" s="74"/>
      <c r="Y747" s="74"/>
    </row>
    <row r="748" spans="1:25" ht="33.6">
      <c r="A748" s="74"/>
      <c r="B748" s="91" t="str">
        <f t="shared" si="79"/>
        <v/>
      </c>
      <c r="C748" s="94"/>
      <c r="D748" s="18"/>
      <c r="E748" s="104" t="s">
        <v>862</v>
      </c>
      <c r="F748" s="91" t="str">
        <f t="shared" si="66"/>
        <v/>
      </c>
      <c r="G748" s="91" t="str">
        <f t="shared" si="67"/>
        <v/>
      </c>
      <c r="H748" s="91" t="str">
        <f t="shared" si="80"/>
        <v/>
      </c>
      <c r="I748" s="79">
        <f t="shared" si="81"/>
        <v>131</v>
      </c>
      <c r="J748" s="74"/>
      <c r="K748" s="74"/>
      <c r="L748" s="75"/>
      <c r="M748" s="74"/>
      <c r="N748" s="74"/>
      <c r="O748" s="74"/>
      <c r="P748" s="74"/>
      <c r="Q748" s="74"/>
      <c r="R748" s="74"/>
      <c r="S748" s="74"/>
      <c r="T748" s="74"/>
      <c r="U748" s="74"/>
      <c r="V748" s="74"/>
      <c r="W748" s="74"/>
      <c r="X748" s="74"/>
      <c r="Y748" s="74"/>
    </row>
    <row r="749" spans="1:25" ht="18">
      <c r="A749" s="74"/>
      <c r="B749" s="79">
        <f t="shared" si="79"/>
        <v>132</v>
      </c>
      <c r="C749" s="104" t="s">
        <v>863</v>
      </c>
      <c r="D749" s="18" t="s">
        <v>858</v>
      </c>
      <c r="E749" s="94"/>
      <c r="F749" s="91" t="str">
        <f t="shared" si="66"/>
        <v>B</v>
      </c>
      <c r="G749" s="91" t="str">
        <f t="shared" si="67"/>
        <v>Trung bình</v>
      </c>
      <c r="H749" s="91">
        <f t="shared" si="80"/>
        <v>4</v>
      </c>
      <c r="I749" s="79" t="str">
        <f t="shared" si="81"/>
        <v/>
      </c>
      <c r="J749" s="74"/>
      <c r="K749" s="74"/>
      <c r="L749" s="75"/>
      <c r="M749" s="74"/>
      <c r="N749" s="74"/>
      <c r="O749" s="74"/>
      <c r="P749" s="74"/>
      <c r="Q749" s="74"/>
      <c r="R749" s="74"/>
      <c r="S749" s="74"/>
      <c r="T749" s="74"/>
      <c r="U749" s="74"/>
      <c r="V749" s="74"/>
      <c r="W749" s="74"/>
      <c r="X749" s="74"/>
      <c r="Y749" s="74"/>
    </row>
    <row r="750" spans="1:25" ht="33.6">
      <c r="A750" s="74"/>
      <c r="B750" s="91" t="str">
        <f t="shared" si="79"/>
        <v/>
      </c>
      <c r="C750" s="92"/>
      <c r="D750" s="18"/>
      <c r="E750" s="104" t="s">
        <v>864</v>
      </c>
      <c r="F750" s="91" t="str">
        <f t="shared" si="66"/>
        <v/>
      </c>
      <c r="G750" s="91" t="str">
        <f t="shared" si="67"/>
        <v/>
      </c>
      <c r="H750" s="91" t="str">
        <f t="shared" si="80"/>
        <v/>
      </c>
      <c r="I750" s="79">
        <f t="shared" si="81"/>
        <v>132</v>
      </c>
      <c r="J750" s="74"/>
      <c r="K750" s="74"/>
      <c r="L750" s="75"/>
      <c r="M750" s="74"/>
      <c r="N750" s="74"/>
      <c r="O750" s="74"/>
      <c r="P750" s="74"/>
      <c r="Q750" s="74"/>
      <c r="R750" s="74"/>
      <c r="S750" s="74"/>
      <c r="T750" s="74"/>
      <c r="U750" s="74"/>
      <c r="V750" s="74"/>
      <c r="W750" s="74"/>
      <c r="X750" s="74"/>
      <c r="Y750" s="74"/>
    </row>
    <row r="751" spans="1:25" ht="33.6">
      <c r="A751" s="74"/>
      <c r="B751" s="91" t="str">
        <f t="shared" si="79"/>
        <v/>
      </c>
      <c r="C751" s="106"/>
      <c r="D751" s="18"/>
      <c r="E751" s="104" t="s">
        <v>865</v>
      </c>
      <c r="F751" s="91" t="str">
        <f t="shared" si="66"/>
        <v/>
      </c>
      <c r="G751" s="91" t="str">
        <f t="shared" si="67"/>
        <v/>
      </c>
      <c r="H751" s="91" t="str">
        <f t="shared" si="80"/>
        <v/>
      </c>
      <c r="I751" s="79">
        <f t="shared" si="81"/>
        <v>132</v>
      </c>
      <c r="J751" s="74"/>
      <c r="K751" s="74"/>
      <c r="L751" s="75"/>
      <c r="M751" s="74"/>
      <c r="N751" s="74"/>
      <c r="O751" s="74"/>
      <c r="P751" s="74"/>
      <c r="Q751" s="74"/>
      <c r="R751" s="74"/>
      <c r="S751" s="74"/>
      <c r="T751" s="74"/>
      <c r="U751" s="74"/>
      <c r="V751" s="74"/>
      <c r="W751" s="74"/>
      <c r="X751" s="74"/>
      <c r="Y751" s="74"/>
    </row>
    <row r="752" spans="1:25" ht="33.6">
      <c r="A752" s="74"/>
      <c r="B752" s="91" t="str">
        <f t="shared" si="79"/>
        <v/>
      </c>
      <c r="C752" s="92"/>
      <c r="D752" s="18"/>
      <c r="E752" s="104" t="s">
        <v>866</v>
      </c>
      <c r="F752" s="91" t="str">
        <f t="shared" si="66"/>
        <v/>
      </c>
      <c r="G752" s="91" t="str">
        <f t="shared" si="67"/>
        <v/>
      </c>
      <c r="H752" s="91" t="str">
        <f t="shared" si="80"/>
        <v/>
      </c>
      <c r="I752" s="79">
        <f t="shared" si="81"/>
        <v>132</v>
      </c>
      <c r="J752" s="74"/>
      <c r="K752" s="74"/>
      <c r="L752" s="75"/>
      <c r="M752" s="74"/>
      <c r="N752" s="74"/>
      <c r="O752" s="74"/>
      <c r="P752" s="74"/>
      <c r="Q752" s="74"/>
      <c r="R752" s="74"/>
      <c r="S752" s="74"/>
      <c r="T752" s="74"/>
      <c r="U752" s="74"/>
      <c r="V752" s="74"/>
      <c r="W752" s="74"/>
      <c r="X752" s="74"/>
      <c r="Y752" s="74"/>
    </row>
    <row r="753" spans="1:25" ht="33.6">
      <c r="A753" s="74"/>
      <c r="B753" s="91" t="str">
        <f t="shared" si="79"/>
        <v/>
      </c>
      <c r="C753" s="92"/>
      <c r="D753" s="18"/>
      <c r="E753" s="104" t="s">
        <v>867</v>
      </c>
      <c r="F753" s="91" t="str">
        <f t="shared" si="66"/>
        <v/>
      </c>
      <c r="G753" s="91" t="str">
        <f t="shared" si="67"/>
        <v/>
      </c>
      <c r="H753" s="91" t="str">
        <f t="shared" si="80"/>
        <v/>
      </c>
      <c r="I753" s="79">
        <f t="shared" si="81"/>
        <v>132</v>
      </c>
      <c r="J753" s="74"/>
      <c r="K753" s="74"/>
      <c r="L753" s="75"/>
      <c r="M753" s="74"/>
      <c r="N753" s="74"/>
      <c r="O753" s="74"/>
      <c r="P753" s="74"/>
      <c r="Q753" s="74"/>
      <c r="R753" s="74"/>
      <c r="S753" s="74"/>
      <c r="T753" s="74"/>
      <c r="U753" s="74"/>
      <c r="V753" s="74"/>
      <c r="W753" s="74"/>
      <c r="X753" s="74"/>
      <c r="Y753" s="74"/>
    </row>
    <row r="754" spans="1:25" ht="18">
      <c r="A754" s="74"/>
      <c r="B754" s="91" t="s">
        <v>868</v>
      </c>
      <c r="C754" s="107" t="s">
        <v>869</v>
      </c>
      <c r="D754" s="18"/>
      <c r="E754" s="94"/>
      <c r="F754" s="91" t="str">
        <f t="shared" si="66"/>
        <v/>
      </c>
      <c r="G754" s="91" t="str">
        <f t="shared" si="67"/>
        <v/>
      </c>
      <c r="H754" s="91" t="str">
        <f t="shared" si="80"/>
        <v/>
      </c>
      <c r="I754" s="79" t="str">
        <f t="shared" si="81"/>
        <v/>
      </c>
      <c r="J754" s="74"/>
      <c r="K754" s="74"/>
      <c r="L754" s="75"/>
      <c r="M754" s="74"/>
      <c r="N754" s="74"/>
      <c r="O754" s="74"/>
      <c r="P754" s="74"/>
      <c r="Q754" s="74"/>
      <c r="R754" s="74"/>
      <c r="S754" s="74"/>
      <c r="T754" s="74"/>
      <c r="U754" s="74"/>
      <c r="V754" s="74"/>
      <c r="W754" s="74"/>
      <c r="X754" s="74"/>
      <c r="Y754" s="74"/>
    </row>
    <row r="755" spans="1:25" ht="18">
      <c r="A755" s="74"/>
      <c r="B755" s="79">
        <f t="shared" ref="B755:B766" si="82">IF(C755="","",IF(F755="B",COUNTIF($F$6:F755,"B"),""))</f>
        <v>133</v>
      </c>
      <c r="C755" s="104" t="s">
        <v>870</v>
      </c>
      <c r="D755" s="18" t="s">
        <v>871</v>
      </c>
      <c r="E755" s="94"/>
      <c r="F755" s="91" t="str">
        <f t="shared" si="66"/>
        <v>B</v>
      </c>
      <c r="G755" s="91" t="str">
        <f t="shared" si="67"/>
        <v>Đơn giản</v>
      </c>
      <c r="H755" s="91">
        <f t="shared" si="80"/>
        <v>3</v>
      </c>
      <c r="I755" s="79" t="str">
        <f t="shared" si="81"/>
        <v/>
      </c>
      <c r="J755" s="74"/>
      <c r="K755" s="74"/>
      <c r="L755" s="75"/>
      <c r="M755" s="74"/>
      <c r="N755" s="74"/>
      <c r="O755" s="74"/>
      <c r="P755" s="74"/>
      <c r="Q755" s="74"/>
      <c r="R755" s="74"/>
      <c r="S755" s="74"/>
      <c r="T755" s="74"/>
      <c r="U755" s="74"/>
      <c r="V755" s="74"/>
      <c r="W755" s="74"/>
      <c r="X755" s="74"/>
      <c r="Y755" s="74"/>
    </row>
    <row r="756" spans="1:25" ht="33.6">
      <c r="A756" s="74"/>
      <c r="B756" s="91" t="str">
        <f t="shared" si="82"/>
        <v/>
      </c>
      <c r="C756" s="94"/>
      <c r="D756" s="18"/>
      <c r="E756" s="104" t="s">
        <v>872</v>
      </c>
      <c r="F756" s="91" t="str">
        <f t="shared" ref="F756:F791" si="83">IF(D756="","","B")</f>
        <v/>
      </c>
      <c r="G756" s="91" t="str">
        <f t="shared" ref="G756:G791" si="84">IF(AND(B756&lt;&gt;"",C756&lt;&gt;"",D756&lt;&gt;""),IF(H756&lt;4,$K$1,IF(H756&lt;8,$K$2,$K$3)),"")</f>
        <v/>
      </c>
      <c r="H756" s="91" t="str">
        <f t="shared" si="80"/>
        <v/>
      </c>
      <c r="I756" s="79">
        <f t="shared" si="81"/>
        <v>133</v>
      </c>
      <c r="J756" s="74"/>
      <c r="K756" s="74"/>
      <c r="L756" s="75"/>
      <c r="M756" s="74"/>
      <c r="N756" s="74"/>
      <c r="O756" s="74"/>
      <c r="P756" s="74"/>
      <c r="Q756" s="74"/>
      <c r="R756" s="74"/>
      <c r="S756" s="74"/>
      <c r="T756" s="74"/>
      <c r="U756" s="74"/>
      <c r="V756" s="74"/>
      <c r="W756" s="74"/>
      <c r="X756" s="74"/>
      <c r="Y756" s="74"/>
    </row>
    <row r="757" spans="1:25" ht="33.6">
      <c r="A757" s="74"/>
      <c r="B757" s="91" t="str">
        <f t="shared" si="82"/>
        <v/>
      </c>
      <c r="C757" s="94"/>
      <c r="D757" s="18"/>
      <c r="E757" s="104" t="s">
        <v>873</v>
      </c>
      <c r="F757" s="91" t="str">
        <f t="shared" si="83"/>
        <v/>
      </c>
      <c r="G757" s="91" t="str">
        <f t="shared" si="84"/>
        <v/>
      </c>
      <c r="H757" s="91" t="str">
        <f t="shared" si="80"/>
        <v/>
      </c>
      <c r="I757" s="79">
        <f t="shared" si="81"/>
        <v>133</v>
      </c>
      <c r="J757" s="74"/>
      <c r="K757" s="74"/>
      <c r="L757" s="75"/>
      <c r="M757" s="74"/>
      <c r="N757" s="74"/>
      <c r="O757" s="74"/>
      <c r="P757" s="74"/>
      <c r="Q757" s="74"/>
      <c r="R757" s="74"/>
      <c r="S757" s="74"/>
      <c r="T757" s="74"/>
      <c r="U757" s="74"/>
      <c r="V757" s="74"/>
      <c r="W757" s="74"/>
      <c r="X757" s="74"/>
      <c r="Y757" s="74"/>
    </row>
    <row r="758" spans="1:25" ht="33.6">
      <c r="A758" s="74"/>
      <c r="B758" s="91" t="str">
        <f t="shared" si="82"/>
        <v/>
      </c>
      <c r="C758" s="94"/>
      <c r="D758" s="18"/>
      <c r="E758" s="104" t="s">
        <v>874</v>
      </c>
      <c r="F758" s="91" t="str">
        <f t="shared" si="83"/>
        <v/>
      </c>
      <c r="G758" s="91" t="str">
        <f t="shared" si="84"/>
        <v/>
      </c>
      <c r="H758" s="91" t="str">
        <f t="shared" si="80"/>
        <v/>
      </c>
      <c r="I758" s="79">
        <f t="shared" si="81"/>
        <v>133</v>
      </c>
      <c r="J758" s="74"/>
      <c r="K758" s="74"/>
      <c r="L758" s="75"/>
      <c r="M758" s="74"/>
      <c r="N758" s="74"/>
      <c r="O758" s="74"/>
      <c r="P758" s="74"/>
      <c r="Q758" s="74"/>
      <c r="R758" s="74"/>
      <c r="S758" s="74"/>
      <c r="T758" s="74"/>
      <c r="U758" s="74"/>
      <c r="V758" s="74"/>
      <c r="W758" s="74"/>
      <c r="X758" s="74"/>
      <c r="Y758" s="74"/>
    </row>
    <row r="759" spans="1:25" ht="18">
      <c r="A759" s="74"/>
      <c r="B759" s="79">
        <f t="shared" si="82"/>
        <v>134</v>
      </c>
      <c r="C759" s="104" t="s">
        <v>875</v>
      </c>
      <c r="D759" s="18" t="s">
        <v>871</v>
      </c>
      <c r="E759" s="94"/>
      <c r="F759" s="91" t="str">
        <f t="shared" si="83"/>
        <v>B</v>
      </c>
      <c r="G759" s="91" t="str">
        <f t="shared" si="84"/>
        <v>Đơn giản</v>
      </c>
      <c r="H759" s="91">
        <f t="shared" si="80"/>
        <v>3</v>
      </c>
      <c r="I759" s="79" t="str">
        <f t="shared" si="81"/>
        <v/>
      </c>
      <c r="J759" s="74"/>
      <c r="K759" s="74"/>
      <c r="L759" s="75"/>
      <c r="M759" s="74"/>
      <c r="N759" s="74"/>
      <c r="O759" s="74"/>
      <c r="P759" s="74"/>
      <c r="Q759" s="74"/>
      <c r="R759" s="74"/>
      <c r="S759" s="74"/>
      <c r="T759" s="74"/>
      <c r="U759" s="74"/>
      <c r="V759" s="74"/>
      <c r="W759" s="74"/>
      <c r="X759" s="74"/>
      <c r="Y759" s="74"/>
    </row>
    <row r="760" spans="1:25" ht="33.6">
      <c r="A760" s="74"/>
      <c r="B760" s="91" t="str">
        <f t="shared" si="82"/>
        <v/>
      </c>
      <c r="C760" s="94"/>
      <c r="D760" s="18"/>
      <c r="E760" s="104" t="s">
        <v>876</v>
      </c>
      <c r="F760" s="91" t="str">
        <f t="shared" si="83"/>
        <v/>
      </c>
      <c r="G760" s="91" t="str">
        <f t="shared" si="84"/>
        <v/>
      </c>
      <c r="H760" s="91" t="str">
        <f t="shared" si="80"/>
        <v/>
      </c>
      <c r="I760" s="79">
        <f t="shared" si="81"/>
        <v>134</v>
      </c>
      <c r="J760" s="74"/>
      <c r="K760" s="74"/>
      <c r="L760" s="75"/>
      <c r="M760" s="74"/>
      <c r="N760" s="74"/>
      <c r="O760" s="74"/>
      <c r="P760" s="74"/>
      <c r="Q760" s="74"/>
      <c r="R760" s="74"/>
      <c r="S760" s="74"/>
      <c r="T760" s="74"/>
      <c r="U760" s="74"/>
      <c r="V760" s="74"/>
      <c r="W760" s="74"/>
      <c r="X760" s="74"/>
      <c r="Y760" s="74"/>
    </row>
    <row r="761" spans="1:25" ht="33.6">
      <c r="A761" s="74"/>
      <c r="B761" s="91" t="str">
        <f t="shared" si="82"/>
        <v/>
      </c>
      <c r="C761" s="94"/>
      <c r="D761" s="18"/>
      <c r="E761" s="104" t="s">
        <v>877</v>
      </c>
      <c r="F761" s="91" t="str">
        <f t="shared" si="83"/>
        <v/>
      </c>
      <c r="G761" s="91" t="str">
        <f t="shared" si="84"/>
        <v/>
      </c>
      <c r="H761" s="91" t="str">
        <f t="shared" si="80"/>
        <v/>
      </c>
      <c r="I761" s="79">
        <f t="shared" si="81"/>
        <v>134</v>
      </c>
      <c r="J761" s="74"/>
      <c r="K761" s="74"/>
      <c r="L761" s="75"/>
      <c r="M761" s="74"/>
      <c r="N761" s="74"/>
      <c r="O761" s="74"/>
      <c r="P761" s="74"/>
      <c r="Q761" s="74"/>
      <c r="R761" s="74"/>
      <c r="S761" s="74"/>
      <c r="T761" s="74"/>
      <c r="U761" s="74"/>
      <c r="V761" s="74"/>
      <c r="W761" s="74"/>
      <c r="X761" s="74"/>
      <c r="Y761" s="74"/>
    </row>
    <row r="762" spans="1:25" ht="33.6">
      <c r="A762" s="74"/>
      <c r="B762" s="91" t="str">
        <f t="shared" si="82"/>
        <v/>
      </c>
      <c r="C762" s="94"/>
      <c r="D762" s="18"/>
      <c r="E762" s="104" t="s">
        <v>878</v>
      </c>
      <c r="F762" s="91" t="str">
        <f t="shared" si="83"/>
        <v/>
      </c>
      <c r="G762" s="91" t="str">
        <f t="shared" si="84"/>
        <v/>
      </c>
      <c r="H762" s="91" t="str">
        <f t="shared" si="80"/>
        <v/>
      </c>
      <c r="I762" s="79">
        <f t="shared" si="81"/>
        <v>134</v>
      </c>
      <c r="J762" s="74"/>
      <c r="K762" s="74"/>
      <c r="L762" s="75"/>
      <c r="M762" s="74"/>
      <c r="N762" s="74"/>
      <c r="O762" s="74"/>
      <c r="P762" s="74"/>
      <c r="Q762" s="74"/>
      <c r="R762" s="74"/>
      <c r="S762" s="74"/>
      <c r="T762" s="74"/>
      <c r="U762" s="74"/>
      <c r="V762" s="74"/>
      <c r="W762" s="74"/>
      <c r="X762" s="74"/>
      <c r="Y762" s="74"/>
    </row>
    <row r="763" spans="1:25" ht="18">
      <c r="A763" s="74"/>
      <c r="B763" s="79">
        <f t="shared" si="82"/>
        <v>135</v>
      </c>
      <c r="C763" s="104" t="s">
        <v>879</v>
      </c>
      <c r="D763" s="18" t="s">
        <v>871</v>
      </c>
      <c r="E763" s="94"/>
      <c r="F763" s="91" t="str">
        <f t="shared" si="83"/>
        <v>B</v>
      </c>
      <c r="G763" s="91" t="str">
        <f t="shared" si="84"/>
        <v>Đơn giản</v>
      </c>
      <c r="H763" s="91">
        <f t="shared" si="80"/>
        <v>3</v>
      </c>
      <c r="I763" s="79" t="str">
        <f t="shared" si="81"/>
        <v/>
      </c>
      <c r="J763" s="74"/>
      <c r="K763" s="74"/>
      <c r="L763" s="75"/>
      <c r="M763" s="74"/>
      <c r="N763" s="74"/>
      <c r="O763" s="74"/>
      <c r="P763" s="74"/>
      <c r="Q763" s="74"/>
      <c r="R763" s="74"/>
      <c r="S763" s="74"/>
      <c r="T763" s="74"/>
      <c r="U763" s="74"/>
      <c r="V763" s="74"/>
      <c r="W763" s="74"/>
      <c r="X763" s="74"/>
      <c r="Y763" s="74"/>
    </row>
    <row r="764" spans="1:25" ht="33.6">
      <c r="A764" s="74"/>
      <c r="B764" s="91" t="str">
        <f t="shared" si="82"/>
        <v/>
      </c>
      <c r="C764" s="94"/>
      <c r="D764" s="18"/>
      <c r="E764" s="104" t="s">
        <v>880</v>
      </c>
      <c r="F764" s="91" t="str">
        <f t="shared" si="83"/>
        <v/>
      </c>
      <c r="G764" s="91" t="str">
        <f t="shared" si="84"/>
        <v/>
      </c>
      <c r="H764" s="91" t="str">
        <f t="shared" si="80"/>
        <v/>
      </c>
      <c r="I764" s="79">
        <f t="shared" si="81"/>
        <v>135</v>
      </c>
      <c r="J764" s="74"/>
      <c r="K764" s="74"/>
      <c r="L764" s="75"/>
      <c r="M764" s="74"/>
      <c r="N764" s="74"/>
      <c r="O764" s="74"/>
      <c r="P764" s="74"/>
      <c r="Q764" s="74"/>
      <c r="R764" s="74"/>
      <c r="S764" s="74"/>
      <c r="T764" s="74"/>
      <c r="U764" s="74"/>
      <c r="V764" s="74"/>
      <c r="W764" s="74"/>
      <c r="X764" s="74"/>
      <c r="Y764" s="74"/>
    </row>
    <row r="765" spans="1:25" ht="33.6">
      <c r="A765" s="74"/>
      <c r="B765" s="91" t="str">
        <f t="shared" si="82"/>
        <v/>
      </c>
      <c r="C765" s="94"/>
      <c r="D765" s="18"/>
      <c r="E765" s="104" t="s">
        <v>881</v>
      </c>
      <c r="F765" s="91" t="str">
        <f t="shared" si="83"/>
        <v/>
      </c>
      <c r="G765" s="91" t="str">
        <f t="shared" si="84"/>
        <v/>
      </c>
      <c r="H765" s="91" t="str">
        <f t="shared" si="80"/>
        <v/>
      </c>
      <c r="I765" s="79">
        <f t="shared" si="81"/>
        <v>135</v>
      </c>
      <c r="J765" s="74"/>
      <c r="K765" s="74"/>
      <c r="L765" s="75"/>
      <c r="M765" s="74"/>
      <c r="N765" s="74"/>
      <c r="O765" s="74"/>
      <c r="P765" s="74"/>
      <c r="Q765" s="74"/>
      <c r="R765" s="74"/>
      <c r="S765" s="74"/>
      <c r="T765" s="74"/>
      <c r="U765" s="74"/>
      <c r="V765" s="74"/>
      <c r="W765" s="74"/>
      <c r="X765" s="74"/>
      <c r="Y765" s="74"/>
    </row>
    <row r="766" spans="1:25" ht="33.6">
      <c r="A766" s="74"/>
      <c r="B766" s="91" t="str">
        <f t="shared" si="82"/>
        <v/>
      </c>
      <c r="C766" s="92"/>
      <c r="D766" s="18"/>
      <c r="E766" s="104" t="s">
        <v>882</v>
      </c>
      <c r="F766" s="91" t="str">
        <f t="shared" si="83"/>
        <v/>
      </c>
      <c r="G766" s="91" t="str">
        <f t="shared" si="84"/>
        <v/>
      </c>
      <c r="H766" s="91" t="str">
        <f t="shared" si="80"/>
        <v/>
      </c>
      <c r="I766" s="79">
        <f t="shared" si="81"/>
        <v>135</v>
      </c>
      <c r="J766" s="74"/>
      <c r="K766" s="74"/>
      <c r="L766" s="75"/>
      <c r="M766" s="74"/>
      <c r="N766" s="74"/>
      <c r="O766" s="74"/>
      <c r="P766" s="74"/>
      <c r="Q766" s="74"/>
      <c r="R766" s="74"/>
      <c r="S766" s="74"/>
      <c r="T766" s="74"/>
      <c r="U766" s="74"/>
      <c r="V766" s="74"/>
      <c r="W766" s="74"/>
      <c r="X766" s="74"/>
      <c r="Y766" s="74"/>
    </row>
    <row r="767" spans="1:25" ht="18">
      <c r="A767" s="74"/>
      <c r="B767" s="91" t="s">
        <v>883</v>
      </c>
      <c r="C767" s="107" t="s">
        <v>884</v>
      </c>
      <c r="D767" s="102"/>
      <c r="E767" s="103"/>
      <c r="F767" s="91" t="str">
        <f t="shared" si="83"/>
        <v/>
      </c>
      <c r="G767" s="91" t="str">
        <f t="shared" si="84"/>
        <v/>
      </c>
      <c r="H767" s="91" t="str">
        <f t="shared" si="80"/>
        <v/>
      </c>
      <c r="I767" s="79" t="str">
        <f t="shared" si="81"/>
        <v/>
      </c>
      <c r="J767" s="74"/>
      <c r="K767" s="74"/>
      <c r="L767" s="75"/>
      <c r="M767" s="74"/>
      <c r="N767" s="74"/>
      <c r="O767" s="74"/>
      <c r="P767" s="74"/>
      <c r="Q767" s="74"/>
      <c r="R767" s="74"/>
      <c r="S767" s="74"/>
      <c r="T767" s="74"/>
      <c r="U767" s="74"/>
      <c r="V767" s="74"/>
      <c r="W767" s="74"/>
      <c r="X767" s="74"/>
      <c r="Y767" s="74"/>
    </row>
    <row r="768" spans="1:25" ht="18">
      <c r="A768" s="74"/>
      <c r="B768" s="79">
        <f t="shared" ref="B768:B791" si="85">IF(C768="","",IF(F768="B",COUNTIF($F$6:F768,"B"),""))</f>
        <v>136</v>
      </c>
      <c r="C768" s="104" t="s">
        <v>885</v>
      </c>
      <c r="D768" s="18" t="s">
        <v>871</v>
      </c>
      <c r="E768" s="94"/>
      <c r="F768" s="91" t="str">
        <f t="shared" si="83"/>
        <v>B</v>
      </c>
      <c r="G768" s="91" t="str">
        <f t="shared" si="84"/>
        <v>Trung bình</v>
      </c>
      <c r="H768" s="91">
        <f t="shared" si="80"/>
        <v>5</v>
      </c>
      <c r="I768" s="79" t="str">
        <f t="shared" si="81"/>
        <v/>
      </c>
      <c r="J768" s="74"/>
      <c r="K768" s="74"/>
      <c r="L768" s="75"/>
      <c r="M768" s="74"/>
      <c r="N768" s="74"/>
      <c r="O768" s="74"/>
      <c r="P768" s="74"/>
      <c r="Q768" s="74"/>
      <c r="R768" s="74"/>
      <c r="S768" s="74"/>
      <c r="T768" s="74"/>
      <c r="U768" s="74"/>
      <c r="V768" s="74"/>
      <c r="W768" s="74"/>
      <c r="X768" s="74"/>
      <c r="Y768" s="74"/>
    </row>
    <row r="769" spans="1:25" ht="50.45">
      <c r="A769" s="74"/>
      <c r="B769" s="91" t="str">
        <f t="shared" si="85"/>
        <v/>
      </c>
      <c r="C769" s="104"/>
      <c r="D769" s="18"/>
      <c r="E769" s="104" t="s">
        <v>886</v>
      </c>
      <c r="F769" s="91" t="str">
        <f t="shared" si="83"/>
        <v/>
      </c>
      <c r="G769" s="91" t="str">
        <f t="shared" si="84"/>
        <v/>
      </c>
      <c r="H769" s="91" t="str">
        <f t="shared" si="80"/>
        <v/>
      </c>
      <c r="I769" s="79">
        <f t="shared" si="81"/>
        <v>136</v>
      </c>
      <c r="J769" s="74"/>
      <c r="K769" s="74"/>
      <c r="L769" s="75"/>
      <c r="M769" s="74"/>
      <c r="N769" s="74"/>
      <c r="O769" s="74"/>
      <c r="P769" s="74"/>
      <c r="Q769" s="74"/>
      <c r="R769" s="74"/>
      <c r="S769" s="74"/>
      <c r="T769" s="74"/>
      <c r="U769" s="74"/>
      <c r="V769" s="74"/>
      <c r="W769" s="74"/>
      <c r="X769" s="74"/>
      <c r="Y769" s="74"/>
    </row>
    <row r="770" spans="1:25" ht="33.6">
      <c r="A770" s="74"/>
      <c r="B770" s="91" t="str">
        <f t="shared" si="85"/>
        <v/>
      </c>
      <c r="C770" s="94"/>
      <c r="D770" s="18"/>
      <c r="E770" s="104" t="s">
        <v>887</v>
      </c>
      <c r="F770" s="91" t="str">
        <f t="shared" si="83"/>
        <v/>
      </c>
      <c r="G770" s="91" t="str">
        <f t="shared" si="84"/>
        <v/>
      </c>
      <c r="H770" s="91" t="str">
        <f t="shared" si="80"/>
        <v/>
      </c>
      <c r="I770" s="79">
        <f t="shared" si="81"/>
        <v>136</v>
      </c>
      <c r="J770" s="74"/>
      <c r="K770" s="74"/>
      <c r="L770" s="75"/>
      <c r="M770" s="74"/>
      <c r="N770" s="74"/>
      <c r="O770" s="74"/>
      <c r="P770" s="74"/>
      <c r="Q770" s="74"/>
      <c r="R770" s="74"/>
      <c r="S770" s="74"/>
      <c r="T770" s="74"/>
      <c r="U770" s="74"/>
      <c r="V770" s="74"/>
      <c r="W770" s="74"/>
      <c r="X770" s="74"/>
      <c r="Y770" s="74"/>
    </row>
    <row r="771" spans="1:25" ht="33.6">
      <c r="A771" s="74"/>
      <c r="B771" s="91" t="str">
        <f t="shared" si="85"/>
        <v/>
      </c>
      <c r="C771" s="94"/>
      <c r="D771" s="18"/>
      <c r="E771" s="104" t="s">
        <v>888</v>
      </c>
      <c r="F771" s="91" t="str">
        <f t="shared" si="83"/>
        <v/>
      </c>
      <c r="G771" s="91" t="str">
        <f t="shared" si="84"/>
        <v/>
      </c>
      <c r="H771" s="91" t="str">
        <f t="shared" si="80"/>
        <v/>
      </c>
      <c r="I771" s="79">
        <f t="shared" si="81"/>
        <v>136</v>
      </c>
      <c r="J771" s="74"/>
      <c r="K771" s="74"/>
      <c r="L771" s="75"/>
      <c r="M771" s="74"/>
      <c r="N771" s="74"/>
      <c r="O771" s="74"/>
      <c r="P771" s="74"/>
      <c r="Q771" s="74"/>
      <c r="R771" s="74"/>
      <c r="S771" s="74"/>
      <c r="T771" s="74"/>
      <c r="U771" s="74"/>
      <c r="V771" s="74"/>
      <c r="W771" s="74"/>
      <c r="X771" s="74"/>
      <c r="Y771" s="74"/>
    </row>
    <row r="772" spans="1:25" ht="33.6">
      <c r="A772" s="74"/>
      <c r="B772" s="91" t="str">
        <f t="shared" si="85"/>
        <v/>
      </c>
      <c r="C772" s="94"/>
      <c r="D772" s="18"/>
      <c r="E772" s="104" t="s">
        <v>889</v>
      </c>
      <c r="F772" s="91" t="str">
        <f t="shared" si="83"/>
        <v/>
      </c>
      <c r="G772" s="91" t="str">
        <f t="shared" si="84"/>
        <v/>
      </c>
      <c r="H772" s="91" t="str">
        <f t="shared" si="80"/>
        <v/>
      </c>
      <c r="I772" s="79">
        <f t="shared" si="81"/>
        <v>136</v>
      </c>
      <c r="J772" s="74"/>
      <c r="K772" s="74"/>
      <c r="L772" s="75"/>
      <c r="M772" s="74"/>
      <c r="N772" s="74"/>
      <c r="O772" s="74"/>
      <c r="P772" s="74"/>
      <c r="Q772" s="74"/>
      <c r="R772" s="74"/>
      <c r="S772" s="74"/>
      <c r="T772" s="74"/>
      <c r="U772" s="74"/>
      <c r="V772" s="74"/>
      <c r="W772" s="74"/>
      <c r="X772" s="74"/>
      <c r="Y772" s="74"/>
    </row>
    <row r="773" spans="1:25" ht="33.6">
      <c r="A773" s="74"/>
      <c r="B773" s="91" t="str">
        <f t="shared" si="85"/>
        <v/>
      </c>
      <c r="C773" s="94"/>
      <c r="D773" s="18"/>
      <c r="E773" s="104" t="s">
        <v>890</v>
      </c>
      <c r="F773" s="91" t="str">
        <f t="shared" si="83"/>
        <v/>
      </c>
      <c r="G773" s="91" t="str">
        <f t="shared" si="84"/>
        <v/>
      </c>
      <c r="H773" s="91" t="str">
        <f t="shared" si="80"/>
        <v/>
      </c>
      <c r="I773" s="79">
        <f t="shared" si="81"/>
        <v>136</v>
      </c>
      <c r="J773" s="74"/>
      <c r="K773" s="74"/>
      <c r="L773" s="75"/>
      <c r="M773" s="74"/>
      <c r="N773" s="74"/>
      <c r="O773" s="74"/>
      <c r="P773" s="74"/>
      <c r="Q773" s="74"/>
      <c r="R773" s="74"/>
      <c r="S773" s="74"/>
      <c r="T773" s="74"/>
      <c r="U773" s="74"/>
      <c r="V773" s="74"/>
      <c r="W773" s="74"/>
      <c r="X773" s="74"/>
      <c r="Y773" s="74"/>
    </row>
    <row r="774" spans="1:25" ht="18">
      <c r="A774" s="74"/>
      <c r="B774" s="79">
        <f t="shared" si="85"/>
        <v>137</v>
      </c>
      <c r="C774" s="104" t="s">
        <v>891</v>
      </c>
      <c r="D774" s="18" t="s">
        <v>871</v>
      </c>
      <c r="E774" s="94"/>
      <c r="F774" s="91" t="str">
        <f t="shared" si="83"/>
        <v>B</v>
      </c>
      <c r="G774" s="91" t="str">
        <f t="shared" si="84"/>
        <v>Trung bình</v>
      </c>
      <c r="H774" s="91">
        <f t="shared" ref="H774:H783" si="86">IF(AND(B774&lt;&gt;"",C774&lt;&gt;"",D774&lt;&gt;""),COUNTIF(I774:I1852,B774),"")</f>
        <v>4</v>
      </c>
      <c r="I774" s="79" t="str">
        <f>IF(OR(E774="",B774&lt;&gt;""),"",IF(#REF!&lt;&gt;"",#REF!,#REF!))</f>
        <v/>
      </c>
      <c r="J774" s="74"/>
      <c r="K774" s="74"/>
      <c r="L774" s="75"/>
      <c r="M774" s="74"/>
      <c r="N774" s="74"/>
      <c r="O774" s="74"/>
      <c r="P774" s="74"/>
      <c r="Q774" s="74"/>
      <c r="R774" s="74"/>
      <c r="S774" s="74"/>
      <c r="T774" s="74"/>
      <c r="U774" s="74"/>
      <c r="V774" s="74"/>
      <c r="W774" s="74"/>
      <c r="X774" s="74"/>
      <c r="Y774" s="74"/>
    </row>
    <row r="775" spans="1:25" ht="50.45">
      <c r="A775" s="74"/>
      <c r="B775" s="91" t="str">
        <f t="shared" si="85"/>
        <v/>
      </c>
      <c r="C775" s="94"/>
      <c r="D775" s="18"/>
      <c r="E775" s="104" t="s">
        <v>892</v>
      </c>
      <c r="F775" s="91" t="str">
        <f t="shared" si="83"/>
        <v/>
      </c>
      <c r="G775" s="91" t="str">
        <f t="shared" si="84"/>
        <v/>
      </c>
      <c r="H775" s="91" t="str">
        <f t="shared" si="86"/>
        <v/>
      </c>
      <c r="I775" s="79">
        <f t="shared" ref="I775:I783" si="87">IF(OR(E775="",B775&lt;&gt;""),"",IF(I774&lt;&gt;"",I774,B774))</f>
        <v>137</v>
      </c>
      <c r="J775" s="74"/>
      <c r="K775" s="74"/>
      <c r="L775" s="75"/>
      <c r="M775" s="74"/>
      <c r="N775" s="74"/>
      <c r="O775" s="74"/>
      <c r="P775" s="74"/>
      <c r="Q775" s="74"/>
      <c r="R775" s="74"/>
      <c r="S775" s="74"/>
      <c r="T775" s="74"/>
      <c r="U775" s="74"/>
      <c r="V775" s="74"/>
      <c r="W775" s="74"/>
      <c r="X775" s="74"/>
      <c r="Y775" s="74"/>
    </row>
    <row r="776" spans="1:25" ht="33.6">
      <c r="A776" s="74"/>
      <c r="B776" s="91" t="str">
        <f t="shared" si="85"/>
        <v/>
      </c>
      <c r="C776" s="94"/>
      <c r="D776" s="18"/>
      <c r="E776" s="104" t="s">
        <v>893</v>
      </c>
      <c r="F776" s="91" t="str">
        <f t="shared" si="83"/>
        <v/>
      </c>
      <c r="G776" s="91" t="str">
        <f t="shared" si="84"/>
        <v/>
      </c>
      <c r="H776" s="91" t="str">
        <f t="shared" si="86"/>
        <v/>
      </c>
      <c r="I776" s="79">
        <f t="shared" si="87"/>
        <v>137</v>
      </c>
      <c r="J776" s="74"/>
      <c r="K776" s="74"/>
      <c r="L776" s="75"/>
      <c r="M776" s="74"/>
      <c r="N776" s="74"/>
      <c r="O776" s="74"/>
      <c r="P776" s="74"/>
      <c r="Q776" s="74"/>
      <c r="R776" s="74"/>
      <c r="S776" s="74"/>
      <c r="T776" s="74"/>
      <c r="U776" s="74"/>
      <c r="V776" s="74"/>
      <c r="W776" s="74"/>
      <c r="X776" s="74"/>
      <c r="Y776" s="74"/>
    </row>
    <row r="777" spans="1:25" ht="33.6">
      <c r="A777" s="74"/>
      <c r="B777" s="91" t="str">
        <f t="shared" si="85"/>
        <v/>
      </c>
      <c r="C777" s="94"/>
      <c r="D777" s="18"/>
      <c r="E777" s="104" t="s">
        <v>894</v>
      </c>
      <c r="F777" s="91" t="str">
        <f t="shared" si="83"/>
        <v/>
      </c>
      <c r="G777" s="91" t="str">
        <f t="shared" si="84"/>
        <v/>
      </c>
      <c r="H777" s="91" t="str">
        <f t="shared" si="86"/>
        <v/>
      </c>
      <c r="I777" s="79">
        <f t="shared" si="87"/>
        <v>137</v>
      </c>
      <c r="J777" s="74"/>
      <c r="K777" s="74"/>
      <c r="L777" s="75"/>
      <c r="M777" s="74"/>
      <c r="N777" s="74"/>
      <c r="O777" s="74"/>
      <c r="P777" s="74"/>
      <c r="Q777" s="74"/>
      <c r="R777" s="74"/>
      <c r="S777" s="74"/>
      <c r="T777" s="74"/>
      <c r="U777" s="74"/>
      <c r="V777" s="74"/>
      <c r="W777" s="74"/>
      <c r="X777" s="74"/>
      <c r="Y777" s="74"/>
    </row>
    <row r="778" spans="1:25" ht="33.6">
      <c r="A778" s="74"/>
      <c r="B778" s="91" t="str">
        <f t="shared" si="85"/>
        <v/>
      </c>
      <c r="C778" s="94"/>
      <c r="D778" s="18"/>
      <c r="E778" s="104" t="s">
        <v>895</v>
      </c>
      <c r="F778" s="91" t="str">
        <f t="shared" si="83"/>
        <v/>
      </c>
      <c r="G778" s="91" t="str">
        <f t="shared" si="84"/>
        <v/>
      </c>
      <c r="H778" s="91" t="str">
        <f t="shared" si="86"/>
        <v/>
      </c>
      <c r="I778" s="79">
        <f t="shared" si="87"/>
        <v>137</v>
      </c>
      <c r="J778" s="74"/>
      <c r="K778" s="74"/>
      <c r="L778" s="75"/>
      <c r="M778" s="74"/>
      <c r="N778" s="74"/>
      <c r="O778" s="74"/>
      <c r="P778" s="74"/>
      <c r="Q778" s="74"/>
      <c r="R778" s="74"/>
      <c r="S778" s="74"/>
      <c r="T778" s="74"/>
      <c r="U778" s="74"/>
      <c r="V778" s="74"/>
      <c r="W778" s="74"/>
      <c r="X778" s="74"/>
      <c r="Y778" s="74"/>
    </row>
    <row r="779" spans="1:25" ht="18">
      <c r="A779" s="74"/>
      <c r="B779" s="79">
        <f t="shared" si="85"/>
        <v>138</v>
      </c>
      <c r="C779" s="104" t="s">
        <v>896</v>
      </c>
      <c r="D779" s="18" t="s">
        <v>871</v>
      </c>
      <c r="E779" s="94"/>
      <c r="F779" s="91" t="str">
        <f t="shared" si="83"/>
        <v>B</v>
      </c>
      <c r="G779" s="91" t="str">
        <f t="shared" si="84"/>
        <v>Trung bình</v>
      </c>
      <c r="H779" s="91">
        <f t="shared" si="86"/>
        <v>4</v>
      </c>
      <c r="I779" s="79" t="str">
        <f t="shared" si="87"/>
        <v/>
      </c>
      <c r="J779" s="74"/>
      <c r="K779" s="74"/>
      <c r="L779" s="75"/>
      <c r="M779" s="74"/>
      <c r="N779" s="74"/>
      <c r="O779" s="74"/>
      <c r="P779" s="74"/>
      <c r="Q779" s="74"/>
      <c r="R779" s="74"/>
      <c r="S779" s="74"/>
      <c r="T779" s="74"/>
      <c r="U779" s="74"/>
      <c r="V779" s="74"/>
      <c r="W779" s="74"/>
      <c r="X779" s="74"/>
      <c r="Y779" s="74"/>
    </row>
    <row r="780" spans="1:25" ht="33.6">
      <c r="A780" s="74"/>
      <c r="B780" s="91" t="str">
        <f t="shared" si="85"/>
        <v/>
      </c>
      <c r="C780" s="94"/>
      <c r="D780" s="18"/>
      <c r="E780" s="104" t="s">
        <v>876</v>
      </c>
      <c r="F780" s="91" t="str">
        <f t="shared" si="83"/>
        <v/>
      </c>
      <c r="G780" s="91" t="str">
        <f t="shared" si="84"/>
        <v/>
      </c>
      <c r="H780" s="91" t="str">
        <f t="shared" si="86"/>
        <v/>
      </c>
      <c r="I780" s="79">
        <f t="shared" si="87"/>
        <v>138</v>
      </c>
      <c r="J780" s="74"/>
      <c r="K780" s="74"/>
      <c r="L780" s="75"/>
      <c r="M780" s="74"/>
      <c r="N780" s="74"/>
      <c r="O780" s="74"/>
      <c r="P780" s="74"/>
      <c r="Q780" s="74"/>
      <c r="R780" s="74"/>
      <c r="S780" s="74"/>
      <c r="T780" s="74"/>
      <c r="U780" s="74"/>
      <c r="V780" s="74"/>
      <c r="W780" s="74"/>
      <c r="X780" s="74"/>
      <c r="Y780" s="74"/>
    </row>
    <row r="781" spans="1:25" ht="33.6">
      <c r="A781" s="74"/>
      <c r="B781" s="91" t="str">
        <f t="shared" si="85"/>
        <v/>
      </c>
      <c r="C781" s="94"/>
      <c r="D781" s="18"/>
      <c r="E781" s="104" t="s">
        <v>897</v>
      </c>
      <c r="F781" s="91" t="str">
        <f t="shared" si="83"/>
        <v/>
      </c>
      <c r="G781" s="91" t="str">
        <f t="shared" si="84"/>
        <v/>
      </c>
      <c r="H781" s="91" t="str">
        <f t="shared" si="86"/>
        <v/>
      </c>
      <c r="I781" s="79">
        <f t="shared" si="87"/>
        <v>138</v>
      </c>
      <c r="J781" s="74"/>
      <c r="K781" s="74"/>
      <c r="L781" s="75"/>
      <c r="M781" s="74"/>
      <c r="N781" s="74"/>
      <c r="O781" s="74"/>
      <c r="P781" s="74"/>
      <c r="Q781" s="74"/>
      <c r="R781" s="74"/>
      <c r="S781" s="74"/>
      <c r="T781" s="74"/>
      <c r="U781" s="74"/>
      <c r="V781" s="74"/>
      <c r="W781" s="74"/>
      <c r="X781" s="74"/>
      <c r="Y781" s="74"/>
    </row>
    <row r="782" spans="1:25" ht="33.6">
      <c r="A782" s="74"/>
      <c r="B782" s="91" t="str">
        <f t="shared" si="85"/>
        <v/>
      </c>
      <c r="C782" s="94"/>
      <c r="D782" s="18"/>
      <c r="E782" s="104" t="s">
        <v>898</v>
      </c>
      <c r="F782" s="91" t="str">
        <f t="shared" si="83"/>
        <v/>
      </c>
      <c r="G782" s="91" t="str">
        <f t="shared" si="84"/>
        <v/>
      </c>
      <c r="H782" s="91" t="str">
        <f t="shared" si="86"/>
        <v/>
      </c>
      <c r="I782" s="79">
        <f t="shared" si="87"/>
        <v>138</v>
      </c>
      <c r="J782" s="74"/>
      <c r="K782" s="74"/>
      <c r="L782" s="75"/>
      <c r="M782" s="74"/>
      <c r="N782" s="74"/>
      <c r="O782" s="74"/>
      <c r="P782" s="74"/>
      <c r="Q782" s="74"/>
      <c r="R782" s="74"/>
      <c r="S782" s="74"/>
      <c r="T782" s="74"/>
      <c r="U782" s="74"/>
      <c r="V782" s="74"/>
      <c r="W782" s="74"/>
      <c r="X782" s="74"/>
      <c r="Y782" s="74"/>
    </row>
    <row r="783" spans="1:25" ht="33.6">
      <c r="A783" s="74"/>
      <c r="B783" s="91" t="str">
        <f t="shared" si="85"/>
        <v/>
      </c>
      <c r="C783" s="94"/>
      <c r="D783" s="18"/>
      <c r="E783" s="104" t="s">
        <v>899</v>
      </c>
      <c r="F783" s="91" t="str">
        <f t="shared" si="83"/>
        <v/>
      </c>
      <c r="G783" s="91" t="str">
        <f t="shared" si="84"/>
        <v/>
      </c>
      <c r="H783" s="91" t="str">
        <f t="shared" si="86"/>
        <v/>
      </c>
      <c r="I783" s="79">
        <f t="shared" si="87"/>
        <v>138</v>
      </c>
      <c r="J783" s="74"/>
      <c r="K783" s="74"/>
      <c r="L783" s="75"/>
      <c r="M783" s="74"/>
      <c r="N783" s="74"/>
      <c r="O783" s="74"/>
      <c r="P783" s="74"/>
      <c r="Q783" s="74"/>
      <c r="R783" s="74"/>
      <c r="S783" s="74"/>
      <c r="T783" s="74"/>
      <c r="U783" s="74"/>
      <c r="V783" s="74"/>
      <c r="W783" s="74"/>
      <c r="X783" s="74"/>
      <c r="Y783" s="74"/>
    </row>
    <row r="784" spans="1:25" ht="18">
      <c r="A784" s="74"/>
      <c r="B784" s="79">
        <f t="shared" si="85"/>
        <v>139</v>
      </c>
      <c r="C784" s="104" t="s">
        <v>900</v>
      </c>
      <c r="D784" s="18" t="s">
        <v>871</v>
      </c>
      <c r="E784" s="94"/>
      <c r="F784" s="91" t="str">
        <f t="shared" si="83"/>
        <v>B</v>
      </c>
      <c r="G784" s="91" t="str">
        <f t="shared" si="84"/>
        <v>Đơn giản</v>
      </c>
      <c r="H784" s="91">
        <f t="shared" ref="H784:H791" si="88">IF(AND(B784&lt;&gt;"",C784&lt;&gt;"",D784&lt;&gt;""),COUNTIF(I784:I1865,B784),"")</f>
        <v>2</v>
      </c>
      <c r="I784" s="79" t="str">
        <f>IF(OR(E784="",B784&lt;&gt;""),"",IF(#REF!&lt;&gt;"",#REF!,#REF!))</f>
        <v/>
      </c>
      <c r="J784" s="74"/>
      <c r="K784" s="74"/>
      <c r="L784" s="75"/>
      <c r="M784" s="74"/>
      <c r="N784" s="74"/>
      <c r="O784" s="74"/>
      <c r="P784" s="74"/>
      <c r="Q784" s="74"/>
      <c r="R784" s="74"/>
      <c r="S784" s="74"/>
      <c r="T784" s="74"/>
      <c r="U784" s="74"/>
      <c r="V784" s="74"/>
      <c r="W784" s="74"/>
      <c r="X784" s="74"/>
      <c r="Y784" s="74"/>
    </row>
    <row r="785" spans="1:25" ht="50.45">
      <c r="A785" s="74"/>
      <c r="B785" s="91" t="str">
        <f t="shared" si="85"/>
        <v/>
      </c>
      <c r="C785" s="94"/>
      <c r="D785" s="18"/>
      <c r="E785" s="104" t="s">
        <v>901</v>
      </c>
      <c r="F785" s="91" t="str">
        <f t="shared" si="83"/>
        <v/>
      </c>
      <c r="G785" s="91" t="str">
        <f t="shared" si="84"/>
        <v/>
      </c>
      <c r="H785" s="91" t="str">
        <f t="shared" si="88"/>
        <v/>
      </c>
      <c r="I785" s="79">
        <f t="shared" ref="I785:I792" si="89">IF(OR(E785="",B785&lt;&gt;""),"",IF(I784&lt;&gt;"",I784,B784))</f>
        <v>139</v>
      </c>
      <c r="J785" s="74"/>
      <c r="K785" s="74"/>
      <c r="L785" s="75"/>
      <c r="M785" s="74"/>
      <c r="N785" s="74"/>
      <c r="O785" s="74"/>
      <c r="P785" s="74"/>
      <c r="Q785" s="74"/>
      <c r="R785" s="74"/>
      <c r="S785" s="74"/>
      <c r="T785" s="74"/>
      <c r="U785" s="74"/>
      <c r="V785" s="74"/>
      <c r="W785" s="74"/>
      <c r="X785" s="74"/>
      <c r="Y785" s="74"/>
    </row>
    <row r="786" spans="1:25" ht="33.6">
      <c r="A786" s="74"/>
      <c r="B786" s="91" t="str">
        <f t="shared" si="85"/>
        <v/>
      </c>
      <c r="C786" s="94"/>
      <c r="D786" s="18"/>
      <c r="E786" s="104" t="s">
        <v>902</v>
      </c>
      <c r="F786" s="91" t="str">
        <f t="shared" si="83"/>
        <v/>
      </c>
      <c r="G786" s="91" t="str">
        <f t="shared" si="84"/>
        <v/>
      </c>
      <c r="H786" s="91" t="str">
        <f t="shared" si="88"/>
        <v/>
      </c>
      <c r="I786" s="79">
        <f t="shared" si="89"/>
        <v>139</v>
      </c>
      <c r="J786" s="74"/>
      <c r="K786" s="74"/>
      <c r="L786" s="75"/>
      <c r="M786" s="74"/>
      <c r="N786" s="74"/>
      <c r="O786" s="74"/>
      <c r="P786" s="74"/>
      <c r="Q786" s="74"/>
      <c r="R786" s="74"/>
      <c r="S786" s="74"/>
      <c r="T786" s="74"/>
      <c r="U786" s="74"/>
      <c r="V786" s="74"/>
      <c r="W786" s="74"/>
      <c r="X786" s="74"/>
      <c r="Y786" s="74"/>
    </row>
    <row r="787" spans="1:25" ht="18">
      <c r="A787" s="74"/>
      <c r="B787" s="79">
        <f t="shared" si="85"/>
        <v>140</v>
      </c>
      <c r="C787" s="104" t="s">
        <v>903</v>
      </c>
      <c r="D787" s="18" t="s">
        <v>871</v>
      </c>
      <c r="E787" s="94"/>
      <c r="F787" s="91" t="str">
        <f t="shared" si="83"/>
        <v>B</v>
      </c>
      <c r="G787" s="91" t="str">
        <f t="shared" si="84"/>
        <v>Đơn giản</v>
      </c>
      <c r="H787" s="91">
        <f t="shared" si="88"/>
        <v>2</v>
      </c>
      <c r="I787" s="79" t="str">
        <f t="shared" si="89"/>
        <v/>
      </c>
      <c r="J787" s="74"/>
      <c r="K787" s="74"/>
      <c r="L787" s="75"/>
      <c r="M787" s="74"/>
      <c r="N787" s="74"/>
      <c r="O787" s="74"/>
      <c r="P787" s="74"/>
      <c r="Q787" s="74"/>
      <c r="R787" s="74"/>
      <c r="S787" s="74"/>
      <c r="T787" s="74"/>
      <c r="U787" s="74"/>
      <c r="V787" s="74"/>
      <c r="W787" s="74"/>
      <c r="X787" s="74"/>
      <c r="Y787" s="74"/>
    </row>
    <row r="788" spans="1:25" ht="50.45">
      <c r="A788" s="74"/>
      <c r="B788" s="91" t="str">
        <f t="shared" si="85"/>
        <v/>
      </c>
      <c r="C788" s="94"/>
      <c r="D788" s="18"/>
      <c r="E788" s="104" t="s">
        <v>904</v>
      </c>
      <c r="F788" s="91" t="str">
        <f t="shared" si="83"/>
        <v/>
      </c>
      <c r="G788" s="91" t="str">
        <f t="shared" si="84"/>
        <v/>
      </c>
      <c r="H788" s="91" t="str">
        <f t="shared" si="88"/>
        <v/>
      </c>
      <c r="I788" s="79">
        <f t="shared" si="89"/>
        <v>140</v>
      </c>
      <c r="J788" s="74"/>
      <c r="K788" s="74"/>
      <c r="L788" s="75"/>
      <c r="M788" s="74"/>
      <c r="N788" s="74"/>
      <c r="O788" s="74"/>
      <c r="P788" s="74"/>
      <c r="Q788" s="74"/>
      <c r="R788" s="74"/>
      <c r="S788" s="74"/>
      <c r="T788" s="74"/>
      <c r="U788" s="74"/>
      <c r="V788" s="74"/>
      <c r="W788" s="74"/>
      <c r="X788" s="74"/>
      <c r="Y788" s="74"/>
    </row>
    <row r="789" spans="1:25" ht="33.6">
      <c r="A789" s="74"/>
      <c r="B789" s="91" t="str">
        <f t="shared" si="85"/>
        <v/>
      </c>
      <c r="C789" s="94"/>
      <c r="D789" s="18"/>
      <c r="E789" s="104" t="s">
        <v>905</v>
      </c>
      <c r="F789" s="91" t="str">
        <f t="shared" si="83"/>
        <v/>
      </c>
      <c r="G789" s="91" t="str">
        <f t="shared" si="84"/>
        <v/>
      </c>
      <c r="H789" s="91" t="str">
        <f t="shared" si="88"/>
        <v/>
      </c>
      <c r="I789" s="79">
        <f t="shared" si="89"/>
        <v>140</v>
      </c>
      <c r="J789" s="74"/>
      <c r="K789" s="74"/>
      <c r="L789" s="75"/>
      <c r="M789" s="74"/>
      <c r="N789" s="74"/>
      <c r="O789" s="74"/>
      <c r="P789" s="74"/>
      <c r="Q789" s="74"/>
      <c r="R789" s="74"/>
      <c r="S789" s="74"/>
      <c r="T789" s="74"/>
      <c r="U789" s="74"/>
      <c r="V789" s="74"/>
      <c r="W789" s="74"/>
      <c r="X789" s="74"/>
      <c r="Y789" s="74"/>
    </row>
    <row r="790" spans="1:25" ht="18">
      <c r="A790" s="74"/>
      <c r="B790" s="79">
        <f t="shared" si="85"/>
        <v>141</v>
      </c>
      <c r="C790" s="104" t="s">
        <v>906</v>
      </c>
      <c r="D790" s="18" t="s">
        <v>871</v>
      </c>
      <c r="E790" s="94"/>
      <c r="F790" s="91" t="str">
        <f t="shared" si="83"/>
        <v>B</v>
      </c>
      <c r="G790" s="91" t="str">
        <f t="shared" si="84"/>
        <v>Đơn giản</v>
      </c>
      <c r="H790" s="91">
        <f t="shared" si="88"/>
        <v>2</v>
      </c>
      <c r="I790" s="79" t="str">
        <f t="shared" si="89"/>
        <v/>
      </c>
      <c r="J790" s="74"/>
      <c r="K790" s="74"/>
      <c r="L790" s="75"/>
      <c r="M790" s="74"/>
      <c r="N790" s="74"/>
      <c r="O790" s="74"/>
      <c r="P790" s="74"/>
      <c r="Q790" s="74"/>
      <c r="R790" s="74"/>
      <c r="S790" s="74"/>
      <c r="T790" s="74"/>
      <c r="U790" s="74"/>
      <c r="V790" s="74"/>
      <c r="W790" s="74"/>
      <c r="X790" s="74"/>
      <c r="Y790" s="74"/>
    </row>
    <row r="791" spans="1:25" ht="50.45">
      <c r="A791" s="74"/>
      <c r="B791" s="91" t="str">
        <f t="shared" si="85"/>
        <v/>
      </c>
      <c r="C791" s="94"/>
      <c r="D791" s="18"/>
      <c r="E791" s="104" t="s">
        <v>907</v>
      </c>
      <c r="F791" s="91" t="str">
        <f t="shared" si="83"/>
        <v/>
      </c>
      <c r="G791" s="91" t="str">
        <f t="shared" si="84"/>
        <v/>
      </c>
      <c r="H791" s="91" t="str">
        <f t="shared" si="88"/>
        <v/>
      </c>
      <c r="I791" s="79">
        <f t="shared" si="89"/>
        <v>141</v>
      </c>
      <c r="J791" s="74"/>
      <c r="K791" s="74"/>
      <c r="L791" s="75"/>
      <c r="M791" s="74"/>
      <c r="N791" s="74"/>
      <c r="O791" s="74"/>
      <c r="P791" s="74"/>
      <c r="Q791" s="74"/>
      <c r="R791" s="74"/>
      <c r="S791" s="74"/>
      <c r="T791" s="74"/>
      <c r="U791" s="74"/>
      <c r="V791" s="74"/>
      <c r="W791" s="74"/>
      <c r="X791" s="74"/>
      <c r="Y791" s="74"/>
    </row>
    <row r="792" spans="1:25" ht="33.6">
      <c r="A792" s="74"/>
      <c r="B792" s="79"/>
      <c r="C792" s="104"/>
      <c r="D792" s="18"/>
      <c r="E792" s="94" t="s">
        <v>908</v>
      </c>
      <c r="F792" s="91"/>
      <c r="G792" s="91"/>
      <c r="H792" s="91"/>
      <c r="I792" s="79">
        <f t="shared" si="89"/>
        <v>141</v>
      </c>
      <c r="J792" s="74"/>
      <c r="K792" s="74"/>
      <c r="L792" s="75"/>
      <c r="M792" s="74"/>
      <c r="N792" s="74"/>
      <c r="O792" s="74"/>
      <c r="P792" s="74"/>
      <c r="Q792" s="74"/>
      <c r="R792" s="74"/>
      <c r="S792" s="74"/>
      <c r="T792" s="74"/>
      <c r="U792" s="74"/>
      <c r="V792" s="74"/>
      <c r="W792" s="74"/>
      <c r="X792" s="74"/>
      <c r="Y792" s="74"/>
    </row>
    <row r="793" spans="1:25" ht="18">
      <c r="A793" s="74"/>
      <c r="B793" s="79">
        <f t="shared" ref="B793:B794" si="90">IF(C793="","",IF(F793="B",COUNTIF($F$6:F793,"B"),""))</f>
        <v>142</v>
      </c>
      <c r="C793" s="104" t="s">
        <v>909</v>
      </c>
      <c r="D793" s="18" t="s">
        <v>871</v>
      </c>
      <c r="E793" s="94"/>
      <c r="F793" s="91" t="str">
        <f t="shared" ref="F793:F794" si="91">IF(D793="","","B")</f>
        <v>B</v>
      </c>
      <c r="G793" s="91" t="str">
        <f t="shared" ref="G793:G794" si="92">IF(AND(B793&lt;&gt;"",C793&lt;&gt;"",D793&lt;&gt;""),IF(H793&lt;4,$K$1,IF(H793&lt;8,$K$2,$K$3)),"")</f>
        <v>Đơn giản</v>
      </c>
      <c r="H793" s="91">
        <f t="shared" ref="H793:H794" si="93">IF(AND(B793&lt;&gt;"",C793&lt;&gt;"",D793&lt;&gt;""),COUNTIF(I793:I1873,B793),"")</f>
        <v>2</v>
      </c>
      <c r="I793" s="79" t="str">
        <f>IF(OR(E793="",B793&lt;&gt;""),"",IF(I791&lt;&gt;"",I791,B791))</f>
        <v/>
      </c>
      <c r="J793" s="74"/>
      <c r="K793" s="74"/>
      <c r="L793" s="75"/>
      <c r="M793" s="74"/>
      <c r="N793" s="74"/>
      <c r="O793" s="74"/>
      <c r="P793" s="74"/>
      <c r="Q793" s="74"/>
      <c r="R793" s="74"/>
      <c r="S793" s="74"/>
      <c r="T793" s="74"/>
      <c r="U793" s="74"/>
      <c r="V793" s="74"/>
      <c r="W793" s="74"/>
      <c r="X793" s="74"/>
      <c r="Y793" s="74"/>
    </row>
    <row r="794" spans="1:25" ht="33.6">
      <c r="A794" s="74"/>
      <c r="B794" s="91" t="str">
        <f t="shared" si="90"/>
        <v/>
      </c>
      <c r="C794" s="94"/>
      <c r="D794" s="18"/>
      <c r="E794" s="104" t="s">
        <v>910</v>
      </c>
      <c r="F794" s="91" t="str">
        <f t="shared" si="91"/>
        <v/>
      </c>
      <c r="G794" s="91" t="str">
        <f t="shared" si="92"/>
        <v/>
      </c>
      <c r="H794" s="91" t="str">
        <f t="shared" si="93"/>
        <v/>
      </c>
      <c r="I794" s="79">
        <f t="shared" ref="I794:I795" si="94">IF(OR(E794="",B794&lt;&gt;""),"",IF(I793&lt;&gt;"",I793,B793))</f>
        <v>142</v>
      </c>
      <c r="J794" s="74"/>
      <c r="K794" s="74"/>
      <c r="L794" s="75"/>
      <c r="M794" s="74"/>
      <c r="N794" s="74"/>
      <c r="O794" s="74"/>
      <c r="P794" s="74"/>
      <c r="Q794" s="74"/>
      <c r="R794" s="74"/>
      <c r="S794" s="74"/>
      <c r="T794" s="74"/>
      <c r="U794" s="74"/>
      <c r="V794" s="74"/>
      <c r="W794" s="74"/>
      <c r="X794" s="74"/>
      <c r="Y794" s="74"/>
    </row>
    <row r="795" spans="1:25" ht="50.45">
      <c r="A795" s="74"/>
      <c r="B795" s="79"/>
      <c r="C795" s="104"/>
      <c r="D795" s="18"/>
      <c r="E795" s="94" t="s">
        <v>911</v>
      </c>
      <c r="F795" s="91"/>
      <c r="G795" s="91"/>
      <c r="H795" s="91"/>
      <c r="I795" s="79">
        <f t="shared" si="94"/>
        <v>142</v>
      </c>
      <c r="J795" s="74"/>
      <c r="K795" s="74"/>
      <c r="L795" s="75"/>
      <c r="M795" s="74"/>
      <c r="N795" s="74"/>
      <c r="O795" s="74"/>
      <c r="P795" s="74"/>
      <c r="Q795" s="74"/>
      <c r="R795" s="74"/>
      <c r="S795" s="74"/>
      <c r="T795" s="74"/>
      <c r="U795" s="74"/>
      <c r="V795" s="74"/>
      <c r="W795" s="74"/>
      <c r="X795" s="74"/>
      <c r="Y795" s="74"/>
    </row>
    <row r="796" spans="1:25" ht="18">
      <c r="A796" s="74"/>
      <c r="B796" s="79">
        <f t="shared" ref="B796:B812" si="95">IF(C796="","",IF(F796="B",COUNTIF($F$6:F796,"B"),""))</f>
        <v>143</v>
      </c>
      <c r="C796" s="104" t="s">
        <v>912</v>
      </c>
      <c r="D796" s="18" t="s">
        <v>871</v>
      </c>
      <c r="E796" s="94"/>
      <c r="F796" s="91" t="str">
        <f t="shared" ref="F796:F906" si="96">IF(D796="","","B")</f>
        <v>B</v>
      </c>
      <c r="G796" s="91" t="str">
        <f t="shared" ref="G796:G906" si="97">IF(AND(B796&lt;&gt;"",C796&lt;&gt;"",D796&lt;&gt;""),IF(H796&lt;4,$K$1,IF(H796&lt;8,$K$2,$K$3)),"")</f>
        <v>Trung bình</v>
      </c>
      <c r="H796" s="91">
        <f t="shared" ref="H796:H865" si="98">IF(AND(B796&lt;&gt;"",C796&lt;&gt;"",D796&lt;&gt;""),COUNTIF(I796:I1878,B796),"")</f>
        <v>6</v>
      </c>
      <c r="I796" s="79" t="str">
        <f>IF(OR(E796="",B796&lt;&gt;""),"",IF(#REF!&lt;&gt;"",#REF!,#REF!))</f>
        <v/>
      </c>
      <c r="J796" s="74"/>
      <c r="K796" s="74"/>
      <c r="L796" s="75"/>
      <c r="M796" s="74"/>
      <c r="N796" s="74"/>
      <c r="O796" s="74"/>
      <c r="P796" s="74"/>
      <c r="Q796" s="74"/>
      <c r="R796" s="74"/>
      <c r="S796" s="74"/>
      <c r="T796" s="74"/>
      <c r="U796" s="74"/>
      <c r="V796" s="74"/>
      <c r="W796" s="74"/>
      <c r="X796" s="74"/>
      <c r="Y796" s="74"/>
    </row>
    <row r="797" spans="1:25" ht="33.6">
      <c r="A797" s="74"/>
      <c r="B797" s="91" t="str">
        <f t="shared" si="95"/>
        <v/>
      </c>
      <c r="C797" s="94"/>
      <c r="D797" s="18"/>
      <c r="E797" s="104" t="s">
        <v>913</v>
      </c>
      <c r="F797" s="91" t="str">
        <f t="shared" si="96"/>
        <v/>
      </c>
      <c r="G797" s="91" t="str">
        <f t="shared" si="97"/>
        <v/>
      </c>
      <c r="H797" s="91" t="str">
        <f t="shared" si="98"/>
        <v/>
      </c>
      <c r="I797" s="79">
        <f t="shared" ref="I797:I865" si="99">IF(OR(E797="",B797&lt;&gt;""),"",IF(I796&lt;&gt;"",I796,B796))</f>
        <v>143</v>
      </c>
      <c r="J797" s="74"/>
      <c r="K797" s="74"/>
      <c r="L797" s="75"/>
      <c r="M797" s="74"/>
      <c r="N797" s="74"/>
      <c r="O797" s="74"/>
      <c r="P797" s="74"/>
      <c r="Q797" s="74"/>
      <c r="R797" s="74"/>
      <c r="S797" s="74"/>
      <c r="T797" s="74"/>
      <c r="U797" s="74"/>
      <c r="V797" s="74"/>
      <c r="W797" s="74"/>
      <c r="X797" s="74"/>
      <c r="Y797" s="74"/>
    </row>
    <row r="798" spans="1:25" ht="33.6">
      <c r="A798" s="74"/>
      <c r="B798" s="91" t="str">
        <f t="shared" si="95"/>
        <v/>
      </c>
      <c r="C798" s="94"/>
      <c r="D798" s="18"/>
      <c r="E798" s="104" t="s">
        <v>914</v>
      </c>
      <c r="F798" s="91" t="str">
        <f t="shared" si="96"/>
        <v/>
      </c>
      <c r="G798" s="91" t="str">
        <f t="shared" si="97"/>
        <v/>
      </c>
      <c r="H798" s="91" t="str">
        <f t="shared" si="98"/>
        <v/>
      </c>
      <c r="I798" s="79">
        <f t="shared" si="99"/>
        <v>143</v>
      </c>
      <c r="J798" s="74"/>
      <c r="K798" s="74"/>
      <c r="L798" s="75"/>
      <c r="M798" s="74"/>
      <c r="N798" s="74"/>
      <c r="O798" s="74"/>
      <c r="P798" s="74"/>
      <c r="Q798" s="74"/>
      <c r="R798" s="74"/>
      <c r="S798" s="74"/>
      <c r="T798" s="74"/>
      <c r="U798" s="74"/>
      <c r="V798" s="74"/>
      <c r="W798" s="74"/>
      <c r="X798" s="74"/>
      <c r="Y798" s="74"/>
    </row>
    <row r="799" spans="1:25" ht="33.6">
      <c r="A799" s="74"/>
      <c r="B799" s="91" t="str">
        <f t="shared" si="95"/>
        <v/>
      </c>
      <c r="C799" s="94"/>
      <c r="D799" s="18"/>
      <c r="E799" s="104" t="s">
        <v>915</v>
      </c>
      <c r="F799" s="91" t="str">
        <f t="shared" si="96"/>
        <v/>
      </c>
      <c r="G799" s="91" t="str">
        <f t="shared" si="97"/>
        <v/>
      </c>
      <c r="H799" s="91" t="str">
        <f t="shared" si="98"/>
        <v/>
      </c>
      <c r="I799" s="79">
        <f t="shared" si="99"/>
        <v>143</v>
      </c>
      <c r="J799" s="74"/>
      <c r="K799" s="74"/>
      <c r="L799" s="75"/>
      <c r="M799" s="74"/>
      <c r="N799" s="74"/>
      <c r="O799" s="74"/>
      <c r="P799" s="74"/>
      <c r="Q799" s="74"/>
      <c r="R799" s="74"/>
      <c r="S799" s="74"/>
      <c r="T799" s="74"/>
      <c r="U799" s="74"/>
      <c r="V799" s="74"/>
      <c r="W799" s="74"/>
      <c r="X799" s="74"/>
      <c r="Y799" s="74"/>
    </row>
    <row r="800" spans="1:25" ht="33.6">
      <c r="A800" s="74"/>
      <c r="B800" s="91" t="str">
        <f t="shared" si="95"/>
        <v/>
      </c>
      <c r="C800" s="94"/>
      <c r="D800" s="18"/>
      <c r="E800" s="104" t="s">
        <v>916</v>
      </c>
      <c r="F800" s="91" t="str">
        <f t="shared" si="96"/>
        <v/>
      </c>
      <c r="G800" s="91" t="str">
        <f t="shared" si="97"/>
        <v/>
      </c>
      <c r="H800" s="91" t="str">
        <f t="shared" si="98"/>
        <v/>
      </c>
      <c r="I800" s="79">
        <f t="shared" si="99"/>
        <v>143</v>
      </c>
      <c r="J800" s="74"/>
      <c r="K800" s="74"/>
      <c r="L800" s="75"/>
      <c r="M800" s="74"/>
      <c r="N800" s="74"/>
      <c r="O800" s="74"/>
      <c r="P800" s="74"/>
      <c r="Q800" s="74"/>
      <c r="R800" s="74"/>
      <c r="S800" s="74"/>
      <c r="T800" s="74"/>
      <c r="U800" s="74"/>
      <c r="V800" s="74"/>
      <c r="W800" s="74"/>
      <c r="X800" s="74"/>
      <c r="Y800" s="74"/>
    </row>
    <row r="801" spans="1:25" ht="33.6">
      <c r="A801" s="74"/>
      <c r="B801" s="91" t="str">
        <f t="shared" si="95"/>
        <v/>
      </c>
      <c r="C801" s="94"/>
      <c r="D801" s="18"/>
      <c r="E801" s="104" t="s">
        <v>917</v>
      </c>
      <c r="F801" s="91" t="str">
        <f t="shared" si="96"/>
        <v/>
      </c>
      <c r="G801" s="91" t="str">
        <f t="shared" si="97"/>
        <v/>
      </c>
      <c r="H801" s="91" t="str">
        <f t="shared" si="98"/>
        <v/>
      </c>
      <c r="I801" s="79">
        <f t="shared" si="99"/>
        <v>143</v>
      </c>
      <c r="J801" s="74"/>
      <c r="K801" s="74"/>
      <c r="L801" s="75"/>
      <c r="M801" s="74"/>
      <c r="N801" s="74"/>
      <c r="O801" s="74"/>
      <c r="P801" s="74"/>
      <c r="Q801" s="74"/>
      <c r="R801" s="74"/>
      <c r="S801" s="74"/>
      <c r="T801" s="74"/>
      <c r="U801" s="74"/>
      <c r="V801" s="74"/>
      <c r="W801" s="74"/>
      <c r="X801" s="74"/>
      <c r="Y801" s="74"/>
    </row>
    <row r="802" spans="1:25" ht="33.6">
      <c r="A802" s="74"/>
      <c r="B802" s="91" t="str">
        <f t="shared" si="95"/>
        <v/>
      </c>
      <c r="C802" s="104"/>
      <c r="D802" s="18"/>
      <c r="E802" s="104" t="s">
        <v>918</v>
      </c>
      <c r="F802" s="91" t="str">
        <f t="shared" si="96"/>
        <v/>
      </c>
      <c r="G802" s="91" t="str">
        <f t="shared" si="97"/>
        <v/>
      </c>
      <c r="H802" s="91" t="str">
        <f t="shared" si="98"/>
        <v/>
      </c>
      <c r="I802" s="79">
        <f t="shared" si="99"/>
        <v>143</v>
      </c>
      <c r="J802" s="74"/>
      <c r="K802" s="74"/>
      <c r="L802" s="75"/>
      <c r="M802" s="74"/>
      <c r="N802" s="74"/>
      <c r="O802" s="74"/>
      <c r="P802" s="74"/>
      <c r="Q802" s="74"/>
      <c r="R802" s="74"/>
      <c r="S802" s="74"/>
      <c r="T802" s="74"/>
      <c r="U802" s="74"/>
      <c r="V802" s="74"/>
      <c r="W802" s="74"/>
      <c r="X802" s="74"/>
      <c r="Y802" s="74"/>
    </row>
    <row r="803" spans="1:25" ht="18">
      <c r="A803" s="74"/>
      <c r="B803" s="79">
        <f t="shared" si="95"/>
        <v>144</v>
      </c>
      <c r="C803" s="104" t="s">
        <v>919</v>
      </c>
      <c r="D803" s="18" t="s">
        <v>871</v>
      </c>
      <c r="E803" s="94"/>
      <c r="F803" s="91" t="str">
        <f t="shared" si="96"/>
        <v>B</v>
      </c>
      <c r="G803" s="91" t="str">
        <f t="shared" si="97"/>
        <v>Đơn giản</v>
      </c>
      <c r="H803" s="91">
        <f t="shared" si="98"/>
        <v>2</v>
      </c>
      <c r="I803" s="79" t="str">
        <f t="shared" si="99"/>
        <v/>
      </c>
      <c r="J803" s="74"/>
      <c r="K803" s="74"/>
      <c r="L803" s="75"/>
      <c r="M803" s="74"/>
      <c r="N803" s="74"/>
      <c r="O803" s="74"/>
      <c r="P803" s="74"/>
      <c r="Q803" s="74"/>
      <c r="R803" s="74"/>
      <c r="S803" s="74"/>
      <c r="T803" s="74"/>
      <c r="U803" s="74"/>
      <c r="V803" s="74"/>
      <c r="W803" s="74"/>
      <c r="X803" s="74"/>
      <c r="Y803" s="74"/>
    </row>
    <row r="804" spans="1:25" ht="33.6">
      <c r="A804" s="74"/>
      <c r="B804" s="91" t="str">
        <f t="shared" si="95"/>
        <v/>
      </c>
      <c r="C804" s="94"/>
      <c r="D804" s="18"/>
      <c r="E804" s="104" t="s">
        <v>920</v>
      </c>
      <c r="F804" s="91" t="str">
        <f t="shared" si="96"/>
        <v/>
      </c>
      <c r="G804" s="91" t="str">
        <f t="shared" si="97"/>
        <v/>
      </c>
      <c r="H804" s="91" t="str">
        <f t="shared" si="98"/>
        <v/>
      </c>
      <c r="I804" s="79">
        <f t="shared" si="99"/>
        <v>144</v>
      </c>
      <c r="J804" s="74"/>
      <c r="K804" s="74"/>
      <c r="L804" s="75"/>
      <c r="M804" s="74"/>
      <c r="N804" s="74"/>
      <c r="O804" s="74"/>
      <c r="P804" s="74"/>
      <c r="Q804" s="74"/>
      <c r="R804" s="74"/>
      <c r="S804" s="74"/>
      <c r="T804" s="74"/>
      <c r="U804" s="74"/>
      <c r="V804" s="74"/>
      <c r="W804" s="74"/>
      <c r="X804" s="74"/>
      <c r="Y804" s="74"/>
    </row>
    <row r="805" spans="1:25" ht="33.6">
      <c r="A805" s="74"/>
      <c r="B805" s="91" t="str">
        <f t="shared" si="95"/>
        <v/>
      </c>
      <c r="C805" s="94"/>
      <c r="D805" s="18"/>
      <c r="E805" s="104" t="s">
        <v>921</v>
      </c>
      <c r="F805" s="91" t="str">
        <f t="shared" si="96"/>
        <v/>
      </c>
      <c r="G805" s="91" t="str">
        <f t="shared" si="97"/>
        <v/>
      </c>
      <c r="H805" s="91" t="str">
        <f t="shared" si="98"/>
        <v/>
      </c>
      <c r="I805" s="79">
        <f t="shared" si="99"/>
        <v>144</v>
      </c>
      <c r="J805" s="74"/>
      <c r="K805" s="74"/>
      <c r="L805" s="75"/>
      <c r="M805" s="74"/>
      <c r="N805" s="74"/>
      <c r="O805" s="74"/>
      <c r="P805" s="74"/>
      <c r="Q805" s="74"/>
      <c r="R805" s="74"/>
      <c r="S805" s="74"/>
      <c r="T805" s="74"/>
      <c r="U805" s="74"/>
      <c r="V805" s="74"/>
      <c r="W805" s="74"/>
      <c r="X805" s="74"/>
      <c r="Y805" s="74"/>
    </row>
    <row r="806" spans="1:25" ht="18">
      <c r="A806" s="74"/>
      <c r="B806" s="79">
        <f t="shared" si="95"/>
        <v>145</v>
      </c>
      <c r="C806" s="104" t="s">
        <v>922</v>
      </c>
      <c r="D806" s="18" t="s">
        <v>871</v>
      </c>
      <c r="E806" s="94"/>
      <c r="F806" s="91" t="str">
        <f t="shared" si="96"/>
        <v>B</v>
      </c>
      <c r="G806" s="91" t="str">
        <f t="shared" si="97"/>
        <v>Đơn giản</v>
      </c>
      <c r="H806" s="91">
        <f t="shared" si="98"/>
        <v>2</v>
      </c>
      <c r="I806" s="79" t="str">
        <f t="shared" si="99"/>
        <v/>
      </c>
      <c r="J806" s="74"/>
      <c r="K806" s="74"/>
      <c r="L806" s="75"/>
      <c r="M806" s="74"/>
      <c r="N806" s="74"/>
      <c r="O806" s="74"/>
      <c r="P806" s="74"/>
      <c r="Q806" s="74"/>
      <c r="R806" s="74"/>
      <c r="S806" s="74"/>
      <c r="T806" s="74"/>
      <c r="U806" s="74"/>
      <c r="V806" s="74"/>
      <c r="W806" s="74"/>
      <c r="X806" s="74"/>
      <c r="Y806" s="74"/>
    </row>
    <row r="807" spans="1:25" ht="33.6">
      <c r="A807" s="74"/>
      <c r="B807" s="91" t="str">
        <f t="shared" si="95"/>
        <v/>
      </c>
      <c r="C807" s="94"/>
      <c r="D807" s="18"/>
      <c r="E807" s="104" t="s">
        <v>876</v>
      </c>
      <c r="F807" s="91" t="str">
        <f t="shared" si="96"/>
        <v/>
      </c>
      <c r="G807" s="91" t="str">
        <f t="shared" si="97"/>
        <v/>
      </c>
      <c r="H807" s="91" t="str">
        <f t="shared" si="98"/>
        <v/>
      </c>
      <c r="I807" s="79">
        <f t="shared" si="99"/>
        <v>145</v>
      </c>
      <c r="J807" s="74"/>
      <c r="K807" s="74"/>
      <c r="L807" s="75"/>
      <c r="M807" s="74"/>
      <c r="N807" s="74"/>
      <c r="O807" s="74"/>
      <c r="P807" s="74"/>
      <c r="Q807" s="74"/>
      <c r="R807" s="74"/>
      <c r="S807" s="74"/>
      <c r="T807" s="74"/>
      <c r="U807" s="74"/>
      <c r="V807" s="74"/>
      <c r="W807" s="74"/>
      <c r="X807" s="74"/>
      <c r="Y807" s="74"/>
    </row>
    <row r="808" spans="1:25" ht="33.6">
      <c r="A808" s="74"/>
      <c r="B808" s="91" t="str">
        <f t="shared" si="95"/>
        <v/>
      </c>
      <c r="C808" s="94"/>
      <c r="D808" s="18"/>
      <c r="E808" s="104" t="s">
        <v>923</v>
      </c>
      <c r="F808" s="91" t="str">
        <f t="shared" si="96"/>
        <v/>
      </c>
      <c r="G808" s="91" t="str">
        <f t="shared" si="97"/>
        <v/>
      </c>
      <c r="H808" s="91" t="str">
        <f t="shared" si="98"/>
        <v/>
      </c>
      <c r="I808" s="79">
        <f t="shared" si="99"/>
        <v>145</v>
      </c>
      <c r="J808" s="74"/>
      <c r="K808" s="74"/>
      <c r="L808" s="75"/>
      <c r="M808" s="74"/>
      <c r="N808" s="74"/>
      <c r="O808" s="74"/>
      <c r="P808" s="74"/>
      <c r="Q808" s="74"/>
      <c r="R808" s="74"/>
      <c r="S808" s="74"/>
      <c r="T808" s="74"/>
      <c r="U808" s="74"/>
      <c r="V808" s="74"/>
      <c r="W808" s="74"/>
      <c r="X808" s="74"/>
      <c r="Y808" s="74"/>
    </row>
    <row r="809" spans="1:25" ht="18">
      <c r="A809" s="74"/>
      <c r="B809" s="79">
        <f t="shared" si="95"/>
        <v>146</v>
      </c>
      <c r="C809" s="104" t="s">
        <v>924</v>
      </c>
      <c r="D809" s="18" t="s">
        <v>871</v>
      </c>
      <c r="E809" s="94"/>
      <c r="F809" s="91" t="str">
        <f t="shared" si="96"/>
        <v>B</v>
      </c>
      <c r="G809" s="91" t="str">
        <f t="shared" si="97"/>
        <v>Đơn giản</v>
      </c>
      <c r="H809" s="91">
        <f t="shared" si="98"/>
        <v>1</v>
      </c>
      <c r="I809" s="79" t="str">
        <f t="shared" si="99"/>
        <v/>
      </c>
      <c r="J809" s="74"/>
      <c r="K809" s="74"/>
      <c r="L809" s="75"/>
      <c r="M809" s="74"/>
      <c r="N809" s="74"/>
      <c r="O809" s="74"/>
      <c r="P809" s="74"/>
      <c r="Q809" s="74"/>
      <c r="R809" s="74"/>
      <c r="S809" s="74"/>
      <c r="T809" s="74"/>
      <c r="U809" s="74"/>
      <c r="V809" s="74"/>
      <c r="W809" s="74"/>
      <c r="X809" s="74"/>
      <c r="Y809" s="74"/>
    </row>
    <row r="810" spans="1:25" ht="33.6">
      <c r="A810" s="74"/>
      <c r="B810" s="91" t="str">
        <f t="shared" si="95"/>
        <v/>
      </c>
      <c r="C810" s="94"/>
      <c r="D810" s="18"/>
      <c r="E810" s="104" t="s">
        <v>925</v>
      </c>
      <c r="F810" s="91" t="str">
        <f t="shared" si="96"/>
        <v/>
      </c>
      <c r="G810" s="91" t="str">
        <f t="shared" si="97"/>
        <v/>
      </c>
      <c r="H810" s="91" t="str">
        <f t="shared" si="98"/>
        <v/>
      </c>
      <c r="I810" s="79">
        <f t="shared" si="99"/>
        <v>146</v>
      </c>
      <c r="J810" s="74"/>
      <c r="K810" s="74"/>
      <c r="L810" s="75"/>
      <c r="M810" s="74"/>
      <c r="N810" s="74"/>
      <c r="O810" s="74"/>
      <c r="P810" s="74"/>
      <c r="Q810" s="74"/>
      <c r="R810" s="74"/>
      <c r="S810" s="74"/>
      <c r="T810" s="74"/>
      <c r="U810" s="74"/>
      <c r="V810" s="74"/>
      <c r="W810" s="74"/>
      <c r="X810" s="74"/>
      <c r="Y810" s="74"/>
    </row>
    <row r="811" spans="1:25" ht="18">
      <c r="A811" s="74"/>
      <c r="B811" s="79">
        <f t="shared" si="95"/>
        <v>147</v>
      </c>
      <c r="C811" s="104" t="s">
        <v>926</v>
      </c>
      <c r="D811" s="18" t="s">
        <v>871</v>
      </c>
      <c r="E811" s="94"/>
      <c r="F811" s="91" t="str">
        <f t="shared" si="96"/>
        <v>B</v>
      </c>
      <c r="G811" s="91" t="str">
        <f t="shared" si="97"/>
        <v>Đơn giản</v>
      </c>
      <c r="H811" s="91">
        <f t="shared" si="98"/>
        <v>1</v>
      </c>
      <c r="I811" s="79" t="str">
        <f t="shared" si="99"/>
        <v/>
      </c>
      <c r="J811" s="74"/>
      <c r="K811" s="74"/>
      <c r="L811" s="75"/>
      <c r="M811" s="74"/>
      <c r="N811" s="74"/>
      <c r="O811" s="74"/>
      <c r="P811" s="74"/>
      <c r="Q811" s="74"/>
      <c r="R811" s="74"/>
      <c r="S811" s="74"/>
      <c r="T811" s="74"/>
      <c r="U811" s="74"/>
      <c r="V811" s="74"/>
      <c r="W811" s="74"/>
      <c r="X811" s="74"/>
      <c r="Y811" s="74"/>
    </row>
    <row r="812" spans="1:25" ht="33.6">
      <c r="A812" s="74"/>
      <c r="B812" s="91" t="str">
        <f t="shared" si="95"/>
        <v/>
      </c>
      <c r="C812" s="92"/>
      <c r="D812" s="18"/>
      <c r="E812" s="104" t="s">
        <v>927</v>
      </c>
      <c r="F812" s="91" t="str">
        <f t="shared" si="96"/>
        <v/>
      </c>
      <c r="G812" s="91" t="str">
        <f t="shared" si="97"/>
        <v/>
      </c>
      <c r="H812" s="91" t="str">
        <f t="shared" si="98"/>
        <v/>
      </c>
      <c r="I812" s="79">
        <f t="shared" si="99"/>
        <v>147</v>
      </c>
      <c r="J812" s="74"/>
      <c r="K812" s="74"/>
      <c r="L812" s="75"/>
      <c r="M812" s="74"/>
      <c r="N812" s="74"/>
      <c r="O812" s="74"/>
      <c r="P812" s="74"/>
      <c r="Q812" s="74"/>
      <c r="R812" s="74"/>
      <c r="S812" s="74"/>
      <c r="T812" s="74"/>
      <c r="U812" s="74"/>
      <c r="V812" s="74"/>
      <c r="W812" s="74"/>
      <c r="X812" s="74"/>
      <c r="Y812" s="74"/>
    </row>
    <row r="813" spans="1:25" ht="18">
      <c r="A813" s="74"/>
      <c r="B813" s="91" t="s">
        <v>928</v>
      </c>
      <c r="C813" s="92" t="s">
        <v>929</v>
      </c>
      <c r="D813" s="18"/>
      <c r="E813" s="104"/>
      <c r="F813" s="91" t="str">
        <f t="shared" si="96"/>
        <v/>
      </c>
      <c r="G813" s="91" t="str">
        <f t="shared" si="97"/>
        <v/>
      </c>
      <c r="H813" s="91" t="str">
        <f t="shared" si="98"/>
        <v/>
      </c>
      <c r="I813" s="79" t="str">
        <f t="shared" si="99"/>
        <v/>
      </c>
      <c r="J813" s="74"/>
      <c r="K813" s="74"/>
      <c r="L813" s="75"/>
      <c r="M813" s="74"/>
      <c r="N813" s="74"/>
      <c r="O813" s="74"/>
      <c r="P813" s="74"/>
      <c r="Q813" s="74"/>
      <c r="R813" s="74"/>
      <c r="S813" s="74"/>
      <c r="T813" s="74"/>
      <c r="U813" s="74"/>
      <c r="V813" s="74"/>
      <c r="W813" s="74"/>
      <c r="X813" s="74"/>
      <c r="Y813" s="74"/>
    </row>
    <row r="814" spans="1:25" ht="33.6">
      <c r="A814" s="74"/>
      <c r="B814" s="79">
        <f t="shared" ref="B814:B885" si="100">IF(C814="","",IF(F814="B",COUNTIF($F$6:F814,"B"),""))</f>
        <v>148</v>
      </c>
      <c r="C814" s="94" t="s">
        <v>930</v>
      </c>
      <c r="D814" s="18" t="s">
        <v>72</v>
      </c>
      <c r="E814" s="104"/>
      <c r="F814" s="91" t="str">
        <f t="shared" si="96"/>
        <v>B</v>
      </c>
      <c r="G814" s="91" t="str">
        <f t="shared" si="97"/>
        <v>Đơn giản</v>
      </c>
      <c r="H814" s="91">
        <f t="shared" si="98"/>
        <v>3</v>
      </c>
      <c r="I814" s="79" t="str">
        <f t="shared" si="99"/>
        <v/>
      </c>
      <c r="J814" s="74"/>
      <c r="K814" s="74"/>
      <c r="L814" s="75"/>
      <c r="M814" s="74"/>
      <c r="N814" s="74"/>
      <c r="O814" s="74"/>
      <c r="P814" s="74"/>
      <c r="Q814" s="74"/>
      <c r="R814" s="74"/>
      <c r="S814" s="74"/>
      <c r="T814" s="74"/>
      <c r="U814" s="74"/>
      <c r="V814" s="74"/>
      <c r="W814" s="74"/>
      <c r="X814" s="74"/>
      <c r="Y814" s="74"/>
    </row>
    <row r="815" spans="1:25" ht="50.45">
      <c r="A815" s="74"/>
      <c r="B815" s="91" t="str">
        <f t="shared" si="100"/>
        <v/>
      </c>
      <c r="C815" s="94"/>
      <c r="D815" s="18"/>
      <c r="E815" s="101" t="s">
        <v>931</v>
      </c>
      <c r="F815" s="91" t="str">
        <f t="shared" si="96"/>
        <v/>
      </c>
      <c r="G815" s="91" t="str">
        <f t="shared" si="97"/>
        <v/>
      </c>
      <c r="H815" s="91" t="str">
        <f t="shared" si="98"/>
        <v/>
      </c>
      <c r="I815" s="79">
        <f t="shared" si="99"/>
        <v>148</v>
      </c>
      <c r="J815" s="74"/>
      <c r="K815" s="74"/>
      <c r="L815" s="75"/>
      <c r="M815" s="74"/>
      <c r="N815" s="74"/>
      <c r="O815" s="74"/>
      <c r="P815" s="74"/>
      <c r="Q815" s="74"/>
      <c r="R815" s="74"/>
      <c r="S815" s="74"/>
      <c r="T815" s="74"/>
      <c r="U815" s="74"/>
      <c r="V815" s="74"/>
      <c r="W815" s="74"/>
      <c r="X815" s="74"/>
      <c r="Y815" s="74"/>
    </row>
    <row r="816" spans="1:25" ht="50.45">
      <c r="A816" s="74"/>
      <c r="B816" s="91" t="str">
        <f t="shared" si="100"/>
        <v/>
      </c>
      <c r="C816" s="94"/>
      <c r="D816" s="18"/>
      <c r="E816" s="101" t="s">
        <v>932</v>
      </c>
      <c r="F816" s="91" t="str">
        <f t="shared" si="96"/>
        <v/>
      </c>
      <c r="G816" s="91" t="str">
        <f t="shared" si="97"/>
        <v/>
      </c>
      <c r="H816" s="91" t="str">
        <f t="shared" si="98"/>
        <v/>
      </c>
      <c r="I816" s="79">
        <f t="shared" si="99"/>
        <v>148</v>
      </c>
      <c r="J816" s="74"/>
      <c r="K816" s="74"/>
      <c r="L816" s="75"/>
      <c r="M816" s="74"/>
      <c r="N816" s="74"/>
      <c r="O816" s="74"/>
      <c r="P816" s="74"/>
      <c r="Q816" s="74"/>
      <c r="R816" s="74"/>
      <c r="S816" s="74"/>
      <c r="T816" s="74"/>
      <c r="U816" s="74"/>
      <c r="V816" s="74"/>
      <c r="W816" s="74"/>
      <c r="X816" s="74"/>
      <c r="Y816" s="74"/>
    </row>
    <row r="817" spans="1:25" ht="33.6">
      <c r="A817" s="74"/>
      <c r="B817" s="91" t="str">
        <f t="shared" si="100"/>
        <v/>
      </c>
      <c r="C817" s="94"/>
      <c r="D817" s="18"/>
      <c r="E817" s="101" t="s">
        <v>933</v>
      </c>
      <c r="F817" s="91" t="str">
        <f t="shared" si="96"/>
        <v/>
      </c>
      <c r="G817" s="91" t="str">
        <f t="shared" si="97"/>
        <v/>
      </c>
      <c r="H817" s="91" t="str">
        <f t="shared" si="98"/>
        <v/>
      </c>
      <c r="I817" s="79">
        <f t="shared" si="99"/>
        <v>148</v>
      </c>
      <c r="J817" s="74"/>
      <c r="K817" s="74"/>
      <c r="L817" s="75"/>
      <c r="M817" s="74"/>
      <c r="N817" s="74"/>
      <c r="O817" s="74"/>
      <c r="P817" s="74"/>
      <c r="Q817" s="74"/>
      <c r="R817" s="74"/>
      <c r="S817" s="74"/>
      <c r="T817" s="74"/>
      <c r="U817" s="74"/>
      <c r="V817" s="74"/>
      <c r="W817" s="74"/>
      <c r="X817" s="74"/>
      <c r="Y817" s="74"/>
    </row>
    <row r="818" spans="1:25" ht="18">
      <c r="A818" s="74"/>
      <c r="B818" s="79">
        <f t="shared" si="100"/>
        <v>149</v>
      </c>
      <c r="C818" s="94" t="s">
        <v>934</v>
      </c>
      <c r="D818" s="18" t="s">
        <v>935</v>
      </c>
      <c r="E818" s="103"/>
      <c r="F818" s="91" t="str">
        <f t="shared" si="96"/>
        <v>B</v>
      </c>
      <c r="G818" s="91" t="str">
        <f t="shared" si="97"/>
        <v>Đơn giản</v>
      </c>
      <c r="H818" s="91">
        <f t="shared" si="98"/>
        <v>3</v>
      </c>
      <c r="I818" s="79" t="str">
        <f t="shared" si="99"/>
        <v/>
      </c>
      <c r="J818" s="74"/>
      <c r="K818" s="74"/>
      <c r="L818" s="75"/>
      <c r="M818" s="74"/>
      <c r="N818" s="74"/>
      <c r="O818" s="74"/>
      <c r="P818" s="74"/>
      <c r="Q818" s="74"/>
      <c r="R818" s="74"/>
      <c r="S818" s="74"/>
      <c r="T818" s="74"/>
      <c r="U818" s="74"/>
      <c r="V818" s="74"/>
      <c r="W818" s="74"/>
      <c r="X818" s="74"/>
      <c r="Y818" s="74"/>
    </row>
    <row r="819" spans="1:25" ht="33.6">
      <c r="A819" s="74"/>
      <c r="B819" s="91" t="str">
        <f t="shared" si="100"/>
        <v/>
      </c>
      <c r="C819" s="94"/>
      <c r="D819" s="18"/>
      <c r="E819" s="101" t="s">
        <v>936</v>
      </c>
      <c r="F819" s="91" t="str">
        <f t="shared" si="96"/>
        <v/>
      </c>
      <c r="G819" s="91" t="str">
        <f t="shared" si="97"/>
        <v/>
      </c>
      <c r="H819" s="91" t="str">
        <f t="shared" si="98"/>
        <v/>
      </c>
      <c r="I819" s="79">
        <f t="shared" si="99"/>
        <v>149</v>
      </c>
      <c r="J819" s="74"/>
      <c r="K819" s="74"/>
      <c r="L819" s="75"/>
      <c r="M819" s="74"/>
      <c r="N819" s="74"/>
      <c r="O819" s="74"/>
      <c r="P819" s="74"/>
      <c r="Q819" s="74"/>
      <c r="R819" s="74"/>
      <c r="S819" s="74"/>
      <c r="T819" s="74"/>
      <c r="U819" s="74"/>
      <c r="V819" s="74"/>
      <c r="W819" s="74"/>
      <c r="X819" s="74"/>
      <c r="Y819" s="74"/>
    </row>
    <row r="820" spans="1:25" ht="50.45">
      <c r="A820" s="74"/>
      <c r="B820" s="91" t="str">
        <f t="shared" si="100"/>
        <v/>
      </c>
      <c r="C820" s="94"/>
      <c r="D820" s="18"/>
      <c r="E820" s="101" t="s">
        <v>937</v>
      </c>
      <c r="F820" s="91" t="str">
        <f t="shared" si="96"/>
        <v/>
      </c>
      <c r="G820" s="91" t="str">
        <f t="shared" si="97"/>
        <v/>
      </c>
      <c r="H820" s="91" t="str">
        <f t="shared" si="98"/>
        <v/>
      </c>
      <c r="I820" s="79">
        <f t="shared" si="99"/>
        <v>149</v>
      </c>
      <c r="J820" s="74"/>
      <c r="K820" s="74"/>
      <c r="L820" s="75"/>
      <c r="M820" s="74"/>
      <c r="N820" s="74"/>
      <c r="O820" s="74"/>
      <c r="P820" s="74"/>
      <c r="Q820" s="74"/>
      <c r="R820" s="74"/>
      <c r="S820" s="74"/>
      <c r="T820" s="74"/>
      <c r="U820" s="74"/>
      <c r="V820" s="74"/>
      <c r="W820" s="74"/>
      <c r="X820" s="74"/>
      <c r="Y820" s="74"/>
    </row>
    <row r="821" spans="1:25" ht="33.6">
      <c r="A821" s="74"/>
      <c r="B821" s="91" t="str">
        <f t="shared" si="100"/>
        <v/>
      </c>
      <c r="C821" s="94"/>
      <c r="D821" s="18"/>
      <c r="E821" s="101" t="s">
        <v>938</v>
      </c>
      <c r="F821" s="91" t="str">
        <f t="shared" si="96"/>
        <v/>
      </c>
      <c r="G821" s="91" t="str">
        <f t="shared" si="97"/>
        <v/>
      </c>
      <c r="H821" s="91" t="str">
        <f t="shared" si="98"/>
        <v/>
      </c>
      <c r="I821" s="79">
        <f t="shared" si="99"/>
        <v>149</v>
      </c>
      <c r="J821" s="74"/>
      <c r="K821" s="74"/>
      <c r="L821" s="75"/>
      <c r="M821" s="74"/>
      <c r="N821" s="74"/>
      <c r="O821" s="74"/>
      <c r="P821" s="74"/>
      <c r="Q821" s="74"/>
      <c r="R821" s="74"/>
      <c r="S821" s="74"/>
      <c r="T821" s="74"/>
      <c r="U821" s="74"/>
      <c r="V821" s="74"/>
      <c r="W821" s="74"/>
      <c r="X821" s="74"/>
      <c r="Y821" s="74"/>
    </row>
    <row r="822" spans="1:25" ht="18">
      <c r="A822" s="74"/>
      <c r="B822" s="79">
        <f t="shared" si="100"/>
        <v>150</v>
      </c>
      <c r="C822" s="94" t="s">
        <v>939</v>
      </c>
      <c r="D822" s="18" t="s">
        <v>935</v>
      </c>
      <c r="E822" s="103"/>
      <c r="F822" s="91" t="str">
        <f t="shared" si="96"/>
        <v>B</v>
      </c>
      <c r="G822" s="91" t="str">
        <f t="shared" si="97"/>
        <v>Đơn giản</v>
      </c>
      <c r="H822" s="91">
        <f t="shared" si="98"/>
        <v>3</v>
      </c>
      <c r="I822" s="79" t="str">
        <f t="shared" si="99"/>
        <v/>
      </c>
      <c r="J822" s="74"/>
      <c r="K822" s="74"/>
      <c r="L822" s="75"/>
      <c r="M822" s="74"/>
      <c r="N822" s="74"/>
      <c r="O822" s="74"/>
      <c r="P822" s="74"/>
      <c r="Q822" s="74"/>
      <c r="R822" s="74"/>
      <c r="S822" s="74"/>
      <c r="T822" s="74"/>
      <c r="U822" s="74"/>
      <c r="V822" s="74"/>
      <c r="W822" s="74"/>
      <c r="X822" s="74"/>
      <c r="Y822" s="74"/>
    </row>
    <row r="823" spans="1:25" ht="50.45">
      <c r="A823" s="74"/>
      <c r="B823" s="91" t="str">
        <f t="shared" si="100"/>
        <v/>
      </c>
      <c r="C823" s="94"/>
      <c r="D823" s="18"/>
      <c r="E823" s="101" t="s">
        <v>940</v>
      </c>
      <c r="F823" s="91" t="str">
        <f t="shared" si="96"/>
        <v/>
      </c>
      <c r="G823" s="91" t="str">
        <f t="shared" si="97"/>
        <v/>
      </c>
      <c r="H823" s="91" t="str">
        <f t="shared" si="98"/>
        <v/>
      </c>
      <c r="I823" s="79">
        <f t="shared" si="99"/>
        <v>150</v>
      </c>
      <c r="J823" s="74"/>
      <c r="K823" s="74"/>
      <c r="L823" s="75"/>
      <c r="M823" s="74"/>
      <c r="N823" s="74"/>
      <c r="O823" s="74"/>
      <c r="P823" s="74"/>
      <c r="Q823" s="74"/>
      <c r="R823" s="74"/>
      <c r="S823" s="74"/>
      <c r="T823" s="74"/>
      <c r="U823" s="74"/>
      <c r="V823" s="74"/>
      <c r="W823" s="74"/>
      <c r="X823" s="74"/>
      <c r="Y823" s="74"/>
    </row>
    <row r="824" spans="1:25" ht="50.45">
      <c r="A824" s="74"/>
      <c r="B824" s="91" t="str">
        <f t="shared" si="100"/>
        <v/>
      </c>
      <c r="C824" s="94"/>
      <c r="D824" s="18"/>
      <c r="E824" s="101" t="s">
        <v>941</v>
      </c>
      <c r="F824" s="91" t="str">
        <f t="shared" si="96"/>
        <v/>
      </c>
      <c r="G824" s="91" t="str">
        <f t="shared" si="97"/>
        <v/>
      </c>
      <c r="H824" s="91" t="str">
        <f t="shared" si="98"/>
        <v/>
      </c>
      <c r="I824" s="79">
        <f t="shared" si="99"/>
        <v>150</v>
      </c>
      <c r="J824" s="74"/>
      <c r="K824" s="74"/>
      <c r="L824" s="75"/>
      <c r="M824" s="74"/>
      <c r="N824" s="74"/>
      <c r="O824" s="74"/>
      <c r="P824" s="74"/>
      <c r="Q824" s="74"/>
      <c r="R824" s="74"/>
      <c r="S824" s="74"/>
      <c r="T824" s="74"/>
      <c r="U824" s="74"/>
      <c r="V824" s="74"/>
      <c r="W824" s="74"/>
      <c r="X824" s="74"/>
      <c r="Y824" s="74"/>
    </row>
    <row r="825" spans="1:25" ht="33.6">
      <c r="A825" s="74"/>
      <c r="B825" s="91" t="str">
        <f t="shared" si="100"/>
        <v/>
      </c>
      <c r="C825" s="94"/>
      <c r="D825" s="18"/>
      <c r="E825" s="101" t="s">
        <v>942</v>
      </c>
      <c r="F825" s="91" t="str">
        <f t="shared" si="96"/>
        <v/>
      </c>
      <c r="G825" s="91" t="str">
        <f t="shared" si="97"/>
        <v/>
      </c>
      <c r="H825" s="91" t="str">
        <f t="shared" si="98"/>
        <v/>
      </c>
      <c r="I825" s="79">
        <f t="shared" si="99"/>
        <v>150</v>
      </c>
      <c r="J825" s="74"/>
      <c r="K825" s="74"/>
      <c r="L825" s="75"/>
      <c r="M825" s="74"/>
      <c r="N825" s="74"/>
      <c r="O825" s="74"/>
      <c r="P825" s="74"/>
      <c r="Q825" s="74"/>
      <c r="R825" s="74"/>
      <c r="S825" s="74"/>
      <c r="T825" s="74"/>
      <c r="U825" s="74"/>
      <c r="V825" s="74"/>
      <c r="W825" s="74"/>
      <c r="X825" s="74"/>
      <c r="Y825" s="74"/>
    </row>
    <row r="826" spans="1:25" ht="33.6">
      <c r="A826" s="74"/>
      <c r="B826" s="79">
        <f t="shared" si="100"/>
        <v>151</v>
      </c>
      <c r="C826" s="94" t="s">
        <v>943</v>
      </c>
      <c r="D826" s="18" t="s">
        <v>935</v>
      </c>
      <c r="E826" s="103"/>
      <c r="F826" s="91" t="str">
        <f t="shared" si="96"/>
        <v>B</v>
      </c>
      <c r="G826" s="91" t="str">
        <f t="shared" si="97"/>
        <v>Đơn giản</v>
      </c>
      <c r="H826" s="91">
        <f t="shared" si="98"/>
        <v>3</v>
      </c>
      <c r="I826" s="79" t="str">
        <f t="shared" si="99"/>
        <v/>
      </c>
      <c r="J826" s="74"/>
      <c r="K826" s="74"/>
      <c r="L826" s="75"/>
      <c r="M826" s="74"/>
      <c r="N826" s="74"/>
      <c r="O826" s="74"/>
      <c r="P826" s="74"/>
      <c r="Q826" s="74"/>
      <c r="R826" s="74"/>
      <c r="S826" s="74"/>
      <c r="T826" s="74"/>
      <c r="U826" s="74"/>
      <c r="V826" s="74"/>
      <c r="W826" s="74"/>
      <c r="X826" s="74"/>
      <c r="Y826" s="74"/>
    </row>
    <row r="827" spans="1:25" ht="50.45">
      <c r="A827" s="74"/>
      <c r="B827" s="91" t="str">
        <f t="shared" si="100"/>
        <v/>
      </c>
      <c r="C827" s="94"/>
      <c r="D827" s="18"/>
      <c r="E827" s="101" t="s">
        <v>944</v>
      </c>
      <c r="F827" s="91" t="str">
        <f t="shared" si="96"/>
        <v/>
      </c>
      <c r="G827" s="91" t="str">
        <f t="shared" si="97"/>
        <v/>
      </c>
      <c r="H827" s="91" t="str">
        <f t="shared" si="98"/>
        <v/>
      </c>
      <c r="I827" s="79">
        <f t="shared" si="99"/>
        <v>151</v>
      </c>
      <c r="J827" s="74"/>
      <c r="K827" s="74"/>
      <c r="L827" s="75"/>
      <c r="M827" s="74"/>
      <c r="N827" s="74"/>
      <c r="O827" s="74"/>
      <c r="P827" s="74"/>
      <c r="Q827" s="74"/>
      <c r="R827" s="74"/>
      <c r="S827" s="74"/>
      <c r="T827" s="74"/>
      <c r="U827" s="74"/>
      <c r="V827" s="74"/>
      <c r="W827" s="74"/>
      <c r="X827" s="74"/>
      <c r="Y827" s="74"/>
    </row>
    <row r="828" spans="1:25" ht="50.45">
      <c r="A828" s="74"/>
      <c r="B828" s="91" t="str">
        <f t="shared" si="100"/>
        <v/>
      </c>
      <c r="C828" s="94"/>
      <c r="D828" s="18"/>
      <c r="E828" s="101" t="s">
        <v>945</v>
      </c>
      <c r="F828" s="91" t="str">
        <f t="shared" si="96"/>
        <v/>
      </c>
      <c r="G828" s="91" t="str">
        <f t="shared" si="97"/>
        <v/>
      </c>
      <c r="H828" s="91" t="str">
        <f t="shared" si="98"/>
        <v/>
      </c>
      <c r="I828" s="79">
        <f t="shared" si="99"/>
        <v>151</v>
      </c>
      <c r="J828" s="74"/>
      <c r="K828" s="74"/>
      <c r="L828" s="75"/>
      <c r="M828" s="74"/>
      <c r="N828" s="74"/>
      <c r="O828" s="74"/>
      <c r="P828" s="74"/>
      <c r="Q828" s="74"/>
      <c r="R828" s="74"/>
      <c r="S828" s="74"/>
      <c r="T828" s="74"/>
      <c r="U828" s="74"/>
      <c r="V828" s="74"/>
      <c r="W828" s="74"/>
      <c r="X828" s="74"/>
      <c r="Y828" s="74"/>
    </row>
    <row r="829" spans="1:25" ht="50.45">
      <c r="A829" s="74"/>
      <c r="B829" s="91" t="str">
        <f t="shared" si="100"/>
        <v/>
      </c>
      <c r="C829" s="94"/>
      <c r="D829" s="18"/>
      <c r="E829" s="101" t="s">
        <v>946</v>
      </c>
      <c r="F829" s="91" t="str">
        <f t="shared" si="96"/>
        <v/>
      </c>
      <c r="G829" s="91" t="str">
        <f t="shared" si="97"/>
        <v/>
      </c>
      <c r="H829" s="91" t="str">
        <f t="shared" si="98"/>
        <v/>
      </c>
      <c r="I829" s="79">
        <f t="shared" si="99"/>
        <v>151</v>
      </c>
      <c r="J829" s="74"/>
      <c r="K829" s="74"/>
      <c r="L829" s="75"/>
      <c r="M829" s="74"/>
      <c r="N829" s="74"/>
      <c r="O829" s="74"/>
      <c r="P829" s="74"/>
      <c r="Q829" s="74"/>
      <c r="R829" s="74"/>
      <c r="S829" s="74"/>
      <c r="T829" s="74"/>
      <c r="U829" s="74"/>
      <c r="V829" s="74"/>
      <c r="W829" s="74"/>
      <c r="X829" s="74"/>
      <c r="Y829" s="74"/>
    </row>
    <row r="830" spans="1:25" ht="33.6">
      <c r="A830" s="74"/>
      <c r="B830" s="79">
        <f t="shared" si="100"/>
        <v>152</v>
      </c>
      <c r="C830" s="94" t="s">
        <v>947</v>
      </c>
      <c r="D830" s="18" t="s">
        <v>935</v>
      </c>
      <c r="E830" s="103"/>
      <c r="F830" s="91" t="str">
        <f t="shared" si="96"/>
        <v>B</v>
      </c>
      <c r="G830" s="91" t="str">
        <f t="shared" si="97"/>
        <v>Đơn giản</v>
      </c>
      <c r="H830" s="91">
        <f t="shared" si="98"/>
        <v>3</v>
      </c>
      <c r="I830" s="79" t="str">
        <f t="shared" si="99"/>
        <v/>
      </c>
      <c r="J830" s="74"/>
      <c r="K830" s="74"/>
      <c r="L830" s="75"/>
      <c r="M830" s="74"/>
      <c r="N830" s="74"/>
      <c r="O830" s="74"/>
      <c r="P830" s="74"/>
      <c r="Q830" s="74"/>
      <c r="R830" s="74"/>
      <c r="S830" s="74"/>
      <c r="T830" s="74"/>
      <c r="U830" s="74"/>
      <c r="V830" s="74"/>
      <c r="W830" s="74"/>
      <c r="X830" s="74"/>
      <c r="Y830" s="74"/>
    </row>
    <row r="831" spans="1:25" ht="50.45">
      <c r="A831" s="74"/>
      <c r="B831" s="91" t="str">
        <f t="shared" si="100"/>
        <v/>
      </c>
      <c r="C831" s="94"/>
      <c r="D831" s="18"/>
      <c r="E831" s="101" t="s">
        <v>948</v>
      </c>
      <c r="F831" s="91" t="str">
        <f t="shared" si="96"/>
        <v/>
      </c>
      <c r="G831" s="91" t="str">
        <f t="shared" si="97"/>
        <v/>
      </c>
      <c r="H831" s="91" t="str">
        <f t="shared" si="98"/>
        <v/>
      </c>
      <c r="I831" s="79">
        <f t="shared" si="99"/>
        <v>152</v>
      </c>
      <c r="J831" s="74"/>
      <c r="K831" s="74"/>
      <c r="L831" s="75"/>
      <c r="M831" s="74"/>
      <c r="N831" s="74"/>
      <c r="O831" s="74"/>
      <c r="P831" s="74"/>
      <c r="Q831" s="74"/>
      <c r="R831" s="74"/>
      <c r="S831" s="74"/>
      <c r="T831" s="74"/>
      <c r="U831" s="74"/>
      <c r="V831" s="74"/>
      <c r="W831" s="74"/>
      <c r="X831" s="74"/>
      <c r="Y831" s="74"/>
    </row>
    <row r="832" spans="1:25" ht="50.45">
      <c r="A832" s="74"/>
      <c r="B832" s="91" t="str">
        <f t="shared" si="100"/>
        <v/>
      </c>
      <c r="C832" s="94"/>
      <c r="D832" s="18"/>
      <c r="E832" s="101" t="s">
        <v>949</v>
      </c>
      <c r="F832" s="91" t="str">
        <f t="shared" si="96"/>
        <v/>
      </c>
      <c r="G832" s="91" t="str">
        <f t="shared" si="97"/>
        <v/>
      </c>
      <c r="H832" s="91" t="str">
        <f t="shared" si="98"/>
        <v/>
      </c>
      <c r="I832" s="79">
        <f t="shared" si="99"/>
        <v>152</v>
      </c>
      <c r="J832" s="74"/>
      <c r="K832" s="74"/>
      <c r="L832" s="75"/>
      <c r="M832" s="74"/>
      <c r="N832" s="74"/>
      <c r="O832" s="74"/>
      <c r="P832" s="74"/>
      <c r="Q832" s="74"/>
      <c r="R832" s="74"/>
      <c r="S832" s="74"/>
      <c r="T832" s="74"/>
      <c r="U832" s="74"/>
      <c r="V832" s="74"/>
      <c r="W832" s="74"/>
      <c r="X832" s="74"/>
      <c r="Y832" s="74"/>
    </row>
    <row r="833" spans="1:25" ht="50.45">
      <c r="A833" s="74"/>
      <c r="B833" s="91" t="str">
        <f t="shared" si="100"/>
        <v/>
      </c>
      <c r="C833" s="94"/>
      <c r="D833" s="18"/>
      <c r="E833" s="101" t="s">
        <v>950</v>
      </c>
      <c r="F833" s="91" t="str">
        <f t="shared" si="96"/>
        <v/>
      </c>
      <c r="G833" s="91" t="str">
        <f t="shared" si="97"/>
        <v/>
      </c>
      <c r="H833" s="91" t="str">
        <f t="shared" si="98"/>
        <v/>
      </c>
      <c r="I833" s="79">
        <f t="shared" si="99"/>
        <v>152</v>
      </c>
      <c r="J833" s="74"/>
      <c r="K833" s="74"/>
      <c r="L833" s="75"/>
      <c r="M833" s="74"/>
      <c r="N833" s="74"/>
      <c r="O833" s="74"/>
      <c r="P833" s="74"/>
      <c r="Q833" s="74"/>
      <c r="R833" s="74"/>
      <c r="S833" s="74"/>
      <c r="T833" s="74"/>
      <c r="U833" s="74"/>
      <c r="V833" s="74"/>
      <c r="W833" s="74"/>
      <c r="X833" s="74"/>
      <c r="Y833" s="74"/>
    </row>
    <row r="834" spans="1:25" ht="33.6">
      <c r="A834" s="74"/>
      <c r="B834" s="79">
        <f t="shared" si="100"/>
        <v>153</v>
      </c>
      <c r="C834" s="94" t="s">
        <v>951</v>
      </c>
      <c r="D834" s="18" t="s">
        <v>935</v>
      </c>
      <c r="E834" s="103"/>
      <c r="F834" s="91" t="str">
        <f t="shared" si="96"/>
        <v>B</v>
      </c>
      <c r="G834" s="91" t="str">
        <f t="shared" si="97"/>
        <v>Đơn giản</v>
      </c>
      <c r="H834" s="91">
        <f t="shared" si="98"/>
        <v>3</v>
      </c>
      <c r="I834" s="79" t="str">
        <f t="shared" si="99"/>
        <v/>
      </c>
      <c r="J834" s="74"/>
      <c r="K834" s="74"/>
      <c r="L834" s="75"/>
      <c r="M834" s="74"/>
      <c r="N834" s="74"/>
      <c r="O834" s="74"/>
      <c r="P834" s="74"/>
      <c r="Q834" s="74"/>
      <c r="R834" s="74"/>
      <c r="S834" s="74"/>
      <c r="T834" s="74"/>
      <c r="U834" s="74"/>
      <c r="V834" s="74"/>
      <c r="W834" s="74"/>
      <c r="X834" s="74"/>
      <c r="Y834" s="74"/>
    </row>
    <row r="835" spans="1:25" ht="50.45">
      <c r="A835" s="74"/>
      <c r="B835" s="91" t="str">
        <f t="shared" si="100"/>
        <v/>
      </c>
      <c r="C835" s="94"/>
      <c r="D835" s="18"/>
      <c r="E835" s="101" t="s">
        <v>952</v>
      </c>
      <c r="F835" s="91" t="str">
        <f t="shared" si="96"/>
        <v/>
      </c>
      <c r="G835" s="91" t="str">
        <f t="shared" si="97"/>
        <v/>
      </c>
      <c r="H835" s="91" t="str">
        <f t="shared" si="98"/>
        <v/>
      </c>
      <c r="I835" s="79">
        <f t="shared" si="99"/>
        <v>153</v>
      </c>
      <c r="J835" s="74"/>
      <c r="K835" s="74"/>
      <c r="L835" s="75"/>
      <c r="M835" s="74"/>
      <c r="N835" s="74"/>
      <c r="O835" s="74"/>
      <c r="P835" s="74"/>
      <c r="Q835" s="74"/>
      <c r="R835" s="74"/>
      <c r="S835" s="74"/>
      <c r="T835" s="74"/>
      <c r="U835" s="74"/>
      <c r="V835" s="74"/>
      <c r="W835" s="74"/>
      <c r="X835" s="74"/>
      <c r="Y835" s="74"/>
    </row>
    <row r="836" spans="1:25" ht="50.45">
      <c r="A836" s="74"/>
      <c r="B836" s="91" t="str">
        <f t="shared" si="100"/>
        <v/>
      </c>
      <c r="C836" s="94"/>
      <c r="D836" s="18"/>
      <c r="E836" s="101" t="s">
        <v>953</v>
      </c>
      <c r="F836" s="91" t="str">
        <f t="shared" si="96"/>
        <v/>
      </c>
      <c r="G836" s="91" t="str">
        <f t="shared" si="97"/>
        <v/>
      </c>
      <c r="H836" s="91" t="str">
        <f t="shared" si="98"/>
        <v/>
      </c>
      <c r="I836" s="79">
        <f t="shared" si="99"/>
        <v>153</v>
      </c>
      <c r="J836" s="74"/>
      <c r="K836" s="74"/>
      <c r="L836" s="75"/>
      <c r="M836" s="74"/>
      <c r="N836" s="74"/>
      <c r="O836" s="74"/>
      <c r="P836" s="74"/>
      <c r="Q836" s="74"/>
      <c r="R836" s="74"/>
      <c r="S836" s="74"/>
      <c r="T836" s="74"/>
      <c r="U836" s="74"/>
      <c r="V836" s="74"/>
      <c r="W836" s="74"/>
      <c r="X836" s="74"/>
      <c r="Y836" s="74"/>
    </row>
    <row r="837" spans="1:25" ht="50.45">
      <c r="A837" s="74"/>
      <c r="B837" s="91" t="str">
        <f t="shared" si="100"/>
        <v/>
      </c>
      <c r="C837" s="94"/>
      <c r="D837" s="18"/>
      <c r="E837" s="101" t="s">
        <v>954</v>
      </c>
      <c r="F837" s="91" t="str">
        <f t="shared" si="96"/>
        <v/>
      </c>
      <c r="G837" s="91" t="str">
        <f t="shared" si="97"/>
        <v/>
      </c>
      <c r="H837" s="91" t="str">
        <f t="shared" si="98"/>
        <v/>
      </c>
      <c r="I837" s="79">
        <f t="shared" si="99"/>
        <v>153</v>
      </c>
      <c r="J837" s="74"/>
      <c r="K837" s="74"/>
      <c r="L837" s="75"/>
      <c r="M837" s="74"/>
      <c r="N837" s="74"/>
      <c r="O837" s="74"/>
      <c r="P837" s="74"/>
      <c r="Q837" s="74"/>
      <c r="R837" s="74"/>
      <c r="S837" s="74"/>
      <c r="T837" s="74"/>
      <c r="U837" s="74"/>
      <c r="V837" s="74"/>
      <c r="W837" s="74"/>
      <c r="X837" s="74"/>
      <c r="Y837" s="74"/>
    </row>
    <row r="838" spans="1:25" ht="33.6">
      <c r="A838" s="74"/>
      <c r="B838" s="79">
        <f t="shared" si="100"/>
        <v>154</v>
      </c>
      <c r="C838" s="94" t="s">
        <v>955</v>
      </c>
      <c r="D838" s="18" t="s">
        <v>935</v>
      </c>
      <c r="E838" s="103"/>
      <c r="F838" s="91" t="str">
        <f t="shared" si="96"/>
        <v>B</v>
      </c>
      <c r="G838" s="91" t="str">
        <f t="shared" si="97"/>
        <v>Đơn giản</v>
      </c>
      <c r="H838" s="91">
        <f t="shared" si="98"/>
        <v>3</v>
      </c>
      <c r="I838" s="79" t="str">
        <f t="shared" si="99"/>
        <v/>
      </c>
      <c r="J838" s="74"/>
      <c r="K838" s="74"/>
      <c r="L838" s="75"/>
      <c r="M838" s="74"/>
      <c r="N838" s="74"/>
      <c r="O838" s="74"/>
      <c r="P838" s="74"/>
      <c r="Q838" s="74"/>
      <c r="R838" s="74"/>
      <c r="S838" s="74"/>
      <c r="T838" s="74"/>
      <c r="U838" s="74"/>
      <c r="V838" s="74"/>
      <c r="W838" s="74"/>
      <c r="X838" s="74"/>
      <c r="Y838" s="74"/>
    </row>
    <row r="839" spans="1:25" ht="50.45">
      <c r="A839" s="74"/>
      <c r="B839" s="91" t="str">
        <f t="shared" si="100"/>
        <v/>
      </c>
      <c r="C839" s="94"/>
      <c r="D839" s="18"/>
      <c r="E839" s="101" t="s">
        <v>956</v>
      </c>
      <c r="F839" s="91" t="str">
        <f t="shared" si="96"/>
        <v/>
      </c>
      <c r="G839" s="91" t="str">
        <f t="shared" si="97"/>
        <v/>
      </c>
      <c r="H839" s="91" t="str">
        <f t="shared" si="98"/>
        <v/>
      </c>
      <c r="I839" s="79">
        <f t="shared" si="99"/>
        <v>154</v>
      </c>
      <c r="J839" s="74"/>
      <c r="K839" s="74"/>
      <c r="L839" s="75"/>
      <c r="M839" s="74"/>
      <c r="N839" s="74"/>
      <c r="O839" s="74"/>
      <c r="P839" s="74"/>
      <c r="Q839" s="74"/>
      <c r="R839" s="74"/>
      <c r="S839" s="74"/>
      <c r="T839" s="74"/>
      <c r="U839" s="74"/>
      <c r="V839" s="74"/>
      <c r="W839" s="74"/>
      <c r="X839" s="74"/>
      <c r="Y839" s="74"/>
    </row>
    <row r="840" spans="1:25" ht="50.45">
      <c r="A840" s="74"/>
      <c r="B840" s="91" t="str">
        <f t="shared" si="100"/>
        <v/>
      </c>
      <c r="C840" s="94"/>
      <c r="D840" s="18"/>
      <c r="E840" s="101" t="s">
        <v>957</v>
      </c>
      <c r="F840" s="91" t="str">
        <f t="shared" si="96"/>
        <v/>
      </c>
      <c r="G840" s="91" t="str">
        <f t="shared" si="97"/>
        <v/>
      </c>
      <c r="H840" s="91" t="str">
        <f t="shared" si="98"/>
        <v/>
      </c>
      <c r="I840" s="79">
        <f t="shared" si="99"/>
        <v>154</v>
      </c>
      <c r="J840" s="74"/>
      <c r="K840" s="74"/>
      <c r="L840" s="75"/>
      <c r="M840" s="74"/>
      <c r="N840" s="74"/>
      <c r="O840" s="74"/>
      <c r="P840" s="74"/>
      <c r="Q840" s="74"/>
      <c r="R840" s="74"/>
      <c r="S840" s="74"/>
      <c r="T840" s="74"/>
      <c r="U840" s="74"/>
      <c r="V840" s="74"/>
      <c r="W840" s="74"/>
      <c r="X840" s="74"/>
      <c r="Y840" s="74"/>
    </row>
    <row r="841" spans="1:25" ht="50.45">
      <c r="A841" s="74"/>
      <c r="B841" s="91" t="str">
        <f t="shared" si="100"/>
        <v/>
      </c>
      <c r="C841" s="94"/>
      <c r="D841" s="18"/>
      <c r="E841" s="101" t="s">
        <v>958</v>
      </c>
      <c r="F841" s="91" t="str">
        <f t="shared" si="96"/>
        <v/>
      </c>
      <c r="G841" s="91" t="str">
        <f t="shared" si="97"/>
        <v/>
      </c>
      <c r="H841" s="91" t="str">
        <f t="shared" si="98"/>
        <v/>
      </c>
      <c r="I841" s="79">
        <f t="shared" si="99"/>
        <v>154</v>
      </c>
      <c r="J841" s="74"/>
      <c r="K841" s="74"/>
      <c r="L841" s="75"/>
      <c r="M841" s="74"/>
      <c r="N841" s="74"/>
      <c r="O841" s="74"/>
      <c r="P841" s="74"/>
      <c r="Q841" s="74"/>
      <c r="R841" s="74"/>
      <c r="S841" s="74"/>
      <c r="T841" s="74"/>
      <c r="U841" s="74"/>
      <c r="V841" s="74"/>
      <c r="W841" s="74"/>
      <c r="X841" s="74"/>
      <c r="Y841" s="74"/>
    </row>
    <row r="842" spans="1:25" ht="33.6">
      <c r="A842" s="74"/>
      <c r="B842" s="79">
        <f t="shared" si="100"/>
        <v>155</v>
      </c>
      <c r="C842" s="94" t="s">
        <v>959</v>
      </c>
      <c r="D842" s="18" t="s">
        <v>935</v>
      </c>
      <c r="E842" s="103"/>
      <c r="F842" s="91" t="str">
        <f t="shared" si="96"/>
        <v>B</v>
      </c>
      <c r="G842" s="91" t="str">
        <f t="shared" si="97"/>
        <v>Đơn giản</v>
      </c>
      <c r="H842" s="91">
        <f t="shared" si="98"/>
        <v>3</v>
      </c>
      <c r="I842" s="79" t="str">
        <f t="shared" si="99"/>
        <v/>
      </c>
      <c r="J842" s="74"/>
      <c r="K842" s="74"/>
      <c r="L842" s="75"/>
      <c r="M842" s="74"/>
      <c r="N842" s="74"/>
      <c r="O842" s="74"/>
      <c r="P842" s="74"/>
      <c r="Q842" s="74"/>
      <c r="R842" s="74"/>
      <c r="S842" s="74"/>
      <c r="T842" s="74"/>
      <c r="U842" s="74"/>
      <c r="V842" s="74"/>
      <c r="W842" s="74"/>
      <c r="X842" s="74"/>
      <c r="Y842" s="74"/>
    </row>
    <row r="843" spans="1:25" ht="50.45">
      <c r="A843" s="74"/>
      <c r="B843" s="91" t="str">
        <f t="shared" si="100"/>
        <v/>
      </c>
      <c r="C843" s="94"/>
      <c r="D843" s="18"/>
      <c r="E843" s="101" t="s">
        <v>960</v>
      </c>
      <c r="F843" s="91" t="str">
        <f t="shared" si="96"/>
        <v/>
      </c>
      <c r="G843" s="91" t="str">
        <f t="shared" si="97"/>
        <v/>
      </c>
      <c r="H843" s="91" t="str">
        <f t="shared" si="98"/>
        <v/>
      </c>
      <c r="I843" s="79">
        <f t="shared" si="99"/>
        <v>155</v>
      </c>
      <c r="J843" s="74"/>
      <c r="K843" s="74"/>
      <c r="L843" s="75"/>
      <c r="M843" s="74"/>
      <c r="N843" s="74"/>
      <c r="O843" s="74"/>
      <c r="P843" s="74"/>
      <c r="Q843" s="74"/>
      <c r="R843" s="74"/>
      <c r="S843" s="74"/>
      <c r="T843" s="74"/>
      <c r="U843" s="74"/>
      <c r="V843" s="74"/>
      <c r="W843" s="74"/>
      <c r="X843" s="74"/>
      <c r="Y843" s="74"/>
    </row>
    <row r="844" spans="1:25" ht="33.6">
      <c r="A844" s="74"/>
      <c r="B844" s="91" t="str">
        <f t="shared" si="100"/>
        <v/>
      </c>
      <c r="C844" s="94"/>
      <c r="D844" s="18"/>
      <c r="E844" s="101" t="s">
        <v>961</v>
      </c>
      <c r="F844" s="91" t="str">
        <f t="shared" si="96"/>
        <v/>
      </c>
      <c r="G844" s="91" t="str">
        <f t="shared" si="97"/>
        <v/>
      </c>
      <c r="H844" s="91" t="str">
        <f t="shared" si="98"/>
        <v/>
      </c>
      <c r="I844" s="79">
        <f t="shared" si="99"/>
        <v>155</v>
      </c>
      <c r="J844" s="74"/>
      <c r="K844" s="74"/>
      <c r="L844" s="75"/>
      <c r="M844" s="74"/>
      <c r="N844" s="74"/>
      <c r="O844" s="74"/>
      <c r="P844" s="74"/>
      <c r="Q844" s="74"/>
      <c r="R844" s="74"/>
      <c r="S844" s="74"/>
      <c r="T844" s="74"/>
      <c r="U844" s="74"/>
      <c r="V844" s="74"/>
      <c r="W844" s="74"/>
      <c r="X844" s="74"/>
      <c r="Y844" s="74"/>
    </row>
    <row r="845" spans="1:25" ht="33.6">
      <c r="A845" s="74"/>
      <c r="B845" s="91" t="str">
        <f t="shared" si="100"/>
        <v/>
      </c>
      <c r="C845" s="94"/>
      <c r="D845" s="18"/>
      <c r="E845" s="101" t="s">
        <v>962</v>
      </c>
      <c r="F845" s="91" t="str">
        <f t="shared" si="96"/>
        <v/>
      </c>
      <c r="G845" s="91" t="str">
        <f t="shared" si="97"/>
        <v/>
      </c>
      <c r="H845" s="91" t="str">
        <f t="shared" si="98"/>
        <v/>
      </c>
      <c r="I845" s="79">
        <f t="shared" si="99"/>
        <v>155</v>
      </c>
      <c r="J845" s="74"/>
      <c r="K845" s="74"/>
      <c r="L845" s="75"/>
      <c r="M845" s="74"/>
      <c r="N845" s="74"/>
      <c r="O845" s="74"/>
      <c r="P845" s="74"/>
      <c r="Q845" s="74"/>
      <c r="R845" s="74"/>
      <c r="S845" s="74"/>
      <c r="T845" s="74"/>
      <c r="U845" s="74"/>
      <c r="V845" s="74"/>
      <c r="W845" s="74"/>
      <c r="X845" s="74"/>
      <c r="Y845" s="74"/>
    </row>
    <row r="846" spans="1:25" ht="33.6">
      <c r="A846" s="74"/>
      <c r="B846" s="79">
        <f t="shared" si="100"/>
        <v>156</v>
      </c>
      <c r="C846" s="94" t="s">
        <v>963</v>
      </c>
      <c r="D846" s="18" t="s">
        <v>935</v>
      </c>
      <c r="E846" s="103"/>
      <c r="F846" s="91" t="str">
        <f t="shared" si="96"/>
        <v>B</v>
      </c>
      <c r="G846" s="91" t="str">
        <f t="shared" si="97"/>
        <v>Đơn giản</v>
      </c>
      <c r="H846" s="91">
        <f t="shared" si="98"/>
        <v>3</v>
      </c>
      <c r="I846" s="79" t="str">
        <f t="shared" si="99"/>
        <v/>
      </c>
      <c r="J846" s="74"/>
      <c r="K846" s="74"/>
      <c r="L846" s="75"/>
      <c r="M846" s="74"/>
      <c r="N846" s="74"/>
      <c r="O846" s="74"/>
      <c r="P846" s="74"/>
      <c r="Q846" s="74"/>
      <c r="R846" s="74"/>
      <c r="S846" s="74"/>
      <c r="T846" s="74"/>
      <c r="U846" s="74"/>
      <c r="V846" s="74"/>
      <c r="W846" s="74"/>
      <c r="X846" s="74"/>
      <c r="Y846" s="74"/>
    </row>
    <row r="847" spans="1:25" ht="50.45">
      <c r="A847" s="74"/>
      <c r="B847" s="91" t="str">
        <f t="shared" si="100"/>
        <v/>
      </c>
      <c r="C847" s="94"/>
      <c r="D847" s="18"/>
      <c r="E847" s="101" t="s">
        <v>964</v>
      </c>
      <c r="F847" s="91" t="str">
        <f t="shared" si="96"/>
        <v/>
      </c>
      <c r="G847" s="91" t="str">
        <f t="shared" si="97"/>
        <v/>
      </c>
      <c r="H847" s="91" t="str">
        <f t="shared" si="98"/>
        <v/>
      </c>
      <c r="I847" s="79">
        <f t="shared" si="99"/>
        <v>156</v>
      </c>
      <c r="J847" s="74"/>
      <c r="K847" s="74"/>
      <c r="L847" s="75"/>
      <c r="M847" s="74"/>
      <c r="N847" s="74"/>
      <c r="O847" s="74"/>
      <c r="P847" s="74"/>
      <c r="Q847" s="74"/>
      <c r="R847" s="74"/>
      <c r="S847" s="74"/>
      <c r="T847" s="74"/>
      <c r="U847" s="74"/>
      <c r="V847" s="74"/>
      <c r="W847" s="74"/>
      <c r="X847" s="74"/>
      <c r="Y847" s="74"/>
    </row>
    <row r="848" spans="1:25" ht="50.45">
      <c r="A848" s="74"/>
      <c r="B848" s="91" t="str">
        <f t="shared" si="100"/>
        <v/>
      </c>
      <c r="C848" s="94"/>
      <c r="D848" s="18"/>
      <c r="E848" s="101" t="s">
        <v>965</v>
      </c>
      <c r="F848" s="91" t="str">
        <f t="shared" si="96"/>
        <v/>
      </c>
      <c r="G848" s="91" t="str">
        <f t="shared" si="97"/>
        <v/>
      </c>
      <c r="H848" s="91" t="str">
        <f t="shared" si="98"/>
        <v/>
      </c>
      <c r="I848" s="79">
        <f t="shared" si="99"/>
        <v>156</v>
      </c>
      <c r="J848" s="74"/>
      <c r="K848" s="74"/>
      <c r="L848" s="75"/>
      <c r="M848" s="74"/>
      <c r="N848" s="74"/>
      <c r="O848" s="74"/>
      <c r="P848" s="74"/>
      <c r="Q848" s="74"/>
      <c r="R848" s="74"/>
      <c r="S848" s="74"/>
      <c r="T848" s="74"/>
      <c r="U848" s="74"/>
      <c r="V848" s="74"/>
      <c r="W848" s="74"/>
      <c r="X848" s="74"/>
      <c r="Y848" s="74"/>
    </row>
    <row r="849" spans="1:25" ht="50.45">
      <c r="A849" s="74"/>
      <c r="B849" s="91" t="str">
        <f t="shared" si="100"/>
        <v/>
      </c>
      <c r="C849" s="94"/>
      <c r="D849" s="18"/>
      <c r="E849" s="101" t="s">
        <v>966</v>
      </c>
      <c r="F849" s="91" t="str">
        <f t="shared" si="96"/>
        <v/>
      </c>
      <c r="G849" s="91" t="str">
        <f t="shared" si="97"/>
        <v/>
      </c>
      <c r="H849" s="91" t="str">
        <f t="shared" si="98"/>
        <v/>
      </c>
      <c r="I849" s="79">
        <f t="shared" si="99"/>
        <v>156</v>
      </c>
      <c r="J849" s="74"/>
      <c r="K849" s="74"/>
      <c r="L849" s="75"/>
      <c r="M849" s="74"/>
      <c r="N849" s="74"/>
      <c r="O849" s="74"/>
      <c r="P849" s="74"/>
      <c r="Q849" s="74"/>
      <c r="R849" s="74"/>
      <c r="S849" s="74"/>
      <c r="T849" s="74"/>
      <c r="U849" s="74"/>
      <c r="V849" s="74"/>
      <c r="W849" s="74"/>
      <c r="X849" s="74"/>
      <c r="Y849" s="74"/>
    </row>
    <row r="850" spans="1:25" ht="33.6">
      <c r="A850" s="74"/>
      <c r="B850" s="79">
        <f t="shared" si="100"/>
        <v>157</v>
      </c>
      <c r="C850" s="94" t="s">
        <v>967</v>
      </c>
      <c r="D850" s="18" t="s">
        <v>935</v>
      </c>
      <c r="E850" s="103"/>
      <c r="F850" s="91" t="str">
        <f t="shared" si="96"/>
        <v>B</v>
      </c>
      <c r="G850" s="91" t="str">
        <f t="shared" si="97"/>
        <v>Đơn giản</v>
      </c>
      <c r="H850" s="91">
        <f t="shared" si="98"/>
        <v>3</v>
      </c>
      <c r="I850" s="79" t="str">
        <f t="shared" si="99"/>
        <v/>
      </c>
      <c r="J850" s="74"/>
      <c r="K850" s="74"/>
      <c r="L850" s="75"/>
      <c r="M850" s="74"/>
      <c r="N850" s="74"/>
      <c r="O850" s="74"/>
      <c r="P850" s="74"/>
      <c r="Q850" s="74"/>
      <c r="R850" s="74"/>
      <c r="S850" s="74"/>
      <c r="T850" s="74"/>
      <c r="U850" s="74"/>
      <c r="V850" s="74"/>
      <c r="W850" s="74"/>
      <c r="X850" s="74"/>
      <c r="Y850" s="74"/>
    </row>
    <row r="851" spans="1:25" ht="50.45">
      <c r="A851" s="74"/>
      <c r="B851" s="91" t="str">
        <f t="shared" si="100"/>
        <v/>
      </c>
      <c r="C851" s="94"/>
      <c r="D851" s="18"/>
      <c r="E851" s="101" t="s">
        <v>968</v>
      </c>
      <c r="F851" s="91" t="str">
        <f t="shared" si="96"/>
        <v/>
      </c>
      <c r="G851" s="91" t="str">
        <f t="shared" si="97"/>
        <v/>
      </c>
      <c r="H851" s="91" t="str">
        <f t="shared" si="98"/>
        <v/>
      </c>
      <c r="I851" s="79">
        <f t="shared" si="99"/>
        <v>157</v>
      </c>
      <c r="J851" s="74"/>
      <c r="K851" s="74"/>
      <c r="L851" s="75"/>
      <c r="M851" s="74"/>
      <c r="N851" s="74"/>
      <c r="O851" s="74"/>
      <c r="P851" s="74"/>
      <c r="Q851" s="74"/>
      <c r="R851" s="74"/>
      <c r="S851" s="74"/>
      <c r="T851" s="74"/>
      <c r="U851" s="74"/>
      <c r="V851" s="74"/>
      <c r="W851" s="74"/>
      <c r="X851" s="74"/>
      <c r="Y851" s="74"/>
    </row>
    <row r="852" spans="1:25" ht="50.45">
      <c r="A852" s="74"/>
      <c r="B852" s="91" t="str">
        <f t="shared" si="100"/>
        <v/>
      </c>
      <c r="C852" s="94"/>
      <c r="D852" s="18"/>
      <c r="E852" s="101" t="s">
        <v>969</v>
      </c>
      <c r="F852" s="91" t="str">
        <f t="shared" si="96"/>
        <v/>
      </c>
      <c r="G852" s="91" t="str">
        <f t="shared" si="97"/>
        <v/>
      </c>
      <c r="H852" s="91" t="str">
        <f t="shared" si="98"/>
        <v/>
      </c>
      <c r="I852" s="79">
        <f t="shared" si="99"/>
        <v>157</v>
      </c>
      <c r="J852" s="74"/>
      <c r="K852" s="74"/>
      <c r="L852" s="75"/>
      <c r="M852" s="74"/>
      <c r="N852" s="74"/>
      <c r="O852" s="74"/>
      <c r="P852" s="74"/>
      <c r="Q852" s="74"/>
      <c r="R852" s="74"/>
      <c r="S852" s="74"/>
      <c r="T852" s="74"/>
      <c r="U852" s="74"/>
      <c r="V852" s="74"/>
      <c r="W852" s="74"/>
      <c r="X852" s="74"/>
      <c r="Y852" s="74"/>
    </row>
    <row r="853" spans="1:25" ht="50.45">
      <c r="A853" s="74"/>
      <c r="B853" s="91" t="str">
        <f t="shared" si="100"/>
        <v/>
      </c>
      <c r="C853" s="94"/>
      <c r="D853" s="18"/>
      <c r="E853" s="101" t="s">
        <v>970</v>
      </c>
      <c r="F853" s="91" t="str">
        <f t="shared" si="96"/>
        <v/>
      </c>
      <c r="G853" s="91" t="str">
        <f t="shared" si="97"/>
        <v/>
      </c>
      <c r="H853" s="91" t="str">
        <f t="shared" si="98"/>
        <v/>
      </c>
      <c r="I853" s="79">
        <f t="shared" si="99"/>
        <v>157</v>
      </c>
      <c r="J853" s="74"/>
      <c r="K853" s="74"/>
      <c r="L853" s="75"/>
      <c r="M853" s="74"/>
      <c r="N853" s="74"/>
      <c r="O853" s="74"/>
      <c r="P853" s="74"/>
      <c r="Q853" s="74"/>
      <c r="R853" s="74"/>
      <c r="S853" s="74"/>
      <c r="T853" s="74"/>
      <c r="U853" s="74"/>
      <c r="V853" s="74"/>
      <c r="W853" s="74"/>
      <c r="X853" s="74"/>
      <c r="Y853" s="74"/>
    </row>
    <row r="854" spans="1:25" ht="33.6">
      <c r="A854" s="74"/>
      <c r="B854" s="79">
        <f t="shared" si="100"/>
        <v>158</v>
      </c>
      <c r="C854" s="94" t="s">
        <v>971</v>
      </c>
      <c r="D854" s="18" t="s">
        <v>935</v>
      </c>
      <c r="E854" s="103"/>
      <c r="F854" s="91" t="str">
        <f t="shared" si="96"/>
        <v>B</v>
      </c>
      <c r="G854" s="91" t="str">
        <f t="shared" si="97"/>
        <v>Đơn giản</v>
      </c>
      <c r="H854" s="91">
        <f t="shared" si="98"/>
        <v>3</v>
      </c>
      <c r="I854" s="79" t="str">
        <f t="shared" si="99"/>
        <v/>
      </c>
      <c r="J854" s="74"/>
      <c r="K854" s="74"/>
      <c r="L854" s="75"/>
      <c r="M854" s="74"/>
      <c r="N854" s="74"/>
      <c r="O854" s="74"/>
      <c r="P854" s="74"/>
      <c r="Q854" s="74"/>
      <c r="R854" s="74"/>
      <c r="S854" s="74"/>
      <c r="T854" s="74"/>
      <c r="U854" s="74"/>
      <c r="V854" s="74"/>
      <c r="W854" s="74"/>
      <c r="X854" s="74"/>
      <c r="Y854" s="74"/>
    </row>
    <row r="855" spans="1:25" ht="50.45">
      <c r="A855" s="74"/>
      <c r="B855" s="91" t="str">
        <f t="shared" si="100"/>
        <v/>
      </c>
      <c r="C855" s="94"/>
      <c r="D855" s="18"/>
      <c r="E855" s="101" t="s">
        <v>972</v>
      </c>
      <c r="F855" s="91" t="str">
        <f t="shared" si="96"/>
        <v/>
      </c>
      <c r="G855" s="91" t="str">
        <f t="shared" si="97"/>
        <v/>
      </c>
      <c r="H855" s="91" t="str">
        <f t="shared" si="98"/>
        <v/>
      </c>
      <c r="I855" s="79">
        <f t="shared" si="99"/>
        <v>158</v>
      </c>
      <c r="J855" s="74"/>
      <c r="K855" s="74"/>
      <c r="L855" s="75"/>
      <c r="M855" s="74"/>
      <c r="N855" s="74"/>
      <c r="O855" s="74"/>
      <c r="P855" s="74"/>
      <c r="Q855" s="74"/>
      <c r="R855" s="74"/>
      <c r="S855" s="74"/>
      <c r="T855" s="74"/>
      <c r="U855" s="74"/>
      <c r="V855" s="74"/>
      <c r="W855" s="74"/>
      <c r="X855" s="74"/>
      <c r="Y855" s="74"/>
    </row>
    <row r="856" spans="1:25" ht="50.45">
      <c r="A856" s="74"/>
      <c r="B856" s="91" t="str">
        <f t="shared" si="100"/>
        <v/>
      </c>
      <c r="C856" s="94"/>
      <c r="D856" s="18"/>
      <c r="E856" s="101" t="s">
        <v>973</v>
      </c>
      <c r="F856" s="91" t="str">
        <f t="shared" si="96"/>
        <v/>
      </c>
      <c r="G856" s="91" t="str">
        <f t="shared" si="97"/>
        <v/>
      </c>
      <c r="H856" s="91" t="str">
        <f t="shared" si="98"/>
        <v/>
      </c>
      <c r="I856" s="79">
        <f t="shared" si="99"/>
        <v>158</v>
      </c>
      <c r="J856" s="74"/>
      <c r="K856" s="74"/>
      <c r="L856" s="75"/>
      <c r="M856" s="74"/>
      <c r="N856" s="74"/>
      <c r="O856" s="74"/>
      <c r="P856" s="74"/>
      <c r="Q856" s="74"/>
      <c r="R856" s="74"/>
      <c r="S856" s="74"/>
      <c r="T856" s="74"/>
      <c r="U856" s="74"/>
      <c r="V856" s="74"/>
      <c r="W856" s="74"/>
      <c r="X856" s="74"/>
      <c r="Y856" s="74"/>
    </row>
    <row r="857" spans="1:25" ht="50.45">
      <c r="A857" s="74"/>
      <c r="B857" s="91" t="str">
        <f t="shared" si="100"/>
        <v/>
      </c>
      <c r="C857" s="94"/>
      <c r="D857" s="18"/>
      <c r="E857" s="101" t="s">
        <v>974</v>
      </c>
      <c r="F857" s="91" t="str">
        <f t="shared" si="96"/>
        <v/>
      </c>
      <c r="G857" s="91" t="str">
        <f t="shared" si="97"/>
        <v/>
      </c>
      <c r="H857" s="91" t="str">
        <f t="shared" si="98"/>
        <v/>
      </c>
      <c r="I857" s="79">
        <f t="shared" si="99"/>
        <v>158</v>
      </c>
      <c r="J857" s="74"/>
      <c r="K857" s="74"/>
      <c r="L857" s="75"/>
      <c r="M857" s="74"/>
      <c r="N857" s="74"/>
      <c r="O857" s="74"/>
      <c r="P857" s="74"/>
      <c r="Q857" s="74"/>
      <c r="R857" s="74"/>
      <c r="S857" s="74"/>
      <c r="T857" s="74"/>
      <c r="U857" s="74"/>
      <c r="V857" s="74"/>
      <c r="W857" s="74"/>
      <c r="X857" s="74"/>
      <c r="Y857" s="74"/>
    </row>
    <row r="858" spans="1:25" ht="33.6">
      <c r="A858" s="74"/>
      <c r="B858" s="79">
        <f t="shared" si="100"/>
        <v>159</v>
      </c>
      <c r="C858" s="94" t="s">
        <v>975</v>
      </c>
      <c r="D858" s="18" t="s">
        <v>935</v>
      </c>
      <c r="E858" s="103"/>
      <c r="F858" s="91" t="str">
        <f t="shared" si="96"/>
        <v>B</v>
      </c>
      <c r="G858" s="91" t="str">
        <f t="shared" si="97"/>
        <v>Đơn giản</v>
      </c>
      <c r="H858" s="91">
        <f t="shared" si="98"/>
        <v>3</v>
      </c>
      <c r="I858" s="79" t="str">
        <f t="shared" si="99"/>
        <v/>
      </c>
      <c r="J858" s="74"/>
      <c r="K858" s="74"/>
      <c r="L858" s="75"/>
      <c r="M858" s="74"/>
      <c r="N858" s="74"/>
      <c r="O858" s="74"/>
      <c r="P858" s="74"/>
      <c r="Q858" s="74"/>
      <c r="R858" s="74"/>
      <c r="S858" s="74"/>
      <c r="T858" s="74"/>
      <c r="U858" s="74"/>
      <c r="V858" s="74"/>
      <c r="W858" s="74"/>
      <c r="X858" s="74"/>
      <c r="Y858" s="74"/>
    </row>
    <row r="859" spans="1:25" ht="50.45">
      <c r="A859" s="74"/>
      <c r="B859" s="91" t="str">
        <f t="shared" si="100"/>
        <v/>
      </c>
      <c r="C859" s="94"/>
      <c r="D859" s="18"/>
      <c r="E859" s="101" t="s">
        <v>976</v>
      </c>
      <c r="F859" s="91" t="str">
        <f t="shared" si="96"/>
        <v/>
      </c>
      <c r="G859" s="91" t="str">
        <f t="shared" si="97"/>
        <v/>
      </c>
      <c r="H859" s="91" t="str">
        <f t="shared" si="98"/>
        <v/>
      </c>
      <c r="I859" s="79">
        <f t="shared" si="99"/>
        <v>159</v>
      </c>
      <c r="J859" s="74"/>
      <c r="K859" s="74"/>
      <c r="L859" s="75"/>
      <c r="M859" s="74"/>
      <c r="N859" s="74"/>
      <c r="O859" s="74"/>
      <c r="P859" s="74"/>
      <c r="Q859" s="74"/>
      <c r="R859" s="74"/>
      <c r="S859" s="74"/>
      <c r="T859" s="74"/>
      <c r="U859" s="74"/>
      <c r="V859" s="74"/>
      <c r="W859" s="74"/>
      <c r="X859" s="74"/>
      <c r="Y859" s="74"/>
    </row>
    <row r="860" spans="1:25" ht="50.45">
      <c r="A860" s="74"/>
      <c r="B860" s="91" t="str">
        <f t="shared" si="100"/>
        <v/>
      </c>
      <c r="C860" s="94"/>
      <c r="D860" s="18"/>
      <c r="E860" s="101" t="s">
        <v>977</v>
      </c>
      <c r="F860" s="91" t="str">
        <f t="shared" si="96"/>
        <v/>
      </c>
      <c r="G860" s="91" t="str">
        <f t="shared" si="97"/>
        <v/>
      </c>
      <c r="H860" s="91" t="str">
        <f t="shared" si="98"/>
        <v/>
      </c>
      <c r="I860" s="79">
        <f t="shared" si="99"/>
        <v>159</v>
      </c>
      <c r="J860" s="74"/>
      <c r="K860" s="74"/>
      <c r="L860" s="75"/>
      <c r="M860" s="74"/>
      <c r="N860" s="74"/>
      <c r="O860" s="74"/>
      <c r="P860" s="74"/>
      <c r="Q860" s="74"/>
      <c r="R860" s="74"/>
      <c r="S860" s="74"/>
      <c r="T860" s="74"/>
      <c r="U860" s="74"/>
      <c r="V860" s="74"/>
      <c r="W860" s="74"/>
      <c r="X860" s="74"/>
      <c r="Y860" s="74"/>
    </row>
    <row r="861" spans="1:25" ht="50.45">
      <c r="A861" s="74"/>
      <c r="B861" s="91" t="str">
        <f t="shared" si="100"/>
        <v/>
      </c>
      <c r="C861" s="94"/>
      <c r="D861" s="18"/>
      <c r="E861" s="101" t="s">
        <v>978</v>
      </c>
      <c r="F861" s="91" t="str">
        <f t="shared" si="96"/>
        <v/>
      </c>
      <c r="G861" s="91" t="str">
        <f t="shared" si="97"/>
        <v/>
      </c>
      <c r="H861" s="91" t="str">
        <f t="shared" si="98"/>
        <v/>
      </c>
      <c r="I861" s="79">
        <f t="shared" si="99"/>
        <v>159</v>
      </c>
      <c r="J861" s="74"/>
      <c r="K861" s="74"/>
      <c r="L861" s="75"/>
      <c r="M861" s="74"/>
      <c r="N861" s="74"/>
      <c r="O861" s="74"/>
      <c r="P861" s="74"/>
      <c r="Q861" s="74"/>
      <c r="R861" s="74"/>
      <c r="S861" s="74"/>
      <c r="T861" s="74"/>
      <c r="U861" s="74"/>
      <c r="V861" s="74"/>
      <c r="W861" s="74"/>
      <c r="X861" s="74"/>
      <c r="Y861" s="74"/>
    </row>
    <row r="862" spans="1:25" ht="33.6">
      <c r="A862" s="74"/>
      <c r="B862" s="79">
        <f t="shared" si="100"/>
        <v>160</v>
      </c>
      <c r="C862" s="94" t="s">
        <v>979</v>
      </c>
      <c r="D862" s="18" t="s">
        <v>935</v>
      </c>
      <c r="E862" s="103"/>
      <c r="F862" s="91" t="str">
        <f t="shared" si="96"/>
        <v>B</v>
      </c>
      <c r="G862" s="91" t="str">
        <f t="shared" si="97"/>
        <v>Đơn giản</v>
      </c>
      <c r="H862" s="91">
        <f t="shared" si="98"/>
        <v>3</v>
      </c>
      <c r="I862" s="79" t="str">
        <f t="shared" si="99"/>
        <v/>
      </c>
      <c r="J862" s="74"/>
      <c r="K862" s="74"/>
      <c r="L862" s="75"/>
      <c r="M862" s="74"/>
      <c r="N862" s="74"/>
      <c r="O862" s="74"/>
      <c r="P862" s="74"/>
      <c r="Q862" s="74"/>
      <c r="R862" s="74"/>
      <c r="S862" s="74"/>
      <c r="T862" s="74"/>
      <c r="U862" s="74"/>
      <c r="V862" s="74"/>
      <c r="W862" s="74"/>
      <c r="X862" s="74"/>
      <c r="Y862" s="74"/>
    </row>
    <row r="863" spans="1:25" ht="50.45">
      <c r="A863" s="74"/>
      <c r="B863" s="91" t="str">
        <f t="shared" si="100"/>
        <v/>
      </c>
      <c r="C863" s="94"/>
      <c r="D863" s="18"/>
      <c r="E863" s="101" t="s">
        <v>980</v>
      </c>
      <c r="F863" s="91" t="str">
        <f t="shared" si="96"/>
        <v/>
      </c>
      <c r="G863" s="91" t="str">
        <f t="shared" si="97"/>
        <v/>
      </c>
      <c r="H863" s="91" t="str">
        <f t="shared" si="98"/>
        <v/>
      </c>
      <c r="I863" s="79">
        <f t="shared" si="99"/>
        <v>160</v>
      </c>
      <c r="J863" s="74"/>
      <c r="K863" s="74"/>
      <c r="L863" s="75"/>
      <c r="M863" s="74"/>
      <c r="N863" s="74"/>
      <c r="O863" s="74"/>
      <c r="P863" s="74"/>
      <c r="Q863" s="74"/>
      <c r="R863" s="74"/>
      <c r="S863" s="74"/>
      <c r="T863" s="74"/>
      <c r="U863" s="74"/>
      <c r="V863" s="74"/>
      <c r="W863" s="74"/>
      <c r="X863" s="74"/>
      <c r="Y863" s="74"/>
    </row>
    <row r="864" spans="1:25" ht="50.45">
      <c r="A864" s="74"/>
      <c r="B864" s="91" t="str">
        <f t="shared" si="100"/>
        <v/>
      </c>
      <c r="C864" s="94"/>
      <c r="D864" s="18"/>
      <c r="E864" s="101" t="s">
        <v>981</v>
      </c>
      <c r="F864" s="91" t="str">
        <f t="shared" si="96"/>
        <v/>
      </c>
      <c r="G864" s="91" t="str">
        <f t="shared" si="97"/>
        <v/>
      </c>
      <c r="H864" s="91" t="str">
        <f t="shared" si="98"/>
        <v/>
      </c>
      <c r="I864" s="79">
        <f t="shared" si="99"/>
        <v>160</v>
      </c>
      <c r="J864" s="74"/>
      <c r="K864" s="74"/>
      <c r="L864" s="75"/>
      <c r="M864" s="74"/>
      <c r="N864" s="74"/>
      <c r="O864" s="74"/>
      <c r="P864" s="74"/>
      <c r="Q864" s="74"/>
      <c r="R864" s="74"/>
      <c r="S864" s="74"/>
      <c r="T864" s="74"/>
      <c r="U864" s="74"/>
      <c r="V864" s="74"/>
      <c r="W864" s="74"/>
      <c r="X864" s="74"/>
      <c r="Y864" s="74"/>
    </row>
    <row r="865" spans="1:25" ht="50.45">
      <c r="A865" s="74"/>
      <c r="B865" s="91" t="str">
        <f t="shared" si="100"/>
        <v/>
      </c>
      <c r="C865" s="94"/>
      <c r="D865" s="18"/>
      <c r="E865" s="101" t="s">
        <v>982</v>
      </c>
      <c r="F865" s="91" t="str">
        <f t="shared" si="96"/>
        <v/>
      </c>
      <c r="G865" s="91" t="str">
        <f t="shared" si="97"/>
        <v/>
      </c>
      <c r="H865" s="91" t="str">
        <f t="shared" si="98"/>
        <v/>
      </c>
      <c r="I865" s="79">
        <f t="shared" si="99"/>
        <v>160</v>
      </c>
      <c r="J865" s="74"/>
      <c r="K865" s="74"/>
      <c r="L865" s="75"/>
      <c r="M865" s="74"/>
      <c r="N865" s="74"/>
      <c r="O865" s="74"/>
      <c r="P865" s="74"/>
      <c r="Q865" s="74"/>
      <c r="R865" s="74"/>
      <c r="S865" s="74"/>
      <c r="T865" s="74"/>
      <c r="U865" s="74"/>
      <c r="V865" s="74"/>
      <c r="W865" s="74"/>
      <c r="X865" s="74"/>
      <c r="Y865" s="74"/>
    </row>
    <row r="866" spans="1:25" ht="33.6">
      <c r="A866" s="74"/>
      <c r="B866" s="79">
        <f t="shared" si="100"/>
        <v>161</v>
      </c>
      <c r="C866" s="94" t="s">
        <v>983</v>
      </c>
      <c r="D866" s="18" t="s">
        <v>935</v>
      </c>
      <c r="E866" s="103"/>
      <c r="F866" s="91" t="str">
        <f t="shared" si="96"/>
        <v>B</v>
      </c>
      <c r="G866" s="91" t="str">
        <f t="shared" si="97"/>
        <v>Đơn giản</v>
      </c>
      <c r="H866" s="91">
        <f t="shared" ref="H866:H871" si="101">IF(AND(B866&lt;&gt;"",C866&lt;&gt;"",D866&lt;&gt;""),COUNTIF(I866:I1944,B866),"")</f>
        <v>3</v>
      </c>
      <c r="I866" s="79" t="str">
        <f>IF(OR(E866="",B866&lt;&gt;""),"",IF(I861&lt;&gt;"",I861,B861))</f>
        <v/>
      </c>
      <c r="J866" s="74"/>
      <c r="K866" s="74"/>
      <c r="L866" s="75"/>
      <c r="M866" s="74"/>
      <c r="N866" s="74"/>
      <c r="O866" s="74"/>
      <c r="P866" s="74"/>
      <c r="Q866" s="74"/>
      <c r="R866" s="74"/>
      <c r="S866" s="74"/>
      <c r="T866" s="74"/>
      <c r="U866" s="74"/>
      <c r="V866" s="74"/>
      <c r="W866" s="74"/>
      <c r="X866" s="74"/>
      <c r="Y866" s="74"/>
    </row>
    <row r="867" spans="1:25" ht="50.45">
      <c r="A867" s="74"/>
      <c r="B867" s="91" t="str">
        <f t="shared" si="100"/>
        <v/>
      </c>
      <c r="C867" s="94"/>
      <c r="D867" s="18"/>
      <c r="E867" s="101" t="s">
        <v>984</v>
      </c>
      <c r="F867" s="91" t="str">
        <f t="shared" si="96"/>
        <v/>
      </c>
      <c r="G867" s="91" t="str">
        <f t="shared" si="97"/>
        <v/>
      </c>
      <c r="H867" s="91" t="str">
        <f t="shared" si="101"/>
        <v/>
      </c>
      <c r="I867" s="79">
        <f t="shared" ref="I867:I885" si="102">IF(OR(E867="",B867&lt;&gt;""),"",IF(I866&lt;&gt;"",I866,B866))</f>
        <v>161</v>
      </c>
      <c r="J867" s="74"/>
      <c r="K867" s="74"/>
      <c r="L867" s="75"/>
      <c r="M867" s="74"/>
      <c r="N867" s="74"/>
      <c r="O867" s="74"/>
      <c r="P867" s="74"/>
      <c r="Q867" s="74"/>
      <c r="R867" s="74"/>
      <c r="S867" s="74"/>
      <c r="T867" s="74"/>
      <c r="U867" s="74"/>
      <c r="V867" s="74"/>
      <c r="W867" s="74"/>
      <c r="X867" s="74"/>
      <c r="Y867" s="74"/>
    </row>
    <row r="868" spans="1:25" ht="50.45">
      <c r="A868" s="74"/>
      <c r="B868" s="91" t="str">
        <f t="shared" si="100"/>
        <v/>
      </c>
      <c r="C868" s="94"/>
      <c r="D868" s="18"/>
      <c r="E868" s="101" t="s">
        <v>985</v>
      </c>
      <c r="F868" s="91" t="str">
        <f t="shared" si="96"/>
        <v/>
      </c>
      <c r="G868" s="91" t="str">
        <f t="shared" si="97"/>
        <v/>
      </c>
      <c r="H868" s="91" t="str">
        <f t="shared" si="101"/>
        <v/>
      </c>
      <c r="I868" s="79">
        <f t="shared" si="102"/>
        <v>161</v>
      </c>
      <c r="J868" s="74"/>
      <c r="K868" s="74"/>
      <c r="L868" s="75"/>
      <c r="M868" s="74"/>
      <c r="N868" s="74"/>
      <c r="O868" s="74"/>
      <c r="P868" s="74"/>
      <c r="Q868" s="74"/>
      <c r="R868" s="74"/>
      <c r="S868" s="74"/>
      <c r="T868" s="74"/>
      <c r="U868" s="74"/>
      <c r="V868" s="74"/>
      <c r="W868" s="74"/>
      <c r="X868" s="74"/>
      <c r="Y868" s="74"/>
    </row>
    <row r="869" spans="1:25" ht="33.6">
      <c r="A869" s="74"/>
      <c r="B869" s="91" t="str">
        <f t="shared" si="100"/>
        <v/>
      </c>
      <c r="C869" s="94"/>
      <c r="D869" s="18"/>
      <c r="E869" s="101" t="s">
        <v>986</v>
      </c>
      <c r="F869" s="91" t="str">
        <f t="shared" si="96"/>
        <v/>
      </c>
      <c r="G869" s="91" t="str">
        <f t="shared" si="97"/>
        <v/>
      </c>
      <c r="H869" s="91" t="str">
        <f t="shared" si="101"/>
        <v/>
      </c>
      <c r="I869" s="79">
        <f t="shared" si="102"/>
        <v>161</v>
      </c>
      <c r="J869" s="74"/>
      <c r="K869" s="74"/>
      <c r="L869" s="75"/>
      <c r="M869" s="74"/>
      <c r="N869" s="74"/>
      <c r="O869" s="74"/>
      <c r="P869" s="74"/>
      <c r="Q869" s="74"/>
      <c r="R869" s="74"/>
      <c r="S869" s="74"/>
      <c r="T869" s="74"/>
      <c r="U869" s="74"/>
      <c r="V869" s="74"/>
      <c r="W869" s="74"/>
      <c r="X869" s="74"/>
      <c r="Y869" s="74"/>
    </row>
    <row r="870" spans="1:25" ht="33.6">
      <c r="A870" s="74"/>
      <c r="B870" s="79">
        <f t="shared" si="100"/>
        <v>162</v>
      </c>
      <c r="C870" s="94" t="s">
        <v>987</v>
      </c>
      <c r="D870" s="18" t="s">
        <v>935</v>
      </c>
      <c r="E870" s="103"/>
      <c r="F870" s="91" t="str">
        <f t="shared" si="96"/>
        <v>B</v>
      </c>
      <c r="G870" s="91" t="str">
        <f t="shared" si="97"/>
        <v>Đơn giản</v>
      </c>
      <c r="H870" s="91">
        <f t="shared" si="101"/>
        <v>3</v>
      </c>
      <c r="I870" s="79" t="str">
        <f t="shared" si="102"/>
        <v/>
      </c>
      <c r="J870" s="74"/>
      <c r="K870" s="74"/>
      <c r="L870" s="75"/>
      <c r="M870" s="74"/>
      <c r="N870" s="74"/>
      <c r="O870" s="74"/>
      <c r="P870" s="74"/>
      <c r="Q870" s="74"/>
      <c r="R870" s="74"/>
      <c r="S870" s="74"/>
      <c r="T870" s="74"/>
      <c r="U870" s="74"/>
      <c r="V870" s="74"/>
      <c r="W870" s="74"/>
      <c r="X870" s="74"/>
      <c r="Y870" s="74"/>
    </row>
    <row r="871" spans="1:25" ht="50.45">
      <c r="A871" s="74"/>
      <c r="B871" s="91" t="str">
        <f t="shared" si="100"/>
        <v/>
      </c>
      <c r="C871" s="94"/>
      <c r="D871" s="18"/>
      <c r="E871" s="101" t="s">
        <v>988</v>
      </c>
      <c r="F871" s="91" t="str">
        <f t="shared" si="96"/>
        <v/>
      </c>
      <c r="G871" s="91" t="str">
        <f t="shared" si="97"/>
        <v/>
      </c>
      <c r="H871" s="91" t="str">
        <f t="shared" si="101"/>
        <v/>
      </c>
      <c r="I871" s="79">
        <f t="shared" si="102"/>
        <v>162</v>
      </c>
      <c r="J871" s="74"/>
      <c r="K871" s="74"/>
      <c r="L871" s="75"/>
      <c r="M871" s="74"/>
      <c r="N871" s="74"/>
      <c r="O871" s="74"/>
      <c r="P871" s="74"/>
      <c r="Q871" s="74"/>
      <c r="R871" s="74"/>
      <c r="S871" s="74"/>
      <c r="T871" s="74"/>
      <c r="U871" s="74"/>
      <c r="V871" s="74"/>
      <c r="W871" s="74"/>
      <c r="X871" s="74"/>
      <c r="Y871" s="74"/>
    </row>
    <row r="872" spans="1:25" ht="50.45">
      <c r="A872" s="74"/>
      <c r="B872" s="91" t="str">
        <f t="shared" si="100"/>
        <v/>
      </c>
      <c r="C872" s="94"/>
      <c r="D872" s="18"/>
      <c r="E872" s="101" t="s">
        <v>932</v>
      </c>
      <c r="F872" s="91" t="str">
        <f t="shared" si="96"/>
        <v/>
      </c>
      <c r="G872" s="91" t="str">
        <f t="shared" si="97"/>
        <v/>
      </c>
      <c r="H872" s="91"/>
      <c r="I872" s="79">
        <f t="shared" si="102"/>
        <v>162</v>
      </c>
      <c r="J872" s="74"/>
      <c r="K872" s="74"/>
      <c r="L872" s="75"/>
      <c r="M872" s="74"/>
      <c r="N872" s="74"/>
      <c r="O872" s="74"/>
      <c r="P872" s="74"/>
      <c r="Q872" s="74"/>
      <c r="R872" s="74"/>
      <c r="S872" s="74"/>
      <c r="T872" s="74"/>
      <c r="U872" s="74"/>
      <c r="V872" s="74"/>
      <c r="W872" s="74"/>
      <c r="X872" s="74"/>
      <c r="Y872" s="74"/>
    </row>
    <row r="873" spans="1:25" ht="33.6">
      <c r="A873" s="74"/>
      <c r="B873" s="91" t="str">
        <f t="shared" si="100"/>
        <v/>
      </c>
      <c r="C873" s="94"/>
      <c r="D873" s="18"/>
      <c r="E873" s="101" t="s">
        <v>989</v>
      </c>
      <c r="F873" s="91" t="str">
        <f t="shared" si="96"/>
        <v/>
      </c>
      <c r="G873" s="91" t="str">
        <f t="shared" si="97"/>
        <v/>
      </c>
      <c r="H873" s="91"/>
      <c r="I873" s="79">
        <f t="shared" si="102"/>
        <v>162</v>
      </c>
      <c r="J873" s="74"/>
      <c r="K873" s="74"/>
      <c r="L873" s="75"/>
      <c r="M873" s="74"/>
      <c r="N873" s="74"/>
      <c r="O873" s="74"/>
      <c r="P873" s="74"/>
      <c r="Q873" s="74"/>
      <c r="R873" s="74"/>
      <c r="S873" s="74"/>
      <c r="T873" s="74"/>
      <c r="U873" s="74"/>
      <c r="V873" s="74"/>
      <c r="W873" s="74"/>
      <c r="X873" s="74"/>
      <c r="Y873" s="74"/>
    </row>
    <row r="874" spans="1:25" ht="33.6">
      <c r="A874" s="74"/>
      <c r="B874" s="79">
        <f t="shared" si="100"/>
        <v>163</v>
      </c>
      <c r="C874" s="94" t="s">
        <v>990</v>
      </c>
      <c r="D874" s="18" t="s">
        <v>935</v>
      </c>
      <c r="E874" s="103"/>
      <c r="F874" s="91" t="str">
        <f t="shared" si="96"/>
        <v>B</v>
      </c>
      <c r="G874" s="91" t="str">
        <f t="shared" si="97"/>
        <v>Đơn giản</v>
      </c>
      <c r="H874" s="91"/>
      <c r="I874" s="79" t="str">
        <f t="shared" si="102"/>
        <v/>
      </c>
      <c r="J874" s="74"/>
      <c r="K874" s="74"/>
      <c r="L874" s="75"/>
      <c r="M874" s="74"/>
      <c r="N874" s="74"/>
      <c r="O874" s="74"/>
      <c r="P874" s="74"/>
      <c r="Q874" s="74"/>
      <c r="R874" s="74"/>
      <c r="S874" s="74"/>
      <c r="T874" s="74"/>
      <c r="U874" s="74"/>
      <c r="V874" s="74"/>
      <c r="W874" s="74"/>
      <c r="X874" s="74"/>
      <c r="Y874" s="74"/>
    </row>
    <row r="875" spans="1:25" ht="50.45">
      <c r="A875" s="74"/>
      <c r="B875" s="91" t="str">
        <f t="shared" si="100"/>
        <v/>
      </c>
      <c r="C875" s="94"/>
      <c r="D875" s="18"/>
      <c r="E875" s="101" t="s">
        <v>991</v>
      </c>
      <c r="F875" s="91" t="str">
        <f t="shared" si="96"/>
        <v/>
      </c>
      <c r="G875" s="91" t="str">
        <f t="shared" si="97"/>
        <v/>
      </c>
      <c r="H875" s="91"/>
      <c r="I875" s="79">
        <f t="shared" si="102"/>
        <v>163</v>
      </c>
      <c r="J875" s="74"/>
      <c r="K875" s="74"/>
      <c r="L875" s="75"/>
      <c r="M875" s="74"/>
      <c r="N875" s="74"/>
      <c r="O875" s="74"/>
      <c r="P875" s="74"/>
      <c r="Q875" s="74"/>
      <c r="R875" s="74"/>
      <c r="S875" s="74"/>
      <c r="T875" s="74"/>
      <c r="U875" s="74"/>
      <c r="V875" s="74"/>
      <c r="W875" s="74"/>
      <c r="X875" s="74"/>
      <c r="Y875" s="74"/>
    </row>
    <row r="876" spans="1:25" ht="50.45">
      <c r="A876" s="74"/>
      <c r="B876" s="91" t="str">
        <f t="shared" si="100"/>
        <v/>
      </c>
      <c r="C876" s="94"/>
      <c r="D876" s="18"/>
      <c r="E876" s="101" t="s">
        <v>992</v>
      </c>
      <c r="F876" s="91" t="str">
        <f t="shared" si="96"/>
        <v/>
      </c>
      <c r="G876" s="91" t="str">
        <f t="shared" si="97"/>
        <v/>
      </c>
      <c r="H876" s="91"/>
      <c r="I876" s="79">
        <f t="shared" si="102"/>
        <v>163</v>
      </c>
      <c r="J876" s="74"/>
      <c r="K876" s="74"/>
      <c r="L876" s="75"/>
      <c r="M876" s="74"/>
      <c r="N876" s="74"/>
      <c r="O876" s="74"/>
      <c r="P876" s="74"/>
      <c r="Q876" s="74"/>
      <c r="R876" s="74"/>
      <c r="S876" s="74"/>
      <c r="T876" s="74"/>
      <c r="U876" s="74"/>
      <c r="V876" s="74"/>
      <c r="W876" s="74"/>
      <c r="X876" s="74"/>
      <c r="Y876" s="74"/>
    </row>
    <row r="877" spans="1:25" ht="50.45">
      <c r="A877" s="74"/>
      <c r="B877" s="91" t="str">
        <f t="shared" si="100"/>
        <v/>
      </c>
      <c r="C877" s="94"/>
      <c r="D877" s="18"/>
      <c r="E877" s="101" t="s">
        <v>993</v>
      </c>
      <c r="F877" s="91" t="str">
        <f t="shared" si="96"/>
        <v/>
      </c>
      <c r="G877" s="91" t="str">
        <f t="shared" si="97"/>
        <v/>
      </c>
      <c r="H877" s="91"/>
      <c r="I877" s="79">
        <f t="shared" si="102"/>
        <v>163</v>
      </c>
      <c r="J877" s="74"/>
      <c r="K877" s="74"/>
      <c r="L877" s="75"/>
      <c r="M877" s="74"/>
      <c r="N877" s="74"/>
      <c r="O877" s="74"/>
      <c r="P877" s="74"/>
      <c r="Q877" s="74"/>
      <c r="R877" s="74"/>
      <c r="S877" s="74"/>
      <c r="T877" s="74"/>
      <c r="U877" s="74"/>
      <c r="V877" s="74"/>
      <c r="W877" s="74"/>
      <c r="X877" s="74"/>
      <c r="Y877" s="74"/>
    </row>
    <row r="878" spans="1:25" ht="33.6">
      <c r="A878" s="74"/>
      <c r="B878" s="79">
        <f t="shared" si="100"/>
        <v>164</v>
      </c>
      <c r="C878" s="94" t="s">
        <v>994</v>
      </c>
      <c r="D878" s="18" t="s">
        <v>935</v>
      </c>
      <c r="E878" s="103"/>
      <c r="F878" s="91" t="str">
        <f t="shared" si="96"/>
        <v>B</v>
      </c>
      <c r="G878" s="91" t="str">
        <f t="shared" si="97"/>
        <v>Đơn giản</v>
      </c>
      <c r="H878" s="91"/>
      <c r="I878" s="79" t="str">
        <f t="shared" si="102"/>
        <v/>
      </c>
      <c r="J878" s="74"/>
      <c r="K878" s="74"/>
      <c r="L878" s="75"/>
      <c r="M878" s="74"/>
      <c r="N878" s="74"/>
      <c r="O878" s="74"/>
      <c r="P878" s="74"/>
      <c r="Q878" s="74"/>
      <c r="R878" s="74"/>
      <c r="S878" s="74"/>
      <c r="T878" s="74"/>
      <c r="U878" s="74"/>
      <c r="V878" s="74"/>
      <c r="W878" s="74"/>
      <c r="X878" s="74"/>
      <c r="Y878" s="74"/>
    </row>
    <row r="879" spans="1:25" ht="50.45">
      <c r="A879" s="74"/>
      <c r="B879" s="91" t="str">
        <f t="shared" si="100"/>
        <v/>
      </c>
      <c r="C879" s="94"/>
      <c r="D879" s="18"/>
      <c r="E879" s="101" t="s">
        <v>995</v>
      </c>
      <c r="F879" s="91" t="str">
        <f t="shared" si="96"/>
        <v/>
      </c>
      <c r="G879" s="91" t="str">
        <f t="shared" si="97"/>
        <v/>
      </c>
      <c r="H879" s="91"/>
      <c r="I879" s="79">
        <f t="shared" si="102"/>
        <v>164</v>
      </c>
      <c r="J879" s="74"/>
      <c r="K879" s="74"/>
      <c r="L879" s="75"/>
      <c r="M879" s="74"/>
      <c r="N879" s="74"/>
      <c r="O879" s="74"/>
      <c r="P879" s="74"/>
      <c r="Q879" s="74"/>
      <c r="R879" s="74"/>
      <c r="S879" s="74"/>
      <c r="T879" s="74"/>
      <c r="U879" s="74"/>
      <c r="V879" s="74"/>
      <c r="W879" s="74"/>
      <c r="X879" s="74"/>
      <c r="Y879" s="74"/>
    </row>
    <row r="880" spans="1:25" ht="50.45">
      <c r="A880" s="74"/>
      <c r="B880" s="91" t="str">
        <f t="shared" si="100"/>
        <v/>
      </c>
      <c r="C880" s="94"/>
      <c r="D880" s="18"/>
      <c r="E880" s="101" t="s">
        <v>996</v>
      </c>
      <c r="F880" s="91" t="str">
        <f t="shared" si="96"/>
        <v/>
      </c>
      <c r="G880" s="91" t="str">
        <f t="shared" si="97"/>
        <v/>
      </c>
      <c r="H880" s="91" t="str">
        <f t="shared" ref="H880:H881" si="103">IF(AND(B880&lt;&gt;"",C880&lt;&gt;"",D880&lt;&gt;""),COUNTIF(I880:I1912,B880),"")</f>
        <v/>
      </c>
      <c r="I880" s="79">
        <f t="shared" si="102"/>
        <v>164</v>
      </c>
      <c r="J880" s="74"/>
      <c r="K880" s="74"/>
      <c r="L880" s="75"/>
      <c r="M880" s="74"/>
      <c r="N880" s="74"/>
      <c r="O880" s="74"/>
      <c r="P880" s="74"/>
      <c r="Q880" s="74"/>
      <c r="R880" s="74"/>
      <c r="S880" s="74"/>
      <c r="T880" s="74"/>
      <c r="U880" s="74"/>
      <c r="V880" s="74"/>
      <c r="W880" s="74"/>
      <c r="X880" s="74"/>
      <c r="Y880" s="74"/>
    </row>
    <row r="881" spans="1:25" ht="50.45">
      <c r="A881" s="74"/>
      <c r="B881" s="91" t="str">
        <f t="shared" si="100"/>
        <v/>
      </c>
      <c r="C881" s="94"/>
      <c r="D881" s="18"/>
      <c r="E881" s="101" t="s">
        <v>997</v>
      </c>
      <c r="F881" s="91" t="str">
        <f t="shared" si="96"/>
        <v/>
      </c>
      <c r="G881" s="91" t="str">
        <f t="shared" si="97"/>
        <v/>
      </c>
      <c r="H881" s="91" t="str">
        <f t="shared" si="103"/>
        <v/>
      </c>
      <c r="I881" s="79">
        <f t="shared" si="102"/>
        <v>164</v>
      </c>
      <c r="J881" s="74"/>
      <c r="K881" s="74"/>
      <c r="L881" s="75"/>
      <c r="M881" s="74"/>
      <c r="N881" s="74"/>
      <c r="O881" s="74"/>
      <c r="P881" s="74"/>
      <c r="Q881" s="74"/>
      <c r="R881" s="74"/>
      <c r="S881" s="74"/>
      <c r="T881" s="74"/>
      <c r="U881" s="74"/>
      <c r="V881" s="74"/>
      <c r="W881" s="74"/>
      <c r="X881" s="74"/>
      <c r="Y881" s="74"/>
    </row>
    <row r="882" spans="1:25" ht="33.6">
      <c r="A882" s="108"/>
      <c r="B882" s="79">
        <f t="shared" si="100"/>
        <v>165</v>
      </c>
      <c r="C882" s="100" t="s">
        <v>998</v>
      </c>
      <c r="D882" s="18" t="s">
        <v>935</v>
      </c>
      <c r="E882" s="103"/>
      <c r="F882" s="91" t="str">
        <f t="shared" si="96"/>
        <v>B</v>
      </c>
      <c r="G882" s="91" t="str">
        <f t="shared" si="97"/>
        <v>Đơn giản</v>
      </c>
      <c r="H882" s="109"/>
      <c r="I882" s="109" t="str">
        <f t="shared" si="102"/>
        <v/>
      </c>
      <c r="J882" s="108"/>
      <c r="K882" s="108"/>
      <c r="L882" s="108"/>
      <c r="M882" s="108"/>
      <c r="N882" s="108"/>
      <c r="O882" s="108"/>
      <c r="P882" s="108"/>
      <c r="Q882" s="108"/>
      <c r="R882" s="108"/>
      <c r="S882" s="108"/>
      <c r="T882" s="108"/>
      <c r="U882" s="108"/>
      <c r="V882" s="108"/>
      <c r="W882" s="108"/>
      <c r="X882" s="108"/>
      <c r="Y882" s="108"/>
    </row>
    <row r="883" spans="1:25" ht="50.45">
      <c r="A883" s="108"/>
      <c r="B883" s="109" t="str">
        <f t="shared" si="100"/>
        <v/>
      </c>
      <c r="C883" s="109"/>
      <c r="D883" s="109"/>
      <c r="E883" s="101" t="s">
        <v>999</v>
      </c>
      <c r="F883" s="109" t="str">
        <f t="shared" si="96"/>
        <v/>
      </c>
      <c r="G883" s="109" t="str">
        <f t="shared" si="97"/>
        <v/>
      </c>
      <c r="H883" s="109"/>
      <c r="I883" s="79">
        <f t="shared" si="102"/>
        <v>165</v>
      </c>
      <c r="J883" s="108"/>
      <c r="K883" s="108"/>
      <c r="L883" s="108"/>
      <c r="M883" s="108"/>
      <c r="N883" s="108"/>
      <c r="O883" s="108"/>
      <c r="P883" s="108"/>
      <c r="Q883" s="108"/>
      <c r="R883" s="108"/>
      <c r="S883" s="108"/>
      <c r="T883" s="108"/>
      <c r="U883" s="108"/>
      <c r="V883" s="108"/>
      <c r="W883" s="108"/>
      <c r="X883" s="108"/>
      <c r="Y883" s="108"/>
    </row>
    <row r="884" spans="1:25" ht="50.45">
      <c r="A884" s="108"/>
      <c r="B884" s="109" t="str">
        <f t="shared" si="100"/>
        <v/>
      </c>
      <c r="C884" s="109"/>
      <c r="D884" s="109"/>
      <c r="E884" s="101" t="s">
        <v>1000</v>
      </c>
      <c r="F884" s="109" t="str">
        <f t="shared" si="96"/>
        <v/>
      </c>
      <c r="G884" s="109" t="str">
        <f t="shared" si="97"/>
        <v/>
      </c>
      <c r="H884" s="109" t="str">
        <f t="shared" ref="H884:H885" si="104">IF(AND(B884&lt;&gt;"",C884&lt;&gt;"",D884&lt;&gt;""),COUNTIF(I884:I1916,B884),"")</f>
        <v/>
      </c>
      <c r="I884" s="79">
        <f t="shared" si="102"/>
        <v>165</v>
      </c>
      <c r="J884" s="108"/>
      <c r="K884" s="108"/>
      <c r="L884" s="108"/>
      <c r="M884" s="108"/>
      <c r="N884" s="108"/>
      <c r="O884" s="108"/>
      <c r="P884" s="108"/>
      <c r="Q884" s="108"/>
      <c r="R884" s="108"/>
      <c r="S884" s="108"/>
      <c r="T884" s="108"/>
      <c r="U884" s="108"/>
      <c r="V884" s="108"/>
      <c r="W884" s="108"/>
      <c r="X884" s="108"/>
      <c r="Y884" s="108"/>
    </row>
    <row r="885" spans="1:25" ht="50.45">
      <c r="A885" s="108"/>
      <c r="B885" s="109" t="str">
        <f t="shared" si="100"/>
        <v/>
      </c>
      <c r="C885" s="109"/>
      <c r="D885" s="109"/>
      <c r="E885" s="101" t="s">
        <v>1001</v>
      </c>
      <c r="F885" s="109" t="str">
        <f t="shared" si="96"/>
        <v/>
      </c>
      <c r="G885" s="109" t="str">
        <f t="shared" si="97"/>
        <v/>
      </c>
      <c r="H885" s="109" t="str">
        <f t="shared" si="104"/>
        <v/>
      </c>
      <c r="I885" s="79">
        <f t="shared" si="102"/>
        <v>165</v>
      </c>
      <c r="J885" s="108"/>
      <c r="K885" s="108"/>
      <c r="L885" s="108"/>
      <c r="M885" s="108"/>
      <c r="N885" s="108"/>
      <c r="O885" s="108"/>
      <c r="P885" s="108"/>
      <c r="Q885" s="108"/>
      <c r="R885" s="108"/>
      <c r="S885" s="108"/>
      <c r="T885" s="108"/>
      <c r="U885" s="108"/>
      <c r="V885" s="108"/>
      <c r="W885" s="108"/>
      <c r="X885" s="108"/>
      <c r="Y885" s="108"/>
    </row>
    <row r="886" spans="1:25" ht="33.6">
      <c r="A886" s="74"/>
      <c r="B886" s="91" t="s">
        <v>1002</v>
      </c>
      <c r="C886" s="106" t="s">
        <v>1003</v>
      </c>
      <c r="D886" s="93"/>
      <c r="E886" s="103"/>
      <c r="F886" s="91" t="str">
        <f t="shared" si="96"/>
        <v/>
      </c>
      <c r="G886" s="91" t="str">
        <f t="shared" si="97"/>
        <v/>
      </c>
      <c r="H886" s="91" t="str">
        <f>IF(AND(B886&lt;&gt;"",C886&lt;&gt;"",D886&lt;&gt;""),COUNTIF(I886:I1914,B886),"")</f>
        <v/>
      </c>
      <c r="I886" s="79" t="str">
        <f>IF(OR(E886="",B886&lt;&gt;""),"",IF(I881&lt;&gt;"",I881,B881))</f>
        <v/>
      </c>
      <c r="J886" s="74"/>
      <c r="K886" s="74"/>
      <c r="L886" s="75"/>
      <c r="M886" s="74"/>
      <c r="N886" s="74"/>
      <c r="O886" s="74"/>
      <c r="P886" s="74"/>
      <c r="Q886" s="74"/>
      <c r="R886" s="74"/>
      <c r="S886" s="74"/>
      <c r="T886" s="74"/>
      <c r="U886" s="74"/>
      <c r="V886" s="74"/>
      <c r="W886" s="74"/>
      <c r="X886" s="74"/>
      <c r="Y886" s="74"/>
    </row>
    <row r="887" spans="1:25" ht="33.6">
      <c r="A887" s="74"/>
      <c r="B887" s="91" t="s">
        <v>620</v>
      </c>
      <c r="C887" s="106" t="s">
        <v>1004</v>
      </c>
      <c r="D887" s="95"/>
      <c r="E887" s="103"/>
      <c r="F887" s="91" t="str">
        <f t="shared" si="96"/>
        <v/>
      </c>
      <c r="G887" s="91" t="str">
        <f t="shared" si="97"/>
        <v/>
      </c>
      <c r="H887" s="91" t="str">
        <f t="shared" ref="H887:H889" si="105">IF(AND(B887&lt;&gt;"",C887&lt;&gt;"",D887&lt;&gt;""),COUNTIF(I887:I1897,B887),"")</f>
        <v/>
      </c>
      <c r="I887" s="79" t="str">
        <f t="shared" ref="I887:I890" si="106">IF(OR(E887="",B887&lt;&gt;""),"",IF(I886&lt;&gt;"",I886,B886))</f>
        <v/>
      </c>
      <c r="J887" s="74"/>
      <c r="K887" s="74"/>
      <c r="L887" s="75"/>
      <c r="M887" s="74"/>
      <c r="N887" s="74"/>
      <c r="O887" s="74"/>
      <c r="P887" s="74"/>
      <c r="Q887" s="74"/>
      <c r="R887" s="74"/>
      <c r="S887" s="74"/>
      <c r="T887" s="74"/>
      <c r="U887" s="74"/>
      <c r="V887" s="74"/>
      <c r="W887" s="74"/>
      <c r="X887" s="74"/>
      <c r="Y887" s="74"/>
    </row>
    <row r="888" spans="1:25" ht="50.45">
      <c r="A888" s="74"/>
      <c r="B888" s="79">
        <f t="shared" ref="B888:B892" si="107">IF(C888="","",IF(F888="B",COUNTIF($F$6:F888,"B"),""))</f>
        <v>166</v>
      </c>
      <c r="C888" s="101" t="s">
        <v>1005</v>
      </c>
      <c r="D888" s="110" t="s">
        <v>858</v>
      </c>
      <c r="E888" s="103"/>
      <c r="F888" s="91" t="str">
        <f t="shared" si="96"/>
        <v>B</v>
      </c>
      <c r="G888" s="91" t="str">
        <f t="shared" si="97"/>
        <v>Đơn giản</v>
      </c>
      <c r="H888" s="91">
        <f t="shared" si="105"/>
        <v>2</v>
      </c>
      <c r="I888" s="79" t="str">
        <f t="shared" si="106"/>
        <v/>
      </c>
      <c r="J888" s="74"/>
      <c r="K888" s="74"/>
      <c r="L888" s="75"/>
      <c r="M888" s="74"/>
      <c r="N888" s="74"/>
      <c r="O888" s="74"/>
      <c r="P888" s="74"/>
      <c r="Q888" s="74"/>
      <c r="R888" s="74"/>
      <c r="S888" s="74"/>
      <c r="T888" s="74"/>
      <c r="U888" s="74"/>
      <c r="V888" s="74"/>
      <c r="W888" s="74"/>
      <c r="X888" s="74"/>
      <c r="Y888" s="74"/>
    </row>
    <row r="889" spans="1:25" ht="100.9">
      <c r="A889" s="74"/>
      <c r="B889" s="91" t="str">
        <f t="shared" si="107"/>
        <v/>
      </c>
      <c r="C889" s="306"/>
      <c r="D889" s="307"/>
      <c r="E889" s="104" t="s">
        <v>1006</v>
      </c>
      <c r="F889" s="91" t="str">
        <f t="shared" si="96"/>
        <v/>
      </c>
      <c r="G889" s="91" t="str">
        <f t="shared" si="97"/>
        <v/>
      </c>
      <c r="H889" s="91" t="str">
        <f t="shared" si="105"/>
        <v/>
      </c>
      <c r="I889" s="79">
        <f t="shared" si="106"/>
        <v>166</v>
      </c>
      <c r="J889" s="74"/>
      <c r="K889" s="74"/>
      <c r="L889" s="75"/>
      <c r="M889" s="74"/>
      <c r="N889" s="74"/>
      <c r="O889" s="74"/>
      <c r="P889" s="74"/>
      <c r="Q889" s="74"/>
      <c r="R889" s="74"/>
      <c r="S889" s="74"/>
      <c r="T889" s="74"/>
      <c r="U889" s="74"/>
      <c r="V889" s="74"/>
      <c r="W889" s="74"/>
      <c r="X889" s="74"/>
      <c r="Y889" s="74"/>
    </row>
    <row r="890" spans="1:25" ht="100.9">
      <c r="A890" s="74"/>
      <c r="B890" s="91" t="str">
        <f t="shared" si="107"/>
        <v/>
      </c>
      <c r="C890" s="308"/>
      <c r="D890" s="95"/>
      <c r="E890" s="104" t="s">
        <v>1007</v>
      </c>
      <c r="F890" s="91" t="str">
        <f t="shared" si="96"/>
        <v/>
      </c>
      <c r="G890" s="91" t="str">
        <f t="shared" si="97"/>
        <v/>
      </c>
      <c r="H890" s="91" t="str">
        <f>IF(AND(B890&lt;&gt;"",C890&lt;&gt;"",D890&lt;&gt;""),COUNTIF(I890:I1901,B890),"")</f>
        <v/>
      </c>
      <c r="I890" s="79">
        <f t="shared" si="106"/>
        <v>166</v>
      </c>
      <c r="J890" s="74"/>
      <c r="K890" s="74"/>
      <c r="L890" s="75"/>
      <c r="M890" s="74"/>
      <c r="N890" s="74"/>
      <c r="O890" s="74"/>
      <c r="P890" s="74"/>
      <c r="Q890" s="74"/>
      <c r="R890" s="74"/>
      <c r="S890" s="74"/>
      <c r="T890" s="74"/>
      <c r="U890" s="74"/>
      <c r="V890" s="74"/>
      <c r="W890" s="74"/>
      <c r="X890" s="74"/>
      <c r="Y890" s="74"/>
    </row>
    <row r="891" spans="1:25" ht="50.45">
      <c r="A891" s="74"/>
      <c r="B891" s="79">
        <f t="shared" si="107"/>
        <v>167</v>
      </c>
      <c r="C891" s="101" t="s">
        <v>1008</v>
      </c>
      <c r="D891" s="112" t="s">
        <v>858</v>
      </c>
      <c r="E891" s="103"/>
      <c r="F891" s="91" t="str">
        <f t="shared" si="96"/>
        <v>B</v>
      </c>
      <c r="G891" s="91" t="str">
        <f t="shared" si="97"/>
        <v>Đơn giản</v>
      </c>
      <c r="H891" s="91">
        <f t="shared" ref="H891:H893" si="108">IF(AND(B891&lt;&gt;"",C891&lt;&gt;"",D891&lt;&gt;""),COUNTIF(I891:I1910,B891),"")</f>
        <v>2</v>
      </c>
      <c r="I891" s="79" t="str">
        <f>IF(OR(E891="",B891&lt;&gt;""),"",IF(#REF!&lt;&gt;"",#REF!,#REF!))</f>
        <v/>
      </c>
      <c r="J891" s="74"/>
      <c r="K891" s="74"/>
      <c r="L891" s="75"/>
      <c r="M891" s="74"/>
      <c r="N891" s="74"/>
      <c r="O891" s="74"/>
      <c r="P891" s="74"/>
      <c r="Q891" s="74"/>
      <c r="R891" s="74"/>
      <c r="S891" s="74"/>
      <c r="T891" s="74"/>
      <c r="U891" s="74"/>
      <c r="V891" s="74"/>
      <c r="W891" s="74"/>
      <c r="X891" s="74"/>
      <c r="Y891" s="74"/>
    </row>
    <row r="892" spans="1:25" ht="84">
      <c r="A892" s="74"/>
      <c r="B892" s="91" t="str">
        <f t="shared" si="107"/>
        <v/>
      </c>
      <c r="C892" s="306"/>
      <c r="D892" s="307"/>
      <c r="E892" s="111" t="s">
        <v>1009</v>
      </c>
      <c r="F892" s="91" t="str">
        <f t="shared" si="96"/>
        <v/>
      </c>
      <c r="G892" s="91" t="str">
        <f t="shared" si="97"/>
        <v/>
      </c>
      <c r="H892" s="91" t="str">
        <f t="shared" si="108"/>
        <v/>
      </c>
      <c r="I892" s="79">
        <f t="shared" ref="I892:I893" si="109">IF(OR(E892="",B892&lt;&gt;""),"",IF(I891&lt;&gt;"",I891,B891))</f>
        <v>167</v>
      </c>
      <c r="J892" s="74"/>
      <c r="K892" s="74"/>
      <c r="L892" s="75"/>
      <c r="M892" s="74"/>
      <c r="N892" s="74"/>
      <c r="O892" s="74"/>
      <c r="P892" s="74"/>
      <c r="Q892" s="74"/>
      <c r="R892" s="74"/>
      <c r="S892" s="74"/>
      <c r="T892" s="74"/>
      <c r="U892" s="74"/>
      <c r="V892" s="74"/>
      <c r="W892" s="74"/>
      <c r="X892" s="74"/>
      <c r="Y892" s="74"/>
    </row>
    <row r="893" spans="1:25" ht="100.9">
      <c r="A893" s="74"/>
      <c r="B893" s="91" t="str">
        <f>IF(C893="","",IF(F893="B",COUNTIF($F$6:F899,"B"),""))</f>
        <v/>
      </c>
      <c r="C893" s="306"/>
      <c r="D893" s="307"/>
      <c r="E893" s="111" t="s">
        <v>1010</v>
      </c>
      <c r="F893" s="91" t="str">
        <f t="shared" si="96"/>
        <v/>
      </c>
      <c r="G893" s="91" t="str">
        <f t="shared" si="97"/>
        <v/>
      </c>
      <c r="H893" s="91" t="str">
        <f t="shared" si="108"/>
        <v/>
      </c>
      <c r="I893" s="79">
        <f t="shared" si="109"/>
        <v>167</v>
      </c>
      <c r="J893" s="74"/>
      <c r="K893" s="74"/>
      <c r="L893" s="75"/>
      <c r="M893" s="74"/>
      <c r="N893" s="74"/>
      <c r="O893" s="74"/>
      <c r="P893" s="74"/>
      <c r="Q893" s="74"/>
      <c r="R893" s="74"/>
      <c r="S893" s="74"/>
      <c r="T893" s="74"/>
      <c r="U893" s="74"/>
      <c r="V893" s="74"/>
      <c r="W893" s="74"/>
      <c r="X893" s="74"/>
      <c r="Y893" s="74"/>
    </row>
    <row r="894" spans="1:25" ht="50.45">
      <c r="A894" s="74"/>
      <c r="B894" s="79">
        <f t="shared" ref="B894:B899" si="110">IF(C894="","",IF(F894="B",COUNTIF($F$6:F894,"B"),""))</f>
        <v>168</v>
      </c>
      <c r="C894" s="101" t="s">
        <v>1011</v>
      </c>
      <c r="D894" s="110" t="s">
        <v>858</v>
      </c>
      <c r="E894" s="103"/>
      <c r="F894" s="91" t="str">
        <f t="shared" si="96"/>
        <v>B</v>
      </c>
      <c r="G894" s="91" t="str">
        <f t="shared" si="97"/>
        <v>Đơn giản</v>
      </c>
      <c r="H894" s="91">
        <f t="shared" ref="H894:H896" si="111">IF(AND(B894&lt;&gt;"",C894&lt;&gt;"",D894&lt;&gt;""),COUNTIF(I894:I1902,B894),"")</f>
        <v>2</v>
      </c>
      <c r="I894" s="79" t="str">
        <f>IF(OR(E894="",B894&lt;&gt;""),"",IF(I890&lt;&gt;"",I890,B890))</f>
        <v/>
      </c>
      <c r="J894" s="74"/>
      <c r="K894" s="74"/>
      <c r="L894" s="75"/>
      <c r="M894" s="74"/>
      <c r="N894" s="74"/>
      <c r="O894" s="74"/>
      <c r="P894" s="74"/>
      <c r="Q894" s="74"/>
      <c r="R894" s="74"/>
      <c r="S894" s="74"/>
      <c r="T894" s="74"/>
      <c r="U894" s="74"/>
      <c r="V894" s="74"/>
      <c r="W894" s="74"/>
      <c r="X894" s="74"/>
      <c r="Y894" s="74"/>
    </row>
    <row r="895" spans="1:25" ht="100.9">
      <c r="A895" s="74"/>
      <c r="B895" s="91" t="str">
        <f t="shared" si="110"/>
        <v/>
      </c>
      <c r="C895" s="306"/>
      <c r="D895" s="307"/>
      <c r="E895" s="101" t="s">
        <v>1012</v>
      </c>
      <c r="F895" s="91" t="str">
        <f t="shared" si="96"/>
        <v/>
      </c>
      <c r="G895" s="91" t="str">
        <f t="shared" si="97"/>
        <v/>
      </c>
      <c r="H895" s="91" t="str">
        <f t="shared" si="111"/>
        <v/>
      </c>
      <c r="I895" s="79">
        <f t="shared" ref="I895:I896" si="112">IF(OR(E895="",B895&lt;&gt;""),"",IF(I894&lt;&gt;"",I894,B894))</f>
        <v>168</v>
      </c>
      <c r="J895" s="74"/>
      <c r="K895" s="74"/>
      <c r="L895" s="75"/>
      <c r="M895" s="74"/>
      <c r="N895" s="74"/>
      <c r="O895" s="74"/>
      <c r="P895" s="74"/>
      <c r="Q895" s="74"/>
      <c r="R895" s="74"/>
      <c r="S895" s="74"/>
      <c r="T895" s="74"/>
      <c r="U895" s="74"/>
      <c r="V895" s="74"/>
      <c r="W895" s="74"/>
      <c r="X895" s="74"/>
      <c r="Y895" s="74"/>
    </row>
    <row r="896" spans="1:25" ht="100.9">
      <c r="A896" s="74"/>
      <c r="B896" s="91" t="str">
        <f t="shared" si="110"/>
        <v/>
      </c>
      <c r="C896" s="306"/>
      <c r="D896" s="307"/>
      <c r="E896" s="101" t="s">
        <v>1013</v>
      </c>
      <c r="F896" s="91" t="str">
        <f t="shared" si="96"/>
        <v/>
      </c>
      <c r="G896" s="91" t="str">
        <f t="shared" si="97"/>
        <v/>
      </c>
      <c r="H896" s="91" t="str">
        <f t="shared" si="111"/>
        <v/>
      </c>
      <c r="I896" s="79">
        <f t="shared" si="112"/>
        <v>168</v>
      </c>
      <c r="J896" s="74"/>
      <c r="K896" s="74"/>
      <c r="L896" s="75"/>
      <c r="M896" s="74"/>
      <c r="N896" s="74"/>
      <c r="O896" s="74"/>
      <c r="P896" s="74"/>
      <c r="Q896" s="74"/>
      <c r="R896" s="74"/>
      <c r="S896" s="74"/>
      <c r="T896" s="74"/>
      <c r="U896" s="74"/>
      <c r="V896" s="74"/>
      <c r="W896" s="74"/>
      <c r="X896" s="74"/>
      <c r="Y896" s="74"/>
    </row>
    <row r="897" spans="1:25" ht="50.45">
      <c r="A897" s="74"/>
      <c r="B897" s="79">
        <f t="shared" si="110"/>
        <v>169</v>
      </c>
      <c r="C897" s="101" t="s">
        <v>1014</v>
      </c>
      <c r="D897" s="112" t="s">
        <v>858</v>
      </c>
      <c r="E897" s="103"/>
      <c r="F897" s="91" t="str">
        <f t="shared" si="96"/>
        <v>B</v>
      </c>
      <c r="G897" s="91" t="str">
        <f t="shared" si="97"/>
        <v>Đơn giản</v>
      </c>
      <c r="H897" s="91">
        <f t="shared" ref="H897:H899" si="113">IF(AND(B897&lt;&gt;"",C897&lt;&gt;"",D897&lt;&gt;""),COUNTIF(I897:I1906,B897),"")</f>
        <v>2</v>
      </c>
      <c r="I897" s="79" t="str">
        <f>IF(OR(E897="",B897&lt;&gt;""),"",IF(#REF!&lt;&gt;"",#REF!,#REF!))</f>
        <v/>
      </c>
      <c r="J897" s="74"/>
      <c r="K897" s="74"/>
      <c r="L897" s="75"/>
      <c r="M897" s="74"/>
      <c r="N897" s="74"/>
      <c r="O897" s="74"/>
      <c r="P897" s="74"/>
      <c r="Q897" s="74"/>
      <c r="R897" s="74"/>
      <c r="S897" s="74"/>
      <c r="T897" s="74"/>
      <c r="U897" s="74"/>
      <c r="V897" s="74"/>
      <c r="W897" s="74"/>
      <c r="X897" s="74"/>
      <c r="Y897" s="74"/>
    </row>
    <row r="898" spans="1:25" ht="100.9">
      <c r="A898" s="74"/>
      <c r="B898" s="91" t="str">
        <f t="shared" si="110"/>
        <v/>
      </c>
      <c r="C898" s="306"/>
      <c r="D898" s="307"/>
      <c r="E898" s="111" t="s">
        <v>1015</v>
      </c>
      <c r="F898" s="91" t="str">
        <f t="shared" si="96"/>
        <v/>
      </c>
      <c r="G898" s="91" t="str">
        <f t="shared" si="97"/>
        <v/>
      </c>
      <c r="H898" s="91" t="str">
        <f t="shared" si="113"/>
        <v/>
      </c>
      <c r="I898" s="79">
        <f t="shared" ref="I898:I899" si="114">IF(OR(E898="",B898&lt;&gt;""),"",IF(I897&lt;&gt;"",I897,B897))</f>
        <v>169</v>
      </c>
      <c r="J898" s="74"/>
      <c r="K898" s="74"/>
      <c r="L898" s="75"/>
      <c r="M898" s="74"/>
      <c r="N898" s="74"/>
      <c r="O898" s="74"/>
      <c r="P898" s="74"/>
      <c r="Q898" s="74"/>
      <c r="R898" s="74"/>
      <c r="S898" s="74"/>
      <c r="T898" s="74"/>
      <c r="U898" s="74"/>
      <c r="V898" s="74"/>
      <c r="W898" s="74"/>
      <c r="X898" s="74"/>
      <c r="Y898" s="74"/>
    </row>
    <row r="899" spans="1:25" ht="100.9">
      <c r="A899" s="74"/>
      <c r="B899" s="91" t="str">
        <f t="shared" si="110"/>
        <v/>
      </c>
      <c r="C899" s="306"/>
      <c r="D899" s="307"/>
      <c r="E899" s="111" t="s">
        <v>1016</v>
      </c>
      <c r="F899" s="91" t="str">
        <f t="shared" si="96"/>
        <v/>
      </c>
      <c r="G899" s="91" t="str">
        <f t="shared" si="97"/>
        <v/>
      </c>
      <c r="H899" s="91" t="str">
        <f t="shared" si="113"/>
        <v/>
      </c>
      <c r="I899" s="79">
        <f t="shared" si="114"/>
        <v>169</v>
      </c>
      <c r="J899" s="74"/>
      <c r="K899" s="74"/>
      <c r="L899" s="75"/>
      <c r="M899" s="74"/>
      <c r="N899" s="74"/>
      <c r="O899" s="74"/>
      <c r="P899" s="74"/>
      <c r="Q899" s="74"/>
      <c r="R899" s="74"/>
      <c r="S899" s="74"/>
      <c r="T899" s="74"/>
      <c r="U899" s="74"/>
      <c r="V899" s="74"/>
      <c r="W899" s="74"/>
      <c r="X899" s="74"/>
      <c r="Y899" s="74"/>
    </row>
    <row r="900" spans="1:25" ht="33.6">
      <c r="A900" s="74"/>
      <c r="B900" s="91" t="s">
        <v>780</v>
      </c>
      <c r="C900" s="106" t="s">
        <v>1017</v>
      </c>
      <c r="D900" s="95"/>
      <c r="E900" s="103"/>
      <c r="F900" s="91" t="str">
        <f t="shared" si="96"/>
        <v/>
      </c>
      <c r="G900" s="91" t="str">
        <f t="shared" si="97"/>
        <v/>
      </c>
      <c r="H900" s="91" t="str">
        <f>IF(AND(B900&lt;&gt;"",C900&lt;&gt;"",D900&lt;&gt;""),COUNTIF(I900:I1917,B900),"")</f>
        <v/>
      </c>
      <c r="I900" s="79" t="str">
        <f>IF(OR(E900="",B900&lt;&gt;""),"",IF(#REF!&lt;&gt;"",#REF!,#REF!))</f>
        <v/>
      </c>
      <c r="J900" s="74"/>
      <c r="K900" s="74"/>
      <c r="L900" s="75"/>
      <c r="M900" s="74"/>
      <c r="N900" s="74"/>
      <c r="O900" s="74"/>
      <c r="P900" s="74"/>
      <c r="Q900" s="74"/>
      <c r="R900" s="74"/>
      <c r="S900" s="74"/>
      <c r="T900" s="74"/>
      <c r="U900" s="74"/>
      <c r="V900" s="74"/>
      <c r="W900" s="74"/>
      <c r="X900" s="74"/>
      <c r="Y900" s="74"/>
    </row>
    <row r="901" spans="1:25" ht="33.6">
      <c r="A901" s="74"/>
      <c r="B901" s="79">
        <f t="shared" ref="B901:B902" si="115">IF(C901="","",IF(F901="B",COUNTIF($F$6:F901,"B"),""))</f>
        <v>170</v>
      </c>
      <c r="C901" s="101" t="s">
        <v>1018</v>
      </c>
      <c r="D901" s="110" t="s">
        <v>858</v>
      </c>
      <c r="E901" s="103"/>
      <c r="F901" s="91" t="str">
        <f t="shared" si="96"/>
        <v>B</v>
      </c>
      <c r="G901" s="91" t="str">
        <f t="shared" si="97"/>
        <v>Đơn giản</v>
      </c>
      <c r="H901" s="91">
        <v>3</v>
      </c>
      <c r="I901" s="79" t="str">
        <f t="shared" ref="I901:I904" si="116">IF(OR(E901="",B901&lt;&gt;""),"",IF(I900&lt;&gt;"",I900,B900))</f>
        <v/>
      </c>
      <c r="J901" s="74"/>
      <c r="K901" s="74"/>
      <c r="L901" s="75"/>
      <c r="M901" s="74"/>
      <c r="N901" s="74"/>
      <c r="O901" s="74"/>
      <c r="P901" s="74"/>
      <c r="Q901" s="74"/>
      <c r="R901" s="74"/>
      <c r="S901" s="74"/>
      <c r="T901" s="74"/>
      <c r="U901" s="74"/>
      <c r="V901" s="74"/>
      <c r="W901" s="74"/>
      <c r="X901" s="74"/>
      <c r="Y901" s="74"/>
    </row>
    <row r="902" spans="1:25" ht="84">
      <c r="A902" s="74"/>
      <c r="B902" s="91" t="str">
        <f t="shared" si="115"/>
        <v/>
      </c>
      <c r="C902" s="306"/>
      <c r="D902" s="307"/>
      <c r="E902" s="101" t="s">
        <v>1019</v>
      </c>
      <c r="F902" s="91" t="str">
        <f t="shared" si="96"/>
        <v/>
      </c>
      <c r="G902" s="91" t="str">
        <f t="shared" si="97"/>
        <v/>
      </c>
      <c r="H902" s="91" t="str">
        <f t="shared" ref="H902:H904" si="117">IF(AND(B902&lt;&gt;"",C902&lt;&gt;"",D902&lt;&gt;""),COUNTIF(I902:I1919,B902),"")</f>
        <v/>
      </c>
      <c r="I902" s="79">
        <f t="shared" si="116"/>
        <v>170</v>
      </c>
      <c r="J902" s="74"/>
      <c r="K902" s="74"/>
      <c r="L902" s="75"/>
      <c r="M902" s="74"/>
      <c r="N902" s="74"/>
      <c r="O902" s="74"/>
      <c r="P902" s="74"/>
      <c r="Q902" s="74"/>
      <c r="R902" s="74"/>
      <c r="S902" s="74"/>
      <c r="T902" s="74"/>
      <c r="U902" s="74"/>
      <c r="V902" s="74"/>
      <c r="W902" s="74"/>
      <c r="X902" s="74"/>
      <c r="Y902" s="74"/>
    </row>
    <row r="903" spans="1:25" ht="84">
      <c r="A903" s="74"/>
      <c r="B903" s="91" t="str">
        <f>IF(C903="","",IF(F903="B",COUNTIF($F$6:F904,"B"),""))</f>
        <v/>
      </c>
      <c r="C903" s="306"/>
      <c r="D903" s="307"/>
      <c r="E903" s="113" t="s">
        <v>1020</v>
      </c>
      <c r="F903" s="91" t="str">
        <f t="shared" si="96"/>
        <v/>
      </c>
      <c r="G903" s="91" t="str">
        <f t="shared" si="97"/>
        <v/>
      </c>
      <c r="H903" s="91" t="str">
        <f t="shared" si="117"/>
        <v/>
      </c>
      <c r="I903" s="79">
        <f t="shared" si="116"/>
        <v>170</v>
      </c>
      <c r="J903" s="74"/>
      <c r="K903" s="74"/>
      <c r="L903" s="75"/>
      <c r="M903" s="74"/>
      <c r="N903" s="74"/>
      <c r="O903" s="74"/>
      <c r="P903" s="74"/>
      <c r="Q903" s="74"/>
      <c r="R903" s="74"/>
      <c r="S903" s="74"/>
      <c r="T903" s="74"/>
      <c r="U903" s="74"/>
      <c r="V903" s="74"/>
      <c r="W903" s="74"/>
      <c r="X903" s="74"/>
      <c r="Y903" s="74"/>
    </row>
    <row r="904" spans="1:25" ht="33.6">
      <c r="A904" s="74"/>
      <c r="B904" s="91" t="str">
        <f t="shared" ref="B904:B906" si="118">IF(C904="","",IF(F904="B",COUNTIF($F$6:F904,"B"),""))</f>
        <v/>
      </c>
      <c r="C904" s="308"/>
      <c r="D904" s="95"/>
      <c r="E904" s="113" t="s">
        <v>1021</v>
      </c>
      <c r="F904" s="91" t="str">
        <f t="shared" si="96"/>
        <v/>
      </c>
      <c r="G904" s="91" t="str">
        <f t="shared" si="97"/>
        <v/>
      </c>
      <c r="H904" s="91" t="str">
        <f t="shared" si="117"/>
        <v/>
      </c>
      <c r="I904" s="79">
        <f t="shared" si="116"/>
        <v>170</v>
      </c>
      <c r="J904" s="74"/>
      <c r="K904" s="74"/>
      <c r="L904" s="75"/>
      <c r="M904" s="74"/>
      <c r="N904" s="74"/>
      <c r="O904" s="74"/>
      <c r="P904" s="74"/>
      <c r="Q904" s="74"/>
      <c r="R904" s="74"/>
      <c r="S904" s="74"/>
      <c r="T904" s="74"/>
      <c r="U904" s="74"/>
      <c r="V904" s="74"/>
      <c r="W904" s="74"/>
      <c r="X904" s="74"/>
      <c r="Y904" s="74"/>
    </row>
    <row r="905" spans="1:25" ht="33.6">
      <c r="A905" s="74"/>
      <c r="B905" s="79">
        <f t="shared" si="118"/>
        <v>171</v>
      </c>
      <c r="C905" s="101" t="s">
        <v>1022</v>
      </c>
      <c r="D905" s="112" t="s">
        <v>858</v>
      </c>
      <c r="E905" s="103"/>
      <c r="F905" s="91" t="str">
        <f t="shared" si="96"/>
        <v>B</v>
      </c>
      <c r="G905" s="91" t="str">
        <f t="shared" si="97"/>
        <v>Đơn giản</v>
      </c>
      <c r="H905" s="91">
        <v>3</v>
      </c>
      <c r="I905" s="79" t="str">
        <f>IF(OR(E905="",B905&lt;&gt;""),"",IF(I916&lt;&gt;"",I916,B916))</f>
        <v/>
      </c>
      <c r="J905" s="74"/>
      <c r="K905" s="74"/>
      <c r="L905" s="75"/>
      <c r="M905" s="74"/>
      <c r="N905" s="74"/>
      <c r="O905" s="74"/>
      <c r="P905" s="74"/>
      <c r="Q905" s="74"/>
      <c r="R905" s="74"/>
      <c r="S905" s="74"/>
      <c r="T905" s="74"/>
      <c r="U905" s="74"/>
      <c r="V905" s="74"/>
      <c r="W905" s="74"/>
      <c r="X905" s="74"/>
      <c r="Y905" s="74"/>
    </row>
    <row r="906" spans="1:25" ht="100.9">
      <c r="A906" s="74"/>
      <c r="B906" s="91" t="str">
        <f t="shared" si="118"/>
        <v/>
      </c>
      <c r="C906" s="306"/>
      <c r="D906" s="307"/>
      <c r="E906" s="101" t="s">
        <v>1023</v>
      </c>
      <c r="F906" s="91" t="str">
        <f t="shared" si="96"/>
        <v/>
      </c>
      <c r="G906" s="91" t="str">
        <f t="shared" si="97"/>
        <v/>
      </c>
      <c r="H906" s="91" t="str">
        <f>IF(AND(B906&lt;&gt;"",C906&lt;&gt;"",D906&lt;&gt;""),COUNTIF(I906:I1931,B906),"")</f>
        <v/>
      </c>
      <c r="I906" s="79">
        <f>IF(OR(E906="",B906&lt;&gt;""),"",IF(I905&lt;&gt;"",I905,B905))</f>
        <v>171</v>
      </c>
      <c r="J906" s="74"/>
      <c r="K906" s="74"/>
      <c r="L906" s="75"/>
      <c r="M906" s="74"/>
      <c r="N906" s="74"/>
      <c r="O906" s="74"/>
      <c r="P906" s="74"/>
      <c r="Q906" s="74"/>
      <c r="R906" s="74"/>
      <c r="S906" s="74"/>
      <c r="T906" s="74"/>
      <c r="U906" s="74"/>
      <c r="V906" s="74"/>
      <c r="W906" s="74"/>
      <c r="X906" s="74"/>
      <c r="Y906" s="74"/>
    </row>
    <row r="907" spans="1:25" ht="50.45">
      <c r="A907" s="74"/>
      <c r="B907" s="91"/>
      <c r="C907" s="306"/>
      <c r="D907" s="307"/>
      <c r="E907" s="114" t="s">
        <v>1024</v>
      </c>
      <c r="F907" s="91"/>
      <c r="G907" s="91"/>
      <c r="H907" s="91"/>
      <c r="I907" s="79"/>
      <c r="J907" s="74"/>
      <c r="K907" s="74"/>
      <c r="L907" s="75"/>
      <c r="M907" s="74"/>
      <c r="N907" s="74"/>
      <c r="O907" s="74"/>
      <c r="P907" s="74"/>
      <c r="Q907" s="74"/>
      <c r="R907" s="74"/>
      <c r="S907" s="74"/>
      <c r="T907" s="74"/>
      <c r="U907" s="74"/>
      <c r="V907" s="74"/>
      <c r="W907" s="74"/>
      <c r="X907" s="74"/>
      <c r="Y907" s="74"/>
    </row>
    <row r="908" spans="1:25" ht="33.6">
      <c r="A908" s="74"/>
      <c r="B908" s="91" t="str">
        <f>IF(C908="","",IF(F908="B",COUNTIF($F$6:F916,"B"),""))</f>
        <v/>
      </c>
      <c r="C908" s="306"/>
      <c r="D908" s="307"/>
      <c r="E908" s="101" t="s">
        <v>1025</v>
      </c>
      <c r="F908" s="91" t="str">
        <f t="shared" ref="F908:F968" si="119">IF(D908="","","B")</f>
        <v/>
      </c>
      <c r="G908" s="91" t="str">
        <f t="shared" ref="G908:G968" si="120">IF(AND(B908&lt;&gt;"",C908&lt;&gt;"",D908&lt;&gt;""),IF(H908&lt;4,$K$1,IF(H908&lt;8,$K$2,$K$3)),"")</f>
        <v/>
      </c>
      <c r="H908" s="91" t="str">
        <f>IF(AND(B908&lt;&gt;"",C908&lt;&gt;"",D908&lt;&gt;""),COUNTIF(I908:I1932,B908),"")</f>
        <v/>
      </c>
      <c r="I908" s="79">
        <f>IF(OR(E908="",B908&lt;&gt;""),"",IF(I906&lt;&gt;"",I906,B906))</f>
        <v>171</v>
      </c>
      <c r="J908" s="74"/>
      <c r="K908" s="74"/>
      <c r="L908" s="75"/>
      <c r="M908" s="74"/>
      <c r="N908" s="74"/>
      <c r="O908" s="74"/>
      <c r="P908" s="74"/>
      <c r="Q908" s="74"/>
      <c r="R908" s="74"/>
      <c r="S908" s="74"/>
      <c r="T908" s="74"/>
      <c r="U908" s="74"/>
      <c r="V908" s="74"/>
      <c r="W908" s="74"/>
      <c r="X908" s="74"/>
      <c r="Y908" s="74"/>
    </row>
    <row r="909" spans="1:25" ht="33.6">
      <c r="A909" s="74"/>
      <c r="B909" s="79">
        <f t="shared" ref="B909:B910" si="121">IF(C909="","",IF(F909="B",COUNTIF($F$6:F909,"B"),""))</f>
        <v>172</v>
      </c>
      <c r="C909" s="101" t="s">
        <v>1026</v>
      </c>
      <c r="D909" s="110" t="s">
        <v>858</v>
      </c>
      <c r="E909" s="103"/>
      <c r="F909" s="91" t="str">
        <f t="shared" si="119"/>
        <v>B</v>
      </c>
      <c r="G909" s="91" t="str">
        <f t="shared" si="120"/>
        <v>Đơn giản</v>
      </c>
      <c r="H909" s="91">
        <f t="shared" ref="H909:H916" si="122">IF(AND(B909&lt;&gt;"",C909&lt;&gt;"",D909&lt;&gt;""),COUNTIF(I909:I1922,B909),"")</f>
        <v>3</v>
      </c>
      <c r="I909" s="79" t="str">
        <f>IF(OR(E909="",B909&lt;&gt;""),"",IF(I904&lt;&gt;"",I904,B904))</f>
        <v/>
      </c>
      <c r="J909" s="74"/>
      <c r="K909" s="74"/>
      <c r="L909" s="75"/>
      <c r="M909" s="74"/>
      <c r="N909" s="74"/>
      <c r="O909" s="74"/>
      <c r="P909" s="74"/>
      <c r="Q909" s="74"/>
      <c r="R909" s="74"/>
      <c r="S909" s="74"/>
      <c r="T909" s="74"/>
      <c r="U909" s="74"/>
      <c r="V909" s="74"/>
      <c r="W909" s="74"/>
      <c r="X909" s="74"/>
      <c r="Y909" s="74"/>
    </row>
    <row r="910" spans="1:25" ht="84">
      <c r="A910" s="74"/>
      <c r="B910" s="91" t="str">
        <f t="shared" si="121"/>
        <v/>
      </c>
      <c r="C910" s="306"/>
      <c r="D910" s="307"/>
      <c r="E910" s="101" t="s">
        <v>1027</v>
      </c>
      <c r="F910" s="91" t="str">
        <f t="shared" si="119"/>
        <v/>
      </c>
      <c r="G910" s="91" t="str">
        <f t="shared" si="120"/>
        <v/>
      </c>
      <c r="H910" s="91" t="str">
        <f t="shared" si="122"/>
        <v/>
      </c>
      <c r="I910" s="79">
        <f t="shared" ref="I910:I916" si="123">IF(OR(E910="",B910&lt;&gt;""),"",IF(I909&lt;&gt;"",I909,B909))</f>
        <v>172</v>
      </c>
      <c r="J910" s="74"/>
      <c r="K910" s="74"/>
      <c r="L910" s="75"/>
      <c r="M910" s="74"/>
      <c r="N910" s="74"/>
      <c r="O910" s="74"/>
      <c r="P910" s="74"/>
      <c r="Q910" s="74"/>
      <c r="R910" s="74"/>
      <c r="S910" s="74"/>
      <c r="T910" s="74"/>
      <c r="U910" s="74"/>
      <c r="V910" s="74"/>
      <c r="W910" s="74"/>
      <c r="X910" s="74"/>
      <c r="Y910" s="74"/>
    </row>
    <row r="911" spans="1:25" ht="84">
      <c r="A911" s="74"/>
      <c r="B911" s="91" t="str">
        <f>IF(C911="","",IF(F911="B",COUNTIF($F$6:F912,"B"),""))</f>
        <v/>
      </c>
      <c r="C911" s="306"/>
      <c r="D911" s="307"/>
      <c r="E911" s="101" t="s">
        <v>1028</v>
      </c>
      <c r="F911" s="91" t="str">
        <f t="shared" si="119"/>
        <v/>
      </c>
      <c r="G911" s="91" t="str">
        <f t="shared" si="120"/>
        <v/>
      </c>
      <c r="H911" s="91" t="str">
        <f t="shared" si="122"/>
        <v/>
      </c>
      <c r="I911" s="79">
        <f t="shared" si="123"/>
        <v>172</v>
      </c>
      <c r="J911" s="74"/>
      <c r="K911" s="74"/>
      <c r="L911" s="75"/>
      <c r="M911" s="74"/>
      <c r="N911" s="74"/>
      <c r="O911" s="74"/>
      <c r="P911" s="74"/>
      <c r="Q911" s="74"/>
      <c r="R911" s="74"/>
      <c r="S911" s="74"/>
      <c r="T911" s="74"/>
      <c r="U911" s="74"/>
      <c r="V911" s="74"/>
      <c r="W911" s="74"/>
      <c r="X911" s="74"/>
      <c r="Y911" s="74"/>
    </row>
    <row r="912" spans="1:25" ht="50.45">
      <c r="A912" s="74"/>
      <c r="B912" s="91" t="str">
        <f t="shared" ref="B912:B914" si="124">IF(C912="","",IF(F912="B",COUNTIF($F$6:F912,"B"),""))</f>
        <v/>
      </c>
      <c r="C912" s="306"/>
      <c r="D912" s="307"/>
      <c r="E912" s="101" t="s">
        <v>1029</v>
      </c>
      <c r="F912" s="91" t="str">
        <f t="shared" si="119"/>
        <v/>
      </c>
      <c r="G912" s="91" t="str">
        <f t="shared" si="120"/>
        <v/>
      </c>
      <c r="H912" s="91" t="str">
        <f t="shared" si="122"/>
        <v/>
      </c>
      <c r="I912" s="79">
        <f t="shared" si="123"/>
        <v>172</v>
      </c>
      <c r="J912" s="74"/>
      <c r="K912" s="74"/>
      <c r="L912" s="75"/>
      <c r="M912" s="74"/>
      <c r="N912" s="74"/>
      <c r="O912" s="74"/>
      <c r="P912" s="74"/>
      <c r="Q912" s="74"/>
      <c r="R912" s="74"/>
      <c r="S912" s="74"/>
      <c r="T912" s="74"/>
      <c r="U912" s="74"/>
      <c r="V912" s="74"/>
      <c r="W912" s="74"/>
      <c r="X912" s="74"/>
      <c r="Y912" s="74"/>
    </row>
    <row r="913" spans="1:25" ht="33.6">
      <c r="A913" s="74"/>
      <c r="B913" s="79">
        <f t="shared" si="124"/>
        <v>173</v>
      </c>
      <c r="C913" s="101" t="s">
        <v>1030</v>
      </c>
      <c r="D913" s="112" t="s">
        <v>858</v>
      </c>
      <c r="E913" s="103"/>
      <c r="F913" s="91" t="str">
        <f t="shared" si="119"/>
        <v>B</v>
      </c>
      <c r="G913" s="91" t="str">
        <f t="shared" si="120"/>
        <v>Đơn giản</v>
      </c>
      <c r="H913" s="91">
        <f t="shared" si="122"/>
        <v>3</v>
      </c>
      <c r="I913" s="79" t="str">
        <f t="shared" si="123"/>
        <v/>
      </c>
      <c r="J913" s="74"/>
      <c r="K913" s="74"/>
      <c r="L913" s="75"/>
      <c r="M913" s="74"/>
      <c r="N913" s="74"/>
      <c r="O913" s="74"/>
      <c r="P913" s="74"/>
      <c r="Q913" s="74"/>
      <c r="R913" s="74"/>
      <c r="S913" s="74"/>
      <c r="T913" s="74"/>
      <c r="U913" s="74"/>
      <c r="V913" s="74"/>
      <c r="W913" s="74"/>
      <c r="X913" s="74"/>
      <c r="Y913" s="74"/>
    </row>
    <row r="914" spans="1:25" ht="84">
      <c r="A914" s="74"/>
      <c r="B914" s="91" t="str">
        <f t="shared" si="124"/>
        <v/>
      </c>
      <c r="C914" s="306"/>
      <c r="D914" s="307"/>
      <c r="E914" s="101" t="s">
        <v>1031</v>
      </c>
      <c r="F914" s="91" t="str">
        <f t="shared" si="119"/>
        <v/>
      </c>
      <c r="G914" s="91" t="str">
        <f t="shared" si="120"/>
        <v/>
      </c>
      <c r="H914" s="91" t="str">
        <f t="shared" si="122"/>
        <v/>
      </c>
      <c r="I914" s="79">
        <f t="shared" si="123"/>
        <v>173</v>
      </c>
      <c r="J914" s="74"/>
      <c r="K914" s="74"/>
      <c r="L914" s="75"/>
      <c r="M914" s="74"/>
      <c r="N914" s="74"/>
      <c r="O914" s="74"/>
      <c r="P914" s="74"/>
      <c r="Q914" s="74"/>
      <c r="R914" s="74"/>
      <c r="S914" s="74"/>
      <c r="T914" s="74"/>
      <c r="U914" s="74"/>
      <c r="V914" s="74"/>
      <c r="W914" s="74"/>
      <c r="X914" s="74"/>
      <c r="Y914" s="74"/>
    </row>
    <row r="915" spans="1:25" ht="84">
      <c r="A915" s="74"/>
      <c r="B915" s="91" t="str">
        <f>IF(C915="","",IF(F915="B",COUNTIF($F$6:F916,"B"),""))</f>
        <v/>
      </c>
      <c r="C915" s="306"/>
      <c r="D915" s="307"/>
      <c r="E915" s="101" t="s">
        <v>1032</v>
      </c>
      <c r="F915" s="91" t="str">
        <f t="shared" si="119"/>
        <v/>
      </c>
      <c r="G915" s="91" t="str">
        <f t="shared" si="120"/>
        <v/>
      </c>
      <c r="H915" s="91" t="str">
        <f t="shared" si="122"/>
        <v/>
      </c>
      <c r="I915" s="79">
        <f t="shared" si="123"/>
        <v>173</v>
      </c>
      <c r="J915" s="74"/>
      <c r="K915" s="74"/>
      <c r="L915" s="75"/>
      <c r="M915" s="74"/>
      <c r="N915" s="74"/>
      <c r="O915" s="74"/>
      <c r="P915" s="74"/>
      <c r="Q915" s="74"/>
      <c r="R915" s="74"/>
      <c r="S915" s="74"/>
      <c r="T915" s="74"/>
      <c r="U915" s="74"/>
      <c r="V915" s="74"/>
      <c r="W915" s="74"/>
      <c r="X915" s="74"/>
      <c r="Y915" s="74"/>
    </row>
    <row r="916" spans="1:25" ht="33.6">
      <c r="A916" s="74"/>
      <c r="B916" s="91" t="str">
        <f>IF(C916="","",IF(F916="B",COUNTIF($F$6:F916,"B"),""))</f>
        <v/>
      </c>
      <c r="C916" s="306"/>
      <c r="D916" s="307"/>
      <c r="E916" s="101" t="s">
        <v>1033</v>
      </c>
      <c r="F916" s="91" t="str">
        <f t="shared" si="119"/>
        <v/>
      </c>
      <c r="G916" s="91" t="str">
        <f t="shared" si="120"/>
        <v/>
      </c>
      <c r="H916" s="91" t="str">
        <f t="shared" si="122"/>
        <v/>
      </c>
      <c r="I916" s="79">
        <f t="shared" si="123"/>
        <v>173</v>
      </c>
      <c r="J916" s="74"/>
      <c r="K916" s="74"/>
      <c r="L916" s="75"/>
      <c r="M916" s="74"/>
      <c r="N916" s="74"/>
      <c r="O916" s="74"/>
      <c r="P916" s="74"/>
      <c r="Q916" s="74"/>
      <c r="R916" s="74"/>
      <c r="S916" s="74"/>
      <c r="T916" s="74"/>
      <c r="U916" s="74"/>
      <c r="V916" s="74"/>
      <c r="W916" s="74"/>
      <c r="X916" s="74"/>
      <c r="Y916" s="74"/>
    </row>
    <row r="917" spans="1:25" ht="18">
      <c r="A917" s="74"/>
      <c r="B917" s="91" t="s">
        <v>868</v>
      </c>
      <c r="C917" s="309" t="s">
        <v>1034</v>
      </c>
      <c r="D917" s="307"/>
      <c r="E917" s="103"/>
      <c r="F917" s="91" t="str">
        <f t="shared" si="119"/>
        <v/>
      </c>
      <c r="G917" s="91" t="str">
        <f t="shared" si="120"/>
        <v/>
      </c>
      <c r="H917" s="91" t="str">
        <f>IF(AND(B917&lt;&gt;"",C917&lt;&gt;"",D917&lt;&gt;""),COUNTIF(I917:I1937,B917),"")</f>
        <v/>
      </c>
      <c r="I917" s="79" t="str">
        <f>IF(OR(E917="",B917&lt;&gt;""),"",IF(#REF!&lt;&gt;"",#REF!,#REF!))</f>
        <v/>
      </c>
      <c r="J917" s="74"/>
      <c r="K917" s="74"/>
      <c r="L917" s="75"/>
      <c r="M917" s="74"/>
      <c r="N917" s="74"/>
      <c r="O917" s="74"/>
      <c r="P917" s="74"/>
      <c r="Q917" s="74"/>
      <c r="R917" s="74"/>
      <c r="S917" s="74"/>
      <c r="T917" s="74"/>
      <c r="U917" s="74"/>
      <c r="V917" s="74"/>
      <c r="W917" s="74"/>
      <c r="X917" s="74"/>
      <c r="Y917" s="74"/>
    </row>
    <row r="918" spans="1:25" ht="18">
      <c r="A918" s="74"/>
      <c r="B918" s="79">
        <f t="shared" ref="B918:B945" si="125">IF(C918="","",IF(F918="B",COUNTIF($F$6:F918,"B"),""))</f>
        <v>174</v>
      </c>
      <c r="C918" s="115" t="s">
        <v>1035</v>
      </c>
      <c r="D918" s="112" t="s">
        <v>858</v>
      </c>
      <c r="E918" s="103"/>
      <c r="F918" s="91" t="str">
        <f t="shared" si="119"/>
        <v>B</v>
      </c>
      <c r="G918" s="91" t="str">
        <f t="shared" si="120"/>
        <v>Đơn giản</v>
      </c>
      <c r="H918" s="91">
        <v>2</v>
      </c>
      <c r="I918" s="79" t="str">
        <f t="shared" ref="I918:I955" si="126">IF(OR(E918="",B918&lt;&gt;""),"",IF(I917&lt;&gt;"",I917,B917))</f>
        <v/>
      </c>
      <c r="J918" s="74"/>
      <c r="K918" s="74"/>
      <c r="L918" s="75"/>
      <c r="M918" s="74"/>
      <c r="N918" s="74"/>
      <c r="O918" s="74"/>
      <c r="P918" s="74"/>
      <c r="Q918" s="74"/>
      <c r="R918" s="74"/>
      <c r="S918" s="74"/>
      <c r="T918" s="74"/>
      <c r="U918" s="74"/>
      <c r="V918" s="74"/>
      <c r="W918" s="74"/>
      <c r="X918" s="74"/>
      <c r="Y918" s="74"/>
    </row>
    <row r="919" spans="1:25" ht="67.150000000000006">
      <c r="A919" s="74"/>
      <c r="B919" s="91" t="str">
        <f t="shared" si="125"/>
        <v/>
      </c>
      <c r="C919" s="306"/>
      <c r="D919" s="307"/>
      <c r="E919" s="101" t="s">
        <v>1036</v>
      </c>
      <c r="F919" s="91" t="str">
        <f t="shared" si="119"/>
        <v/>
      </c>
      <c r="G919" s="91" t="str">
        <f t="shared" si="120"/>
        <v/>
      </c>
      <c r="H919" s="91" t="str">
        <f>IF(AND(B919&lt;&gt;"",C919&lt;&gt;"",D919&lt;&gt;""),COUNTIF(I919:I1939,B919),"")</f>
        <v/>
      </c>
      <c r="I919" s="79">
        <f t="shared" si="126"/>
        <v>174</v>
      </c>
      <c r="J919" s="74"/>
      <c r="K919" s="74"/>
      <c r="L919" s="75"/>
      <c r="M919" s="74"/>
      <c r="N919" s="74"/>
      <c r="O919" s="74"/>
      <c r="P919" s="74"/>
      <c r="Q919" s="74"/>
      <c r="R919" s="74"/>
      <c r="S919" s="74"/>
      <c r="T919" s="74"/>
      <c r="U919" s="74"/>
      <c r="V919" s="74"/>
      <c r="W919" s="74"/>
      <c r="X919" s="74"/>
      <c r="Y919" s="74"/>
    </row>
    <row r="920" spans="1:25" ht="67.150000000000006">
      <c r="A920" s="74"/>
      <c r="B920" s="91" t="str">
        <f t="shared" si="125"/>
        <v/>
      </c>
      <c r="C920" s="306"/>
      <c r="D920" s="307"/>
      <c r="E920" s="111" t="s">
        <v>1037</v>
      </c>
      <c r="F920" s="91" t="str">
        <f t="shared" si="119"/>
        <v/>
      </c>
      <c r="G920" s="91" t="str">
        <f t="shared" si="120"/>
        <v/>
      </c>
      <c r="H920" s="91" t="str">
        <f t="shared" ref="H920:H921" si="127">IF(AND(B920&lt;&gt;"",C920&lt;&gt;"",D920&lt;&gt;""),COUNTIF(I920:I1919,B920),"")</f>
        <v/>
      </c>
      <c r="I920" s="79">
        <f t="shared" si="126"/>
        <v>174</v>
      </c>
      <c r="J920" s="74"/>
      <c r="K920" s="74"/>
      <c r="L920" s="75"/>
      <c r="M920" s="74"/>
      <c r="N920" s="74"/>
      <c r="O920" s="74"/>
      <c r="P920" s="74"/>
      <c r="Q920" s="74"/>
      <c r="R920" s="74"/>
      <c r="S920" s="74"/>
      <c r="T920" s="74"/>
      <c r="U920" s="74"/>
      <c r="V920" s="74"/>
      <c r="W920" s="74"/>
      <c r="X920" s="74"/>
      <c r="Y920" s="74"/>
    </row>
    <row r="921" spans="1:25" ht="33.6">
      <c r="A921" s="74"/>
      <c r="B921" s="91" t="str">
        <f t="shared" si="125"/>
        <v/>
      </c>
      <c r="C921" s="306"/>
      <c r="D921" s="307"/>
      <c r="E921" s="111" t="s">
        <v>1038</v>
      </c>
      <c r="F921" s="91" t="str">
        <f t="shared" si="119"/>
        <v/>
      </c>
      <c r="G921" s="91" t="str">
        <f t="shared" si="120"/>
        <v/>
      </c>
      <c r="H921" s="91" t="str">
        <f t="shared" si="127"/>
        <v/>
      </c>
      <c r="I921" s="79">
        <f t="shared" si="126"/>
        <v>174</v>
      </c>
      <c r="J921" s="74"/>
      <c r="K921" s="74"/>
      <c r="L921" s="75"/>
      <c r="M921" s="74"/>
      <c r="N921" s="74"/>
      <c r="O921" s="74"/>
      <c r="P921" s="74"/>
      <c r="Q921" s="74"/>
      <c r="R921" s="74"/>
      <c r="S921" s="74"/>
      <c r="T921" s="74"/>
      <c r="U921" s="74"/>
      <c r="V921" s="74"/>
      <c r="W921" s="74"/>
      <c r="X921" s="74"/>
      <c r="Y921" s="74"/>
    </row>
    <row r="922" spans="1:25" ht="18">
      <c r="A922" s="74"/>
      <c r="B922" s="79">
        <f t="shared" si="125"/>
        <v>175</v>
      </c>
      <c r="C922" s="115" t="s">
        <v>1039</v>
      </c>
      <c r="D922" s="112" t="s">
        <v>858</v>
      </c>
      <c r="E922" s="103"/>
      <c r="F922" s="91" t="str">
        <f t="shared" si="119"/>
        <v>B</v>
      </c>
      <c r="G922" s="91" t="str">
        <f t="shared" si="120"/>
        <v>Đơn giản</v>
      </c>
      <c r="H922" s="91">
        <v>2</v>
      </c>
      <c r="I922" s="79" t="str">
        <f t="shared" si="126"/>
        <v/>
      </c>
      <c r="J922" s="74"/>
      <c r="K922" s="74"/>
      <c r="L922" s="75"/>
      <c r="M922" s="74"/>
      <c r="N922" s="74"/>
      <c r="O922" s="74"/>
      <c r="P922" s="74"/>
      <c r="Q922" s="74"/>
      <c r="R922" s="74"/>
      <c r="S922" s="74"/>
      <c r="T922" s="74"/>
      <c r="U922" s="74"/>
      <c r="V922" s="74"/>
      <c r="W922" s="74"/>
      <c r="X922" s="74"/>
      <c r="Y922" s="74"/>
    </row>
    <row r="923" spans="1:25" ht="84">
      <c r="A923" s="74"/>
      <c r="B923" s="91" t="str">
        <f t="shared" si="125"/>
        <v/>
      </c>
      <c r="C923" s="306"/>
      <c r="D923" s="307"/>
      <c r="E923" s="101" t="s">
        <v>1040</v>
      </c>
      <c r="F923" s="91" t="str">
        <f t="shared" si="119"/>
        <v/>
      </c>
      <c r="G923" s="91" t="str">
        <f t="shared" si="120"/>
        <v/>
      </c>
      <c r="H923" s="91" t="str">
        <f t="shared" ref="H923:H925" si="128">IF(AND(B923&lt;&gt;"",C923&lt;&gt;"",D923&lt;&gt;""),COUNTIF(I923:I1922,B923),"")</f>
        <v/>
      </c>
      <c r="I923" s="79">
        <f t="shared" si="126"/>
        <v>175</v>
      </c>
      <c r="J923" s="74"/>
      <c r="K923" s="74"/>
      <c r="L923" s="75"/>
      <c r="M923" s="74"/>
      <c r="N923" s="74"/>
      <c r="O923" s="74"/>
      <c r="P923" s="74"/>
      <c r="Q923" s="74"/>
      <c r="R923" s="74"/>
      <c r="S923" s="74"/>
      <c r="T923" s="74"/>
      <c r="U923" s="74"/>
      <c r="V923" s="74"/>
      <c r="W923" s="74"/>
      <c r="X923" s="74"/>
      <c r="Y923" s="74"/>
    </row>
    <row r="924" spans="1:25" ht="67.150000000000006">
      <c r="A924" s="74"/>
      <c r="B924" s="91" t="str">
        <f t="shared" si="125"/>
        <v/>
      </c>
      <c r="C924" s="306"/>
      <c r="D924" s="307"/>
      <c r="E924" s="111" t="s">
        <v>1041</v>
      </c>
      <c r="F924" s="91" t="str">
        <f t="shared" si="119"/>
        <v/>
      </c>
      <c r="G924" s="91" t="str">
        <f t="shared" si="120"/>
        <v/>
      </c>
      <c r="H924" s="91" t="str">
        <f t="shared" si="128"/>
        <v/>
      </c>
      <c r="I924" s="79">
        <f t="shared" si="126"/>
        <v>175</v>
      </c>
      <c r="J924" s="74"/>
      <c r="K924" s="74"/>
      <c r="L924" s="75"/>
      <c r="M924" s="74"/>
      <c r="N924" s="74"/>
      <c r="O924" s="74"/>
      <c r="P924" s="74"/>
      <c r="Q924" s="74"/>
      <c r="R924" s="74"/>
      <c r="S924" s="74"/>
      <c r="T924" s="74"/>
      <c r="U924" s="74"/>
      <c r="V924" s="74"/>
      <c r="W924" s="74"/>
      <c r="X924" s="74"/>
      <c r="Y924" s="74"/>
    </row>
    <row r="925" spans="1:25" ht="50.45">
      <c r="A925" s="74"/>
      <c r="B925" s="91" t="str">
        <f t="shared" si="125"/>
        <v/>
      </c>
      <c r="C925" s="306"/>
      <c r="D925" s="307"/>
      <c r="E925" s="111" t="s">
        <v>1042</v>
      </c>
      <c r="F925" s="91" t="str">
        <f t="shared" si="119"/>
        <v/>
      </c>
      <c r="G925" s="91" t="str">
        <f t="shared" si="120"/>
        <v/>
      </c>
      <c r="H925" s="91" t="str">
        <f t="shared" si="128"/>
        <v/>
      </c>
      <c r="I925" s="79">
        <f t="shared" si="126"/>
        <v>175</v>
      </c>
      <c r="J925" s="74"/>
      <c r="K925" s="74"/>
      <c r="L925" s="75"/>
      <c r="M925" s="74"/>
      <c r="N925" s="74"/>
      <c r="O925" s="74"/>
      <c r="P925" s="74"/>
      <c r="Q925" s="74"/>
      <c r="R925" s="74"/>
      <c r="S925" s="74"/>
      <c r="T925" s="74"/>
      <c r="U925" s="74"/>
      <c r="V925" s="74"/>
      <c r="W925" s="74"/>
      <c r="X925" s="74"/>
      <c r="Y925" s="74"/>
    </row>
    <row r="926" spans="1:25" ht="18">
      <c r="A926" s="74"/>
      <c r="B926" s="79">
        <f t="shared" si="125"/>
        <v>176</v>
      </c>
      <c r="C926" s="115" t="s">
        <v>1043</v>
      </c>
      <c r="D926" s="112" t="s">
        <v>858</v>
      </c>
      <c r="E926" s="103"/>
      <c r="F926" s="91" t="str">
        <f t="shared" si="119"/>
        <v>B</v>
      </c>
      <c r="G926" s="91" t="str">
        <f t="shared" si="120"/>
        <v>Đơn giản</v>
      </c>
      <c r="H926" s="91">
        <v>2</v>
      </c>
      <c r="I926" s="79" t="str">
        <f t="shared" si="126"/>
        <v/>
      </c>
      <c r="J926" s="74"/>
      <c r="K926" s="74"/>
      <c r="L926" s="75"/>
      <c r="M926" s="74"/>
      <c r="N926" s="74"/>
      <c r="O926" s="74"/>
      <c r="P926" s="74"/>
      <c r="Q926" s="74"/>
      <c r="R926" s="74"/>
      <c r="S926" s="74"/>
      <c r="T926" s="74"/>
      <c r="U926" s="74"/>
      <c r="V926" s="74"/>
      <c r="W926" s="74"/>
      <c r="X926" s="74"/>
      <c r="Y926" s="74"/>
    </row>
    <row r="927" spans="1:25" ht="67.150000000000006">
      <c r="A927" s="74"/>
      <c r="B927" s="91" t="str">
        <f t="shared" si="125"/>
        <v/>
      </c>
      <c r="C927" s="306"/>
      <c r="D927" s="307"/>
      <c r="E927" s="101" t="s">
        <v>1044</v>
      </c>
      <c r="F927" s="91" t="str">
        <f t="shared" si="119"/>
        <v/>
      </c>
      <c r="G927" s="91" t="str">
        <f t="shared" si="120"/>
        <v/>
      </c>
      <c r="H927" s="91" t="str">
        <f t="shared" ref="H927:H929" si="129">IF(AND(B927&lt;&gt;"",C927&lt;&gt;"",D927&lt;&gt;""),COUNTIF(I927:I1926,B927),"")</f>
        <v/>
      </c>
      <c r="I927" s="79">
        <f t="shared" si="126"/>
        <v>176</v>
      </c>
      <c r="J927" s="74"/>
      <c r="K927" s="74"/>
      <c r="L927" s="75"/>
      <c r="M927" s="74"/>
      <c r="N927" s="74"/>
      <c r="O927" s="74"/>
      <c r="P927" s="74"/>
      <c r="Q927" s="74"/>
      <c r="R927" s="74"/>
      <c r="S927" s="74"/>
      <c r="T927" s="74"/>
      <c r="U927" s="74"/>
      <c r="V927" s="74"/>
      <c r="W927" s="74"/>
      <c r="X927" s="74"/>
      <c r="Y927" s="74"/>
    </row>
    <row r="928" spans="1:25" ht="67.150000000000006">
      <c r="A928" s="74"/>
      <c r="B928" s="91" t="str">
        <f t="shared" si="125"/>
        <v/>
      </c>
      <c r="C928" s="116"/>
      <c r="D928" s="307"/>
      <c r="E928" s="111" t="s">
        <v>1045</v>
      </c>
      <c r="F928" s="91" t="str">
        <f t="shared" si="119"/>
        <v/>
      </c>
      <c r="G928" s="91" t="str">
        <f t="shared" si="120"/>
        <v/>
      </c>
      <c r="H928" s="91" t="str">
        <f t="shared" si="129"/>
        <v/>
      </c>
      <c r="I928" s="79">
        <f t="shared" si="126"/>
        <v>176</v>
      </c>
      <c r="J928" s="74"/>
      <c r="K928" s="74"/>
      <c r="L928" s="75"/>
      <c r="M928" s="74"/>
      <c r="N928" s="74"/>
      <c r="O928" s="74"/>
      <c r="P928" s="74"/>
      <c r="Q928" s="74"/>
      <c r="R928" s="74"/>
      <c r="S928" s="74"/>
      <c r="T928" s="74"/>
      <c r="U928" s="74"/>
      <c r="V928" s="74"/>
      <c r="W928" s="74"/>
      <c r="X928" s="74"/>
      <c r="Y928" s="74"/>
    </row>
    <row r="929" spans="1:25" ht="33.6">
      <c r="A929" s="74"/>
      <c r="B929" s="91" t="str">
        <f t="shared" si="125"/>
        <v/>
      </c>
      <c r="C929" s="116"/>
      <c r="D929" s="307"/>
      <c r="E929" s="111" t="s">
        <v>1046</v>
      </c>
      <c r="F929" s="91" t="str">
        <f t="shared" si="119"/>
        <v/>
      </c>
      <c r="G929" s="91" t="str">
        <f t="shared" si="120"/>
        <v/>
      </c>
      <c r="H929" s="91" t="str">
        <f t="shared" si="129"/>
        <v/>
      </c>
      <c r="I929" s="79">
        <f t="shared" si="126"/>
        <v>176</v>
      </c>
      <c r="J929" s="74"/>
      <c r="K929" s="74"/>
      <c r="L929" s="75"/>
      <c r="M929" s="74"/>
      <c r="N929" s="74"/>
      <c r="O929" s="74"/>
      <c r="P929" s="74"/>
      <c r="Q929" s="74"/>
      <c r="R929" s="74"/>
      <c r="S929" s="74"/>
      <c r="T929" s="74"/>
      <c r="U929" s="74"/>
      <c r="V929" s="74"/>
      <c r="W929" s="74"/>
      <c r="X929" s="74"/>
      <c r="Y929" s="74"/>
    </row>
    <row r="930" spans="1:25" ht="18">
      <c r="A930" s="74"/>
      <c r="B930" s="79">
        <f t="shared" si="125"/>
        <v>177</v>
      </c>
      <c r="C930" s="115" t="s">
        <v>1047</v>
      </c>
      <c r="D930" s="112" t="s">
        <v>858</v>
      </c>
      <c r="E930" s="103"/>
      <c r="F930" s="91" t="str">
        <f t="shared" si="119"/>
        <v>B</v>
      </c>
      <c r="G930" s="91" t="str">
        <f t="shared" si="120"/>
        <v>Đơn giản</v>
      </c>
      <c r="H930" s="91">
        <v>2</v>
      </c>
      <c r="I930" s="79" t="str">
        <f t="shared" si="126"/>
        <v/>
      </c>
      <c r="J930" s="74"/>
      <c r="K930" s="74"/>
      <c r="L930" s="75"/>
      <c r="M930" s="74"/>
      <c r="N930" s="74"/>
      <c r="O930" s="74"/>
      <c r="P930" s="74"/>
      <c r="Q930" s="74"/>
      <c r="R930" s="74"/>
      <c r="S930" s="74"/>
      <c r="T930" s="74"/>
      <c r="U930" s="74"/>
      <c r="V930" s="74"/>
      <c r="W930" s="74"/>
      <c r="X930" s="74"/>
      <c r="Y930" s="74"/>
    </row>
    <row r="931" spans="1:25" ht="67.150000000000006">
      <c r="A931" s="74"/>
      <c r="B931" s="91" t="str">
        <f t="shared" si="125"/>
        <v/>
      </c>
      <c r="C931" s="306"/>
      <c r="D931" s="307"/>
      <c r="E931" s="101" t="s">
        <v>1048</v>
      </c>
      <c r="F931" s="91" t="str">
        <f t="shared" si="119"/>
        <v/>
      </c>
      <c r="G931" s="91" t="str">
        <f t="shared" si="120"/>
        <v/>
      </c>
      <c r="H931" s="91" t="str">
        <f t="shared" ref="H931:H933" si="130">IF(AND(B931&lt;&gt;"",C931&lt;&gt;"",D931&lt;&gt;""),COUNTIF(I931:I1930,B931),"")</f>
        <v/>
      </c>
      <c r="I931" s="79">
        <f t="shared" si="126"/>
        <v>177</v>
      </c>
      <c r="J931" s="74"/>
      <c r="K931" s="74"/>
      <c r="L931" s="75"/>
      <c r="M931" s="74"/>
      <c r="N931" s="74"/>
      <c r="O931" s="74"/>
      <c r="P931" s="74"/>
      <c r="Q931" s="74"/>
      <c r="R931" s="74"/>
      <c r="S931" s="74"/>
      <c r="T931" s="74"/>
      <c r="U931" s="74"/>
      <c r="V931" s="74"/>
      <c r="W931" s="74"/>
      <c r="X931" s="74"/>
      <c r="Y931" s="74"/>
    </row>
    <row r="932" spans="1:25" ht="67.150000000000006">
      <c r="A932" s="74"/>
      <c r="B932" s="91" t="str">
        <f t="shared" si="125"/>
        <v/>
      </c>
      <c r="C932" s="116"/>
      <c r="D932" s="307"/>
      <c r="E932" s="111" t="s">
        <v>1049</v>
      </c>
      <c r="F932" s="91" t="str">
        <f t="shared" si="119"/>
        <v/>
      </c>
      <c r="G932" s="91" t="str">
        <f t="shared" si="120"/>
        <v/>
      </c>
      <c r="H932" s="91" t="str">
        <f t="shared" si="130"/>
        <v/>
      </c>
      <c r="I932" s="79">
        <f t="shared" si="126"/>
        <v>177</v>
      </c>
      <c r="J932" s="74"/>
      <c r="K932" s="74"/>
      <c r="L932" s="75"/>
      <c r="M932" s="74"/>
      <c r="N932" s="74"/>
      <c r="O932" s="74"/>
      <c r="P932" s="74"/>
      <c r="Q932" s="74"/>
      <c r="R932" s="74"/>
      <c r="S932" s="74"/>
      <c r="T932" s="74"/>
      <c r="U932" s="74"/>
      <c r="V932" s="74"/>
      <c r="W932" s="74"/>
      <c r="X932" s="74"/>
      <c r="Y932" s="74"/>
    </row>
    <row r="933" spans="1:25" ht="33.6">
      <c r="A933" s="74"/>
      <c r="B933" s="91" t="str">
        <f t="shared" si="125"/>
        <v/>
      </c>
      <c r="C933" s="116"/>
      <c r="D933" s="307"/>
      <c r="E933" s="111" t="s">
        <v>1050</v>
      </c>
      <c r="F933" s="91" t="str">
        <f t="shared" si="119"/>
        <v/>
      </c>
      <c r="G933" s="91" t="str">
        <f t="shared" si="120"/>
        <v/>
      </c>
      <c r="H933" s="91" t="str">
        <f t="shared" si="130"/>
        <v/>
      </c>
      <c r="I933" s="79">
        <f t="shared" si="126"/>
        <v>177</v>
      </c>
      <c r="J933" s="74"/>
      <c r="K933" s="74"/>
      <c r="L933" s="75"/>
      <c r="M933" s="74"/>
      <c r="N933" s="74"/>
      <c r="O933" s="74"/>
      <c r="P933" s="74"/>
      <c r="Q933" s="74"/>
      <c r="R933" s="74"/>
      <c r="S933" s="74"/>
      <c r="T933" s="74"/>
      <c r="U933" s="74"/>
      <c r="V933" s="74"/>
      <c r="W933" s="74"/>
      <c r="X933" s="74"/>
      <c r="Y933" s="74"/>
    </row>
    <row r="934" spans="1:25" ht="18">
      <c r="A934" s="74"/>
      <c r="B934" s="79">
        <f t="shared" si="125"/>
        <v>178</v>
      </c>
      <c r="C934" s="115" t="s">
        <v>1051</v>
      </c>
      <c r="D934" s="112" t="s">
        <v>858</v>
      </c>
      <c r="E934" s="103"/>
      <c r="F934" s="91" t="str">
        <f t="shared" si="119"/>
        <v>B</v>
      </c>
      <c r="G934" s="91" t="str">
        <f t="shared" si="120"/>
        <v>Đơn giản</v>
      </c>
      <c r="H934" s="91">
        <v>2</v>
      </c>
      <c r="I934" s="79" t="str">
        <f t="shared" si="126"/>
        <v/>
      </c>
      <c r="J934" s="74"/>
      <c r="K934" s="74"/>
      <c r="L934" s="75"/>
      <c r="M934" s="74"/>
      <c r="N934" s="74"/>
      <c r="O934" s="74"/>
      <c r="P934" s="74"/>
      <c r="Q934" s="74"/>
      <c r="R934" s="74"/>
      <c r="S934" s="74"/>
      <c r="T934" s="74"/>
      <c r="U934" s="74"/>
      <c r="V934" s="74"/>
      <c r="W934" s="74"/>
      <c r="X934" s="74"/>
      <c r="Y934" s="74"/>
    </row>
    <row r="935" spans="1:25" ht="84">
      <c r="A935" s="74"/>
      <c r="B935" s="91" t="str">
        <f t="shared" si="125"/>
        <v/>
      </c>
      <c r="C935" s="306"/>
      <c r="D935" s="307"/>
      <c r="E935" s="111" t="s">
        <v>1052</v>
      </c>
      <c r="F935" s="91" t="str">
        <f t="shared" si="119"/>
        <v/>
      </c>
      <c r="G935" s="91" t="str">
        <f t="shared" si="120"/>
        <v/>
      </c>
      <c r="H935" s="91" t="str">
        <f t="shared" ref="H935:H937" si="131">IF(AND(B935&lt;&gt;"",C935&lt;&gt;"",D935&lt;&gt;""),COUNTIF(I935:I1934,B935),"")</f>
        <v/>
      </c>
      <c r="I935" s="79">
        <f t="shared" si="126"/>
        <v>178</v>
      </c>
      <c r="J935" s="74"/>
      <c r="K935" s="74"/>
      <c r="L935" s="75"/>
      <c r="M935" s="74"/>
      <c r="N935" s="74"/>
      <c r="O935" s="74"/>
      <c r="P935" s="74"/>
      <c r="Q935" s="74"/>
      <c r="R935" s="74"/>
      <c r="S935" s="74"/>
      <c r="T935" s="74"/>
      <c r="U935" s="74"/>
      <c r="V935" s="74"/>
      <c r="W935" s="74"/>
      <c r="X935" s="74"/>
      <c r="Y935" s="74"/>
    </row>
    <row r="936" spans="1:25" ht="67.150000000000006">
      <c r="A936" s="74"/>
      <c r="B936" s="91" t="str">
        <f t="shared" si="125"/>
        <v/>
      </c>
      <c r="C936" s="116"/>
      <c r="D936" s="307"/>
      <c r="E936" s="111" t="s">
        <v>1053</v>
      </c>
      <c r="F936" s="91" t="str">
        <f t="shared" si="119"/>
        <v/>
      </c>
      <c r="G936" s="91" t="str">
        <f t="shared" si="120"/>
        <v/>
      </c>
      <c r="H936" s="91" t="str">
        <f t="shared" si="131"/>
        <v/>
      </c>
      <c r="I936" s="79">
        <f t="shared" si="126"/>
        <v>178</v>
      </c>
      <c r="J936" s="74"/>
      <c r="K936" s="74"/>
      <c r="L936" s="75"/>
      <c r="M936" s="74"/>
      <c r="N936" s="74"/>
      <c r="O936" s="74"/>
      <c r="P936" s="74"/>
      <c r="Q936" s="74"/>
      <c r="R936" s="74"/>
      <c r="S936" s="74"/>
      <c r="T936" s="74"/>
      <c r="U936" s="74"/>
      <c r="V936" s="74"/>
      <c r="W936" s="74"/>
      <c r="X936" s="74"/>
      <c r="Y936" s="74"/>
    </row>
    <row r="937" spans="1:25" ht="33.6">
      <c r="A937" s="74"/>
      <c r="B937" s="91" t="str">
        <f t="shared" si="125"/>
        <v/>
      </c>
      <c r="C937" s="116"/>
      <c r="D937" s="307"/>
      <c r="E937" s="111" t="s">
        <v>1054</v>
      </c>
      <c r="F937" s="91" t="str">
        <f t="shared" si="119"/>
        <v/>
      </c>
      <c r="G937" s="91" t="str">
        <f t="shared" si="120"/>
        <v/>
      </c>
      <c r="H937" s="91" t="str">
        <f t="shared" si="131"/>
        <v/>
      </c>
      <c r="I937" s="79">
        <f t="shared" si="126"/>
        <v>178</v>
      </c>
      <c r="J937" s="74"/>
      <c r="K937" s="74"/>
      <c r="L937" s="75"/>
      <c r="M937" s="74"/>
      <c r="N937" s="74"/>
      <c r="O937" s="74"/>
      <c r="P937" s="74"/>
      <c r="Q937" s="74"/>
      <c r="R937" s="74"/>
      <c r="S937" s="74"/>
      <c r="T937" s="74"/>
      <c r="U937" s="74"/>
      <c r="V937" s="74"/>
      <c r="W937" s="74"/>
      <c r="X937" s="74"/>
      <c r="Y937" s="74"/>
    </row>
    <row r="938" spans="1:25" ht="33.6">
      <c r="A938" s="74"/>
      <c r="B938" s="79">
        <f t="shared" si="125"/>
        <v>179</v>
      </c>
      <c r="C938" s="117" t="s">
        <v>1055</v>
      </c>
      <c r="D938" s="112" t="s">
        <v>858</v>
      </c>
      <c r="E938" s="103"/>
      <c r="F938" s="91" t="str">
        <f t="shared" si="119"/>
        <v>B</v>
      </c>
      <c r="G938" s="91" t="str">
        <f t="shared" si="120"/>
        <v>Đơn giản</v>
      </c>
      <c r="H938" s="91">
        <v>2</v>
      </c>
      <c r="I938" s="79" t="str">
        <f t="shared" si="126"/>
        <v/>
      </c>
      <c r="J938" s="74"/>
      <c r="K938" s="74"/>
      <c r="L938" s="75"/>
      <c r="M938" s="74"/>
      <c r="N938" s="74"/>
      <c r="O938" s="74"/>
      <c r="P938" s="74"/>
      <c r="Q938" s="74"/>
      <c r="R938" s="74"/>
      <c r="S938" s="74"/>
      <c r="T938" s="74"/>
      <c r="U938" s="74"/>
      <c r="V938" s="74"/>
      <c r="W938" s="74"/>
      <c r="X938" s="74"/>
      <c r="Y938" s="74"/>
    </row>
    <row r="939" spans="1:25" ht="100.9">
      <c r="A939" s="74"/>
      <c r="B939" s="91" t="str">
        <f t="shared" si="125"/>
        <v/>
      </c>
      <c r="C939" s="306"/>
      <c r="D939" s="307"/>
      <c r="E939" s="101" t="s">
        <v>1056</v>
      </c>
      <c r="F939" s="91" t="str">
        <f t="shared" si="119"/>
        <v/>
      </c>
      <c r="G939" s="91" t="str">
        <f t="shared" si="120"/>
        <v/>
      </c>
      <c r="H939" s="91" t="str">
        <f t="shared" ref="H939:H941" si="132">IF(AND(B939&lt;&gt;"",C939&lt;&gt;"",D939&lt;&gt;""),COUNTIF(I939:I1938,B939),"")</f>
        <v/>
      </c>
      <c r="I939" s="79">
        <f t="shared" si="126"/>
        <v>179</v>
      </c>
      <c r="J939" s="74"/>
      <c r="K939" s="74"/>
      <c r="L939" s="75"/>
      <c r="M939" s="74"/>
      <c r="N939" s="74"/>
      <c r="O939" s="74"/>
      <c r="P939" s="74"/>
      <c r="Q939" s="74"/>
      <c r="R939" s="74"/>
      <c r="S939" s="74"/>
      <c r="T939" s="74"/>
      <c r="U939" s="74"/>
      <c r="V939" s="74"/>
      <c r="W939" s="74"/>
      <c r="X939" s="74"/>
      <c r="Y939" s="74"/>
    </row>
    <row r="940" spans="1:25" ht="84">
      <c r="A940" s="74"/>
      <c r="B940" s="91" t="str">
        <f t="shared" si="125"/>
        <v/>
      </c>
      <c r="C940" s="116"/>
      <c r="D940" s="307"/>
      <c r="E940" s="101" t="s">
        <v>1057</v>
      </c>
      <c r="F940" s="91" t="str">
        <f t="shared" si="119"/>
        <v/>
      </c>
      <c r="G940" s="91" t="str">
        <f t="shared" si="120"/>
        <v/>
      </c>
      <c r="H940" s="91" t="str">
        <f t="shared" si="132"/>
        <v/>
      </c>
      <c r="I940" s="79">
        <f t="shared" si="126"/>
        <v>179</v>
      </c>
      <c r="J940" s="74"/>
      <c r="K940" s="74"/>
      <c r="L940" s="75"/>
      <c r="M940" s="74"/>
      <c r="N940" s="74"/>
      <c r="O940" s="74"/>
      <c r="P940" s="74"/>
      <c r="Q940" s="74"/>
      <c r="R940" s="74"/>
      <c r="S940" s="74"/>
      <c r="T940" s="74"/>
      <c r="U940" s="74"/>
      <c r="V940" s="74"/>
      <c r="W940" s="74"/>
      <c r="X940" s="74"/>
      <c r="Y940" s="74"/>
    </row>
    <row r="941" spans="1:25" ht="50.45">
      <c r="A941" s="74"/>
      <c r="B941" s="91" t="str">
        <f t="shared" si="125"/>
        <v/>
      </c>
      <c r="C941" s="116"/>
      <c r="D941" s="307"/>
      <c r="E941" s="111" t="s">
        <v>1058</v>
      </c>
      <c r="F941" s="91" t="str">
        <f t="shared" si="119"/>
        <v/>
      </c>
      <c r="G941" s="91" t="str">
        <f t="shared" si="120"/>
        <v/>
      </c>
      <c r="H941" s="91" t="str">
        <f t="shared" si="132"/>
        <v/>
      </c>
      <c r="I941" s="79">
        <f t="shared" si="126"/>
        <v>179</v>
      </c>
      <c r="J941" s="74"/>
      <c r="K941" s="74"/>
      <c r="L941" s="75"/>
      <c r="M941" s="74"/>
      <c r="N941" s="74"/>
      <c r="O941" s="74"/>
      <c r="P941" s="74"/>
      <c r="Q941" s="74"/>
      <c r="R941" s="74"/>
      <c r="S941" s="74"/>
      <c r="T941" s="74"/>
      <c r="U941" s="74"/>
      <c r="V941" s="74"/>
      <c r="W941" s="74"/>
      <c r="X941" s="74"/>
      <c r="Y941" s="74"/>
    </row>
    <row r="942" spans="1:25" ht="33.6">
      <c r="A942" s="74"/>
      <c r="B942" s="79">
        <f t="shared" si="125"/>
        <v>180</v>
      </c>
      <c r="C942" s="118" t="s">
        <v>1059</v>
      </c>
      <c r="D942" s="112" t="s">
        <v>858</v>
      </c>
      <c r="E942" s="103"/>
      <c r="F942" s="91" t="str">
        <f t="shared" si="119"/>
        <v>B</v>
      </c>
      <c r="G942" s="91" t="str">
        <f t="shared" si="120"/>
        <v>Đơn giản</v>
      </c>
      <c r="H942" s="91">
        <v>2</v>
      </c>
      <c r="I942" s="79" t="str">
        <f t="shared" si="126"/>
        <v/>
      </c>
      <c r="J942" s="74"/>
      <c r="K942" s="74"/>
      <c r="L942" s="75"/>
      <c r="M942" s="74"/>
      <c r="N942" s="74"/>
      <c r="O942" s="74"/>
      <c r="P942" s="74"/>
      <c r="Q942" s="74"/>
      <c r="R942" s="74"/>
      <c r="S942" s="74"/>
      <c r="T942" s="74"/>
      <c r="U942" s="74"/>
      <c r="V942" s="74"/>
      <c r="W942" s="74"/>
      <c r="X942" s="74"/>
      <c r="Y942" s="74"/>
    </row>
    <row r="943" spans="1:25" ht="84">
      <c r="A943" s="74"/>
      <c r="B943" s="79" t="str">
        <f t="shared" si="125"/>
        <v/>
      </c>
      <c r="C943" s="306"/>
      <c r="D943" s="307"/>
      <c r="E943" s="101" t="s">
        <v>1060</v>
      </c>
      <c r="F943" s="91" t="str">
        <f t="shared" si="119"/>
        <v/>
      </c>
      <c r="G943" s="91" t="str">
        <f t="shared" si="120"/>
        <v/>
      </c>
      <c r="H943" s="91" t="str">
        <f t="shared" ref="H943:H955" si="133">IF(AND(B943&lt;&gt;"",C943&lt;&gt;"",D943&lt;&gt;""),COUNTIF(I943:I1942,B943),"")</f>
        <v/>
      </c>
      <c r="I943" s="79">
        <f t="shared" si="126"/>
        <v>180</v>
      </c>
      <c r="J943" s="74"/>
      <c r="K943" s="74"/>
      <c r="L943" s="75"/>
      <c r="M943" s="74"/>
      <c r="N943" s="74"/>
      <c r="O943" s="74"/>
      <c r="P943" s="74"/>
      <c r="Q943" s="74"/>
      <c r="R943" s="74"/>
      <c r="S943" s="74"/>
      <c r="T943" s="74"/>
      <c r="U943" s="74"/>
      <c r="V943" s="74"/>
      <c r="W943" s="74"/>
      <c r="X943" s="74"/>
      <c r="Y943" s="74"/>
    </row>
    <row r="944" spans="1:25" ht="84">
      <c r="A944" s="74"/>
      <c r="B944" s="79" t="str">
        <f t="shared" si="125"/>
        <v/>
      </c>
      <c r="C944" s="116"/>
      <c r="D944" s="307"/>
      <c r="E944" s="101" t="s">
        <v>1061</v>
      </c>
      <c r="F944" s="91" t="str">
        <f t="shared" si="119"/>
        <v/>
      </c>
      <c r="G944" s="91" t="str">
        <f t="shared" si="120"/>
        <v/>
      </c>
      <c r="H944" s="91" t="str">
        <f t="shared" si="133"/>
        <v/>
      </c>
      <c r="I944" s="79">
        <f t="shared" si="126"/>
        <v>180</v>
      </c>
      <c r="J944" s="74"/>
      <c r="K944" s="74"/>
      <c r="L944" s="75"/>
      <c r="M944" s="74"/>
      <c r="N944" s="74"/>
      <c r="O944" s="74"/>
      <c r="P944" s="74"/>
      <c r="Q944" s="74"/>
      <c r="R944" s="74"/>
      <c r="S944" s="74"/>
      <c r="T944" s="74"/>
      <c r="U944" s="74"/>
      <c r="V944" s="74"/>
      <c r="W944" s="74"/>
      <c r="X944" s="74"/>
      <c r="Y944" s="74"/>
    </row>
    <row r="945" spans="1:25" ht="50.45">
      <c r="A945" s="74"/>
      <c r="B945" s="79" t="str">
        <f t="shared" si="125"/>
        <v/>
      </c>
      <c r="C945" s="116"/>
      <c r="D945" s="307"/>
      <c r="E945" s="111" t="s">
        <v>1062</v>
      </c>
      <c r="F945" s="91" t="str">
        <f t="shared" si="119"/>
        <v/>
      </c>
      <c r="G945" s="91" t="str">
        <f t="shared" si="120"/>
        <v/>
      </c>
      <c r="H945" s="91" t="str">
        <f t="shared" si="133"/>
        <v/>
      </c>
      <c r="I945" s="79">
        <f t="shared" si="126"/>
        <v>180</v>
      </c>
      <c r="J945" s="74"/>
      <c r="K945" s="74"/>
      <c r="L945" s="75"/>
      <c r="M945" s="74"/>
      <c r="N945" s="74"/>
      <c r="O945" s="74"/>
      <c r="P945" s="74"/>
      <c r="Q945" s="74"/>
      <c r="R945" s="74"/>
      <c r="S945" s="74"/>
      <c r="T945" s="74"/>
      <c r="U945" s="74"/>
      <c r="V945" s="74"/>
      <c r="W945" s="74"/>
      <c r="X945" s="74"/>
      <c r="Y945" s="74"/>
    </row>
    <row r="946" spans="1:25" ht="33.6">
      <c r="A946" s="74"/>
      <c r="B946" s="91" t="s">
        <v>883</v>
      </c>
      <c r="C946" s="119" t="s">
        <v>1063</v>
      </c>
      <c r="D946" s="112"/>
      <c r="E946" s="103"/>
      <c r="F946" s="91" t="str">
        <f t="shared" si="119"/>
        <v/>
      </c>
      <c r="G946" s="91" t="str">
        <f t="shared" si="120"/>
        <v/>
      </c>
      <c r="H946" s="91" t="str">
        <f t="shared" si="133"/>
        <v/>
      </c>
      <c r="I946" s="79" t="str">
        <f t="shared" si="126"/>
        <v/>
      </c>
      <c r="J946" s="74"/>
      <c r="K946" s="74"/>
      <c r="L946" s="75"/>
      <c r="M946" s="74"/>
      <c r="N946" s="74"/>
      <c r="O946" s="74"/>
      <c r="P946" s="74"/>
      <c r="Q946" s="74"/>
      <c r="R946" s="74"/>
      <c r="S946" s="74"/>
      <c r="T946" s="74"/>
      <c r="U946" s="74"/>
      <c r="V946" s="74"/>
      <c r="W946" s="74"/>
      <c r="X946" s="74"/>
      <c r="Y946" s="74"/>
    </row>
    <row r="947" spans="1:25" ht="18">
      <c r="A947" s="74"/>
      <c r="B947" s="79">
        <f t="shared" ref="B947:B955" si="134">IF(C947="","",IF(F947="B",COUNTIF($F$6:F947,"B"),""))</f>
        <v>181</v>
      </c>
      <c r="C947" s="115" t="s">
        <v>1064</v>
      </c>
      <c r="D947" s="310" t="s">
        <v>858</v>
      </c>
      <c r="E947" s="103"/>
      <c r="F947" s="91" t="str">
        <f t="shared" si="119"/>
        <v>B</v>
      </c>
      <c r="G947" s="91" t="str">
        <f t="shared" si="120"/>
        <v>Đơn giản</v>
      </c>
      <c r="H947" s="91">
        <f t="shared" si="133"/>
        <v>2</v>
      </c>
      <c r="I947" s="79" t="str">
        <f t="shared" si="126"/>
        <v/>
      </c>
      <c r="J947" s="74"/>
      <c r="K947" s="74"/>
      <c r="L947" s="75"/>
      <c r="M947" s="74"/>
      <c r="N947" s="74"/>
      <c r="O947" s="74"/>
      <c r="P947" s="74"/>
      <c r="Q947" s="74"/>
      <c r="R947" s="74"/>
      <c r="S947" s="74"/>
      <c r="T947" s="74"/>
      <c r="U947" s="74"/>
      <c r="V947" s="74"/>
      <c r="W947" s="74"/>
      <c r="X947" s="74"/>
      <c r="Y947" s="74"/>
    </row>
    <row r="948" spans="1:25" ht="84">
      <c r="A948" s="74"/>
      <c r="B948" s="79" t="str">
        <f t="shared" si="134"/>
        <v/>
      </c>
      <c r="C948" s="115"/>
      <c r="D948" s="310"/>
      <c r="E948" s="101" t="s">
        <v>1065</v>
      </c>
      <c r="F948" s="91" t="str">
        <f t="shared" si="119"/>
        <v/>
      </c>
      <c r="G948" s="91" t="str">
        <f t="shared" si="120"/>
        <v/>
      </c>
      <c r="H948" s="91" t="str">
        <f t="shared" si="133"/>
        <v/>
      </c>
      <c r="I948" s="79">
        <f t="shared" si="126"/>
        <v>181</v>
      </c>
      <c r="J948" s="74"/>
      <c r="K948" s="74"/>
      <c r="L948" s="75"/>
      <c r="M948" s="74"/>
      <c r="N948" s="74"/>
      <c r="O948" s="74"/>
      <c r="P948" s="74"/>
      <c r="Q948" s="74"/>
      <c r="R948" s="74"/>
      <c r="S948" s="74"/>
      <c r="T948" s="74"/>
      <c r="U948" s="74"/>
      <c r="V948" s="74"/>
      <c r="W948" s="74"/>
      <c r="X948" s="74"/>
      <c r="Y948" s="74"/>
    </row>
    <row r="949" spans="1:25" ht="67.150000000000006">
      <c r="A949" s="74"/>
      <c r="B949" s="79" t="str">
        <f t="shared" si="134"/>
        <v/>
      </c>
      <c r="C949" s="115"/>
      <c r="D949" s="310"/>
      <c r="E949" s="111" t="s">
        <v>1066</v>
      </c>
      <c r="F949" s="91" t="str">
        <f t="shared" si="119"/>
        <v/>
      </c>
      <c r="G949" s="91" t="str">
        <f t="shared" si="120"/>
        <v/>
      </c>
      <c r="H949" s="91" t="str">
        <f t="shared" si="133"/>
        <v/>
      </c>
      <c r="I949" s="79">
        <f t="shared" si="126"/>
        <v>181</v>
      </c>
      <c r="J949" s="74"/>
      <c r="K949" s="74"/>
      <c r="L949" s="75"/>
      <c r="M949" s="74"/>
      <c r="N949" s="74"/>
      <c r="O949" s="74"/>
      <c r="P949" s="74"/>
      <c r="Q949" s="74"/>
      <c r="R949" s="74"/>
      <c r="S949" s="74"/>
      <c r="T949" s="74"/>
      <c r="U949" s="74"/>
      <c r="V949" s="74"/>
      <c r="W949" s="74"/>
      <c r="X949" s="74"/>
      <c r="Y949" s="74"/>
    </row>
    <row r="950" spans="1:25" ht="18">
      <c r="A950" s="74"/>
      <c r="B950" s="79">
        <f t="shared" si="134"/>
        <v>182</v>
      </c>
      <c r="C950" s="115" t="s">
        <v>1067</v>
      </c>
      <c r="D950" s="310" t="s">
        <v>858</v>
      </c>
      <c r="E950" s="103"/>
      <c r="F950" s="91" t="str">
        <f t="shared" si="119"/>
        <v>B</v>
      </c>
      <c r="G950" s="91" t="str">
        <f t="shared" si="120"/>
        <v>Đơn giản</v>
      </c>
      <c r="H950" s="91">
        <f t="shared" si="133"/>
        <v>2</v>
      </c>
      <c r="I950" s="79" t="str">
        <f t="shared" si="126"/>
        <v/>
      </c>
      <c r="J950" s="74"/>
      <c r="K950" s="74"/>
      <c r="L950" s="75"/>
      <c r="M950" s="74"/>
      <c r="N950" s="74"/>
      <c r="O950" s="74"/>
      <c r="P950" s="74"/>
      <c r="Q950" s="74"/>
      <c r="R950" s="74"/>
      <c r="S950" s="74"/>
      <c r="T950" s="74"/>
      <c r="U950" s="74"/>
      <c r="V950" s="74"/>
      <c r="W950" s="74"/>
      <c r="X950" s="74"/>
      <c r="Y950" s="74"/>
    </row>
    <row r="951" spans="1:25" ht="67.150000000000006">
      <c r="A951" s="74"/>
      <c r="B951" s="79" t="str">
        <f t="shared" si="134"/>
        <v/>
      </c>
      <c r="C951" s="115"/>
      <c r="D951" s="310"/>
      <c r="E951" s="101" t="s">
        <v>1068</v>
      </c>
      <c r="F951" s="91" t="str">
        <f t="shared" si="119"/>
        <v/>
      </c>
      <c r="G951" s="91" t="str">
        <f t="shared" si="120"/>
        <v/>
      </c>
      <c r="H951" s="91" t="str">
        <f t="shared" si="133"/>
        <v/>
      </c>
      <c r="I951" s="79">
        <f t="shared" si="126"/>
        <v>182</v>
      </c>
      <c r="J951" s="74"/>
      <c r="K951" s="74"/>
      <c r="L951" s="75"/>
      <c r="M951" s="74"/>
      <c r="N951" s="74"/>
      <c r="O951" s="74"/>
      <c r="P951" s="74"/>
      <c r="Q951" s="74"/>
      <c r="R951" s="74"/>
      <c r="S951" s="74"/>
      <c r="T951" s="74"/>
      <c r="U951" s="74"/>
      <c r="V951" s="74"/>
      <c r="W951" s="74"/>
      <c r="X951" s="74"/>
      <c r="Y951" s="74"/>
    </row>
    <row r="952" spans="1:25" ht="67.150000000000006">
      <c r="A952" s="74"/>
      <c r="B952" s="79" t="str">
        <f t="shared" si="134"/>
        <v/>
      </c>
      <c r="C952" s="115"/>
      <c r="D952" s="310"/>
      <c r="E952" s="101" t="s">
        <v>1069</v>
      </c>
      <c r="F952" s="91" t="str">
        <f t="shared" si="119"/>
        <v/>
      </c>
      <c r="G952" s="91" t="str">
        <f t="shared" si="120"/>
        <v/>
      </c>
      <c r="H952" s="91" t="str">
        <f t="shared" si="133"/>
        <v/>
      </c>
      <c r="I952" s="79">
        <f t="shared" si="126"/>
        <v>182</v>
      </c>
      <c r="J952" s="74"/>
      <c r="K952" s="74"/>
      <c r="L952" s="75"/>
      <c r="M952" s="74"/>
      <c r="N952" s="74"/>
      <c r="O952" s="74"/>
      <c r="P952" s="74"/>
      <c r="Q952" s="74"/>
      <c r="R952" s="74"/>
      <c r="S952" s="74"/>
      <c r="T952" s="74"/>
      <c r="U952" s="74"/>
      <c r="V952" s="74"/>
      <c r="W952" s="74"/>
      <c r="X952" s="74"/>
      <c r="Y952" s="74"/>
    </row>
    <row r="953" spans="1:25" ht="18">
      <c r="A953" s="74"/>
      <c r="B953" s="79">
        <f t="shared" si="134"/>
        <v>183</v>
      </c>
      <c r="C953" s="115" t="s">
        <v>1070</v>
      </c>
      <c r="D953" s="310" t="s">
        <v>858</v>
      </c>
      <c r="E953" s="103"/>
      <c r="F953" s="91" t="str">
        <f t="shared" si="119"/>
        <v>B</v>
      </c>
      <c r="G953" s="91" t="str">
        <f t="shared" si="120"/>
        <v>Đơn giản</v>
      </c>
      <c r="H953" s="91">
        <f t="shared" si="133"/>
        <v>2</v>
      </c>
      <c r="I953" s="79" t="str">
        <f t="shared" si="126"/>
        <v/>
      </c>
      <c r="J953" s="74"/>
      <c r="K953" s="74"/>
      <c r="L953" s="75"/>
      <c r="M953" s="74"/>
      <c r="N953" s="74"/>
      <c r="O953" s="74"/>
      <c r="P953" s="74"/>
      <c r="Q953" s="74"/>
      <c r="R953" s="74"/>
      <c r="S953" s="74"/>
      <c r="T953" s="74"/>
      <c r="U953" s="74"/>
      <c r="V953" s="74"/>
      <c r="W953" s="74"/>
      <c r="X953" s="74"/>
      <c r="Y953" s="74"/>
    </row>
    <row r="954" spans="1:25" ht="67.150000000000006">
      <c r="A954" s="74"/>
      <c r="B954" s="79" t="str">
        <f t="shared" si="134"/>
        <v/>
      </c>
      <c r="C954" s="115"/>
      <c r="D954" s="310"/>
      <c r="E954" s="101" t="s">
        <v>1071</v>
      </c>
      <c r="F954" s="91" t="str">
        <f t="shared" si="119"/>
        <v/>
      </c>
      <c r="G954" s="91" t="str">
        <f t="shared" si="120"/>
        <v/>
      </c>
      <c r="H954" s="91" t="str">
        <f t="shared" si="133"/>
        <v/>
      </c>
      <c r="I954" s="79">
        <f t="shared" si="126"/>
        <v>183</v>
      </c>
      <c r="J954" s="74"/>
      <c r="K954" s="74"/>
      <c r="L954" s="75"/>
      <c r="M954" s="74"/>
      <c r="N954" s="74"/>
      <c r="O954" s="74"/>
      <c r="P954" s="74"/>
      <c r="Q954" s="74"/>
      <c r="R954" s="74"/>
      <c r="S954" s="74"/>
      <c r="T954" s="74"/>
      <c r="U954" s="74"/>
      <c r="V954" s="74"/>
      <c r="W954" s="74"/>
      <c r="X954" s="74"/>
      <c r="Y954" s="74"/>
    </row>
    <row r="955" spans="1:25" ht="67.150000000000006">
      <c r="A955" s="74"/>
      <c r="B955" s="79" t="str">
        <f t="shared" si="134"/>
        <v/>
      </c>
      <c r="C955" s="115"/>
      <c r="D955" s="310"/>
      <c r="E955" s="101" t="s">
        <v>1072</v>
      </c>
      <c r="F955" s="91" t="str">
        <f t="shared" si="119"/>
        <v/>
      </c>
      <c r="G955" s="91" t="str">
        <f t="shared" si="120"/>
        <v/>
      </c>
      <c r="H955" s="91" t="str">
        <f t="shared" si="133"/>
        <v/>
      </c>
      <c r="I955" s="79">
        <f t="shared" si="126"/>
        <v>183</v>
      </c>
      <c r="J955" s="74"/>
      <c r="K955" s="74"/>
      <c r="L955" s="75"/>
      <c r="M955" s="74"/>
      <c r="N955" s="74"/>
      <c r="O955" s="74"/>
      <c r="P955" s="74"/>
      <c r="Q955" s="74"/>
      <c r="R955" s="74"/>
      <c r="S955" s="74"/>
      <c r="T955" s="74"/>
      <c r="U955" s="74"/>
      <c r="V955" s="74"/>
      <c r="W955" s="74"/>
      <c r="X955" s="74"/>
      <c r="Y955" s="74"/>
    </row>
    <row r="956" spans="1:25" ht="18">
      <c r="A956" s="74"/>
      <c r="B956" s="91" t="s">
        <v>928</v>
      </c>
      <c r="C956" s="119" t="s">
        <v>1073</v>
      </c>
      <c r="D956" s="310"/>
      <c r="E956" s="103"/>
      <c r="F956" s="91" t="str">
        <f t="shared" si="119"/>
        <v/>
      </c>
      <c r="G956" s="91" t="str">
        <f t="shared" si="120"/>
        <v/>
      </c>
      <c r="H956" s="91" t="str">
        <f t="shared" ref="H956:H965" si="135">IF(AND(B956&lt;&gt;"",C956&lt;&gt;"",D956&lt;&gt;""),COUNTIF(I956:I1961,B956),"")</f>
        <v/>
      </c>
      <c r="I956" s="79" t="str">
        <f>IF(OR(E956="",B956&lt;&gt;""),"",IF(#REF!&lt;&gt;"",#REF!,#REF!))</f>
        <v/>
      </c>
      <c r="J956" s="74"/>
      <c r="K956" s="74"/>
      <c r="L956" s="75"/>
      <c r="M956" s="74"/>
      <c r="N956" s="74"/>
      <c r="O956" s="74"/>
      <c r="P956" s="74"/>
      <c r="Q956" s="74"/>
      <c r="R956" s="74"/>
      <c r="S956" s="74"/>
      <c r="T956" s="74"/>
      <c r="U956" s="74"/>
      <c r="V956" s="74"/>
      <c r="W956" s="74"/>
      <c r="X956" s="74"/>
      <c r="Y956" s="74"/>
    </row>
    <row r="957" spans="1:25" ht="18">
      <c r="A957" s="74"/>
      <c r="B957" s="79">
        <f t="shared" ref="B957:B968" si="136">IF(C957="","",IF(F957="B",COUNTIF($F$6:F957,"B"),""))</f>
        <v>184</v>
      </c>
      <c r="C957" s="115" t="s">
        <v>1074</v>
      </c>
      <c r="D957" s="310" t="s">
        <v>858</v>
      </c>
      <c r="E957" s="103"/>
      <c r="F957" s="91" t="str">
        <f t="shared" si="119"/>
        <v>B</v>
      </c>
      <c r="G957" s="91" t="str">
        <f t="shared" si="120"/>
        <v>Đơn giản</v>
      </c>
      <c r="H957" s="91">
        <f t="shared" si="135"/>
        <v>2</v>
      </c>
      <c r="I957" s="79" t="str">
        <f t="shared" ref="I957:I963" si="137">IF(OR(E957="",B957&lt;&gt;""),"",IF(I956&lt;&gt;"",I956,B956))</f>
        <v/>
      </c>
      <c r="J957" s="74"/>
      <c r="K957" s="74"/>
      <c r="L957" s="75"/>
      <c r="M957" s="74"/>
      <c r="N957" s="74"/>
      <c r="O957" s="74"/>
      <c r="P957" s="74"/>
      <c r="Q957" s="74"/>
      <c r="R957" s="74"/>
      <c r="S957" s="74"/>
      <c r="T957" s="74"/>
      <c r="U957" s="74"/>
      <c r="V957" s="74"/>
      <c r="W957" s="74"/>
      <c r="X957" s="74"/>
      <c r="Y957" s="74"/>
    </row>
    <row r="958" spans="1:25" ht="67.150000000000006">
      <c r="A958" s="74"/>
      <c r="B958" s="79" t="str">
        <f t="shared" si="136"/>
        <v/>
      </c>
      <c r="C958" s="115"/>
      <c r="D958" s="310"/>
      <c r="E958" s="101" t="s">
        <v>1075</v>
      </c>
      <c r="F958" s="91" t="str">
        <f t="shared" si="119"/>
        <v/>
      </c>
      <c r="G958" s="91" t="str">
        <f t="shared" si="120"/>
        <v/>
      </c>
      <c r="H958" s="91" t="str">
        <f t="shared" si="135"/>
        <v/>
      </c>
      <c r="I958" s="79">
        <f t="shared" si="137"/>
        <v>184</v>
      </c>
      <c r="J958" s="74"/>
      <c r="K958" s="74"/>
      <c r="L958" s="75"/>
      <c r="M958" s="74"/>
      <c r="N958" s="74"/>
      <c r="O958" s="74"/>
      <c r="P958" s="74"/>
      <c r="Q958" s="74"/>
      <c r="R958" s="74"/>
      <c r="S958" s="74"/>
      <c r="T958" s="74"/>
      <c r="U958" s="74"/>
      <c r="V958" s="74"/>
      <c r="W958" s="74"/>
      <c r="X958" s="74"/>
      <c r="Y958" s="74"/>
    </row>
    <row r="959" spans="1:25" ht="67.150000000000006">
      <c r="A959" s="74"/>
      <c r="B959" s="79" t="str">
        <f t="shared" si="136"/>
        <v/>
      </c>
      <c r="C959" s="115"/>
      <c r="D959" s="310"/>
      <c r="E959" s="101" t="s">
        <v>1076</v>
      </c>
      <c r="F959" s="91" t="str">
        <f t="shared" si="119"/>
        <v/>
      </c>
      <c r="G959" s="91" t="str">
        <f t="shared" si="120"/>
        <v/>
      </c>
      <c r="H959" s="91" t="str">
        <f t="shared" si="135"/>
        <v/>
      </c>
      <c r="I959" s="79">
        <f t="shared" si="137"/>
        <v>184</v>
      </c>
      <c r="J959" s="74"/>
      <c r="K959" s="74"/>
      <c r="L959" s="75"/>
      <c r="M959" s="74"/>
      <c r="N959" s="74"/>
      <c r="O959" s="74"/>
      <c r="P959" s="74"/>
      <c r="Q959" s="74"/>
      <c r="R959" s="74"/>
      <c r="S959" s="74"/>
      <c r="T959" s="74"/>
      <c r="U959" s="74"/>
      <c r="V959" s="74"/>
      <c r="W959" s="74"/>
      <c r="X959" s="74"/>
      <c r="Y959" s="74"/>
    </row>
    <row r="960" spans="1:25" ht="33.6">
      <c r="A960" s="74"/>
      <c r="B960" s="79">
        <f t="shared" si="136"/>
        <v>185</v>
      </c>
      <c r="C960" s="115" t="s">
        <v>1077</v>
      </c>
      <c r="D960" s="310" t="s">
        <v>858</v>
      </c>
      <c r="E960" s="103"/>
      <c r="F960" s="91" t="str">
        <f t="shared" si="119"/>
        <v>B</v>
      </c>
      <c r="G960" s="91" t="str">
        <f t="shared" si="120"/>
        <v>Đơn giản</v>
      </c>
      <c r="H960" s="91">
        <f t="shared" si="135"/>
        <v>2</v>
      </c>
      <c r="I960" s="79" t="str">
        <f t="shared" si="137"/>
        <v/>
      </c>
      <c r="J960" s="74"/>
      <c r="K960" s="74"/>
      <c r="L960" s="75"/>
      <c r="M960" s="74"/>
      <c r="N960" s="74"/>
      <c r="O960" s="74"/>
      <c r="P960" s="74"/>
      <c r="Q960" s="74"/>
      <c r="R960" s="74"/>
      <c r="S960" s="74"/>
      <c r="T960" s="74"/>
      <c r="U960" s="74"/>
      <c r="V960" s="74"/>
      <c r="W960" s="74"/>
      <c r="X960" s="74"/>
      <c r="Y960" s="74"/>
    </row>
    <row r="961" spans="1:25" ht="84">
      <c r="A961" s="74"/>
      <c r="B961" s="79" t="str">
        <f t="shared" si="136"/>
        <v/>
      </c>
      <c r="C961" s="115"/>
      <c r="D961" s="310"/>
      <c r="E961" s="101" t="s">
        <v>1078</v>
      </c>
      <c r="F961" s="91" t="str">
        <f t="shared" si="119"/>
        <v/>
      </c>
      <c r="G961" s="91" t="str">
        <f t="shared" si="120"/>
        <v/>
      </c>
      <c r="H961" s="91" t="str">
        <f t="shared" si="135"/>
        <v/>
      </c>
      <c r="I961" s="79">
        <f t="shared" si="137"/>
        <v>185</v>
      </c>
      <c r="J961" s="74"/>
      <c r="K961" s="74"/>
      <c r="L961" s="75"/>
      <c r="M961" s="74"/>
      <c r="N961" s="74"/>
      <c r="O961" s="74"/>
      <c r="P961" s="74"/>
      <c r="Q961" s="74"/>
      <c r="R961" s="74"/>
      <c r="S961" s="74"/>
      <c r="T961" s="74"/>
      <c r="U961" s="74"/>
      <c r="V961" s="74"/>
      <c r="W961" s="74"/>
      <c r="X961" s="74"/>
      <c r="Y961" s="74"/>
    </row>
    <row r="962" spans="1:25" ht="84">
      <c r="A962" s="74"/>
      <c r="B962" s="79" t="str">
        <f t="shared" si="136"/>
        <v/>
      </c>
      <c r="C962" s="306"/>
      <c r="D962" s="311"/>
      <c r="E962" s="101" t="s">
        <v>1079</v>
      </c>
      <c r="F962" s="91" t="str">
        <f t="shared" si="119"/>
        <v/>
      </c>
      <c r="G962" s="91" t="str">
        <f t="shared" si="120"/>
        <v/>
      </c>
      <c r="H962" s="91" t="str">
        <f t="shared" si="135"/>
        <v/>
      </c>
      <c r="I962" s="79">
        <f t="shared" si="137"/>
        <v>185</v>
      </c>
      <c r="J962" s="74"/>
      <c r="K962" s="74"/>
      <c r="L962" s="75"/>
      <c r="M962" s="74"/>
      <c r="N962" s="74"/>
      <c r="O962" s="74"/>
      <c r="P962" s="74"/>
      <c r="Q962" s="74"/>
      <c r="R962" s="74"/>
      <c r="S962" s="74"/>
      <c r="T962" s="74"/>
      <c r="U962" s="74"/>
      <c r="V962" s="74"/>
      <c r="W962" s="74"/>
      <c r="X962" s="74"/>
      <c r="Y962" s="74"/>
    </row>
    <row r="963" spans="1:25" ht="18">
      <c r="A963" s="74"/>
      <c r="B963" s="79">
        <f t="shared" si="136"/>
        <v>186</v>
      </c>
      <c r="C963" s="312" t="s">
        <v>1080</v>
      </c>
      <c r="D963" s="310" t="s">
        <v>858</v>
      </c>
      <c r="E963" s="103"/>
      <c r="F963" s="91" t="str">
        <f t="shared" si="119"/>
        <v>B</v>
      </c>
      <c r="G963" s="91" t="str">
        <f t="shared" si="120"/>
        <v>Đơn giản</v>
      </c>
      <c r="H963" s="91">
        <f t="shared" si="135"/>
        <v>2</v>
      </c>
      <c r="I963" s="79" t="str">
        <f t="shared" si="137"/>
        <v/>
      </c>
      <c r="J963" s="74"/>
      <c r="K963" s="74"/>
      <c r="L963" s="75"/>
      <c r="M963" s="74"/>
      <c r="N963" s="74"/>
      <c r="O963" s="74"/>
      <c r="P963" s="74"/>
      <c r="Q963" s="74"/>
      <c r="R963" s="74"/>
      <c r="S963" s="74"/>
      <c r="T963" s="74"/>
      <c r="U963" s="74"/>
      <c r="V963" s="74"/>
      <c r="W963" s="74"/>
      <c r="X963" s="74"/>
      <c r="Y963" s="74"/>
    </row>
    <row r="964" spans="1:25" ht="33.6">
      <c r="A964" s="74"/>
      <c r="B964" s="79" t="str">
        <f t="shared" si="136"/>
        <v/>
      </c>
      <c r="C964" s="115"/>
      <c r="D964" s="310"/>
      <c r="E964" s="120" t="s">
        <v>1081</v>
      </c>
      <c r="F964" s="91" t="str">
        <f t="shared" si="119"/>
        <v/>
      </c>
      <c r="G964" s="91" t="str">
        <f t="shared" si="120"/>
        <v/>
      </c>
      <c r="H964" s="91" t="str">
        <f t="shared" si="135"/>
        <v/>
      </c>
      <c r="I964" s="79">
        <v>186</v>
      </c>
      <c r="J964" s="74"/>
      <c r="K964" s="74"/>
      <c r="L964" s="75"/>
      <c r="M964" s="74"/>
      <c r="N964" s="74"/>
      <c r="O964" s="74"/>
      <c r="P964" s="74"/>
      <c r="Q964" s="74"/>
      <c r="R964" s="74"/>
      <c r="S964" s="74"/>
      <c r="T964" s="74"/>
      <c r="U964" s="74"/>
      <c r="V964" s="74"/>
      <c r="W964" s="74"/>
      <c r="X964" s="74"/>
      <c r="Y964" s="74"/>
    </row>
    <row r="965" spans="1:25" ht="33.6">
      <c r="A965" s="74"/>
      <c r="B965" s="79" t="str">
        <f t="shared" si="136"/>
        <v/>
      </c>
      <c r="C965" s="306"/>
      <c r="D965" s="311"/>
      <c r="E965" s="120" t="s">
        <v>1082</v>
      </c>
      <c r="F965" s="91" t="str">
        <f t="shared" si="119"/>
        <v/>
      </c>
      <c r="G965" s="91" t="str">
        <f t="shared" si="120"/>
        <v/>
      </c>
      <c r="H965" s="91" t="str">
        <f t="shared" si="135"/>
        <v/>
      </c>
      <c r="I965" s="79">
        <f>IF(OR(E965="",B965&lt;&gt;""),"",IF(I964&lt;&gt;"",I964,B964))</f>
        <v>186</v>
      </c>
      <c r="J965" s="74"/>
      <c r="K965" s="74"/>
      <c r="L965" s="75"/>
      <c r="M965" s="74"/>
      <c r="N965" s="74"/>
      <c r="O965" s="74"/>
      <c r="P965" s="74"/>
      <c r="Q965" s="74"/>
      <c r="R965" s="74"/>
      <c r="S965" s="74"/>
      <c r="T965" s="74"/>
      <c r="U965" s="74"/>
      <c r="V965" s="74"/>
      <c r="W965" s="74"/>
      <c r="X965" s="74"/>
      <c r="Y965" s="74"/>
    </row>
    <row r="966" spans="1:25" ht="18">
      <c r="A966" s="74"/>
      <c r="B966" s="79">
        <f t="shared" si="136"/>
        <v>187</v>
      </c>
      <c r="C966" s="312" t="s">
        <v>1083</v>
      </c>
      <c r="D966" s="310" t="s">
        <v>858</v>
      </c>
      <c r="E966" s="120"/>
      <c r="F966" s="91" t="str">
        <f t="shared" si="119"/>
        <v>B</v>
      </c>
      <c r="G966" s="91" t="str">
        <f t="shared" si="120"/>
        <v>Đơn giản</v>
      </c>
      <c r="H966" s="91">
        <f t="shared" ref="H966:H968" si="138">IF(AND(B966&lt;&gt;"",C966&lt;&gt;"",D966&lt;&gt;""),COUNTIF(I966:I1968,B966),"")</f>
        <v>2</v>
      </c>
      <c r="I966" s="79" t="str">
        <f>IF(OR(E966="",B966&lt;&gt;""),"",IF(I962&lt;&gt;"",I962,B962))</f>
        <v/>
      </c>
      <c r="J966" s="74"/>
      <c r="K966" s="74"/>
      <c r="L966" s="75"/>
      <c r="M966" s="74"/>
      <c r="N966" s="74"/>
      <c r="O966" s="74"/>
      <c r="P966" s="74"/>
      <c r="Q966" s="74"/>
      <c r="R966" s="74"/>
      <c r="S966" s="74"/>
      <c r="T966" s="74"/>
      <c r="U966" s="74"/>
      <c r="V966" s="74"/>
      <c r="W966" s="74"/>
      <c r="X966" s="74"/>
      <c r="Y966" s="74"/>
    </row>
    <row r="967" spans="1:25" ht="33.6">
      <c r="A967" s="74"/>
      <c r="B967" s="79" t="str">
        <f t="shared" si="136"/>
        <v/>
      </c>
      <c r="C967" s="115"/>
      <c r="D967" s="310"/>
      <c r="E967" s="120" t="s">
        <v>1084</v>
      </c>
      <c r="F967" s="91" t="str">
        <f t="shared" si="119"/>
        <v/>
      </c>
      <c r="G967" s="91" t="str">
        <f t="shared" si="120"/>
        <v/>
      </c>
      <c r="H967" s="91" t="str">
        <f t="shared" si="138"/>
        <v/>
      </c>
      <c r="I967" s="79">
        <f t="shared" ref="I967:I968" si="139">IF(OR(E967="",B967&lt;&gt;""),"",IF(I966&lt;&gt;"",I966,B966))</f>
        <v>187</v>
      </c>
      <c r="J967" s="74"/>
      <c r="K967" s="74"/>
      <c r="L967" s="75"/>
      <c r="M967" s="74"/>
      <c r="N967" s="74"/>
      <c r="O967" s="74"/>
      <c r="P967" s="74"/>
      <c r="Q967" s="74"/>
      <c r="R967" s="74"/>
      <c r="S967" s="74"/>
      <c r="T967" s="74"/>
      <c r="U967" s="74"/>
      <c r="V967" s="74"/>
      <c r="W967" s="74"/>
      <c r="X967" s="74"/>
      <c r="Y967" s="74"/>
    </row>
    <row r="968" spans="1:25" ht="33.6">
      <c r="A968" s="74"/>
      <c r="B968" s="79" t="str">
        <f t="shared" si="136"/>
        <v/>
      </c>
      <c r="C968" s="306"/>
      <c r="D968" s="311"/>
      <c r="E968" s="120" t="s">
        <v>1085</v>
      </c>
      <c r="F968" s="91" t="str">
        <f t="shared" si="119"/>
        <v/>
      </c>
      <c r="G968" s="91" t="str">
        <f t="shared" si="120"/>
        <v/>
      </c>
      <c r="H968" s="91" t="str">
        <f t="shared" si="138"/>
        <v/>
      </c>
      <c r="I968" s="79">
        <f t="shared" si="139"/>
        <v>187</v>
      </c>
      <c r="J968" s="74"/>
      <c r="K968" s="74"/>
      <c r="L968" s="75"/>
      <c r="M968" s="74"/>
      <c r="N968" s="74"/>
      <c r="O968" s="74"/>
      <c r="P968" s="74"/>
      <c r="Q968" s="74"/>
      <c r="R968" s="74"/>
      <c r="S968" s="74"/>
      <c r="T968" s="74"/>
      <c r="U968" s="74"/>
      <c r="V968" s="74"/>
      <c r="W968" s="74"/>
      <c r="X968" s="74"/>
      <c r="Y968" s="74"/>
    </row>
    <row r="969" spans="1:25" ht="18">
      <c r="A969" s="74"/>
      <c r="B969" s="91" t="s">
        <v>1086</v>
      </c>
      <c r="C969" s="119" t="s">
        <v>1087</v>
      </c>
      <c r="D969" s="310"/>
      <c r="E969" s="103"/>
      <c r="F969" s="91"/>
      <c r="G969" s="91"/>
      <c r="H969" s="91"/>
      <c r="I969" s="79"/>
      <c r="J969" s="74"/>
      <c r="K969" s="74"/>
      <c r="L969" s="75"/>
      <c r="M969" s="74"/>
      <c r="N969" s="74"/>
      <c r="O969" s="74"/>
      <c r="P969" s="74"/>
      <c r="Q969" s="74"/>
      <c r="R969" s="74"/>
      <c r="S969" s="74"/>
      <c r="T969" s="74"/>
      <c r="U969" s="74"/>
      <c r="V969" s="74"/>
      <c r="W969" s="74"/>
      <c r="X969" s="74"/>
      <c r="Y969" s="74"/>
    </row>
    <row r="970" spans="1:25" ht="18">
      <c r="A970" s="74"/>
      <c r="B970" s="79">
        <f>IF(C970="","",IF(F970="B",COUNTIF($F$6:F970,"B"),""))</f>
        <v>188</v>
      </c>
      <c r="C970" s="115" t="s">
        <v>1088</v>
      </c>
      <c r="D970" s="310" t="s">
        <v>858</v>
      </c>
      <c r="E970" s="103"/>
      <c r="F970" s="91" t="str">
        <f t="shared" ref="F970:F981" si="140">IF(D970="","","B")</f>
        <v>B</v>
      </c>
      <c r="G970" s="91" t="str">
        <f t="shared" ref="G970:G981" si="141">IF(AND(B970&lt;&gt;"",C970&lt;&gt;"",D970&lt;&gt;""),IF(H970&lt;4,$K$1,IF(H970&lt;8,$K$2,$K$3)),"")</f>
        <v>Phức tạp</v>
      </c>
      <c r="H970" s="91">
        <f>IF(AND(B970&lt;&gt;"",C970&lt;&gt;"",D970&lt;&gt;""),COUNTIF(I970:I1968,B970),"")</f>
        <v>8</v>
      </c>
      <c r="I970" s="79" t="str">
        <f>IF(OR(E970="",B970&lt;&gt;""),"",IF(I962&lt;&gt;"",I962,B962))</f>
        <v/>
      </c>
      <c r="J970" s="74"/>
      <c r="K970" s="74"/>
      <c r="L970" s="75"/>
      <c r="M970" s="74"/>
      <c r="N970" s="74"/>
      <c r="O970" s="74"/>
      <c r="P970" s="74"/>
      <c r="Q970" s="74"/>
      <c r="R970" s="74"/>
      <c r="S970" s="74"/>
      <c r="T970" s="74"/>
      <c r="U970" s="74"/>
      <c r="V970" s="74"/>
      <c r="W970" s="74"/>
      <c r="X970" s="74"/>
      <c r="Y970" s="74"/>
    </row>
    <row r="971" spans="1:25" ht="33.6">
      <c r="A971" s="74"/>
      <c r="B971" s="79" t="str">
        <f>IF(C971="","",IF(F971="B",COUNTIF($F$6:F976,"B"),""))</f>
        <v/>
      </c>
      <c r="C971" s="306"/>
      <c r="D971" s="311"/>
      <c r="E971" s="120" t="s">
        <v>1089</v>
      </c>
      <c r="F971" s="91" t="str">
        <f t="shared" si="140"/>
        <v/>
      </c>
      <c r="G971" s="91" t="str">
        <f t="shared" si="141"/>
        <v/>
      </c>
      <c r="H971" s="91" t="str">
        <f>IF(AND(B971&lt;&gt;"",C971&lt;&gt;"",D971&lt;&gt;""),COUNTIF(I971:I1974,B971),"")</f>
        <v/>
      </c>
      <c r="I971" s="79">
        <f>IF(OR(E971="",B971&lt;&gt;""),"",IF(I973&lt;&gt;"",I973,B973))</f>
        <v>188</v>
      </c>
      <c r="J971" s="74"/>
      <c r="K971" s="74"/>
      <c r="L971" s="75"/>
      <c r="M971" s="74"/>
      <c r="N971" s="74"/>
      <c r="O971" s="74"/>
      <c r="P971" s="74"/>
      <c r="Q971" s="74"/>
      <c r="R971" s="74"/>
      <c r="S971" s="74"/>
      <c r="T971" s="74"/>
      <c r="U971" s="74"/>
      <c r="V971" s="74"/>
      <c r="W971" s="74"/>
      <c r="X971" s="74"/>
      <c r="Y971" s="74"/>
    </row>
    <row r="972" spans="1:25" ht="33.6">
      <c r="A972" s="74"/>
      <c r="B972" s="79" t="str">
        <f>IF(C972="","",IF(F972="B",COUNTIF($F$6:F976,"B"),""))</f>
        <v/>
      </c>
      <c r="C972" s="115"/>
      <c r="D972" s="310"/>
      <c r="E972" s="120" t="s">
        <v>1090</v>
      </c>
      <c r="F972" s="91" t="str">
        <f t="shared" si="140"/>
        <v/>
      </c>
      <c r="G972" s="91" t="str">
        <f t="shared" si="141"/>
        <v/>
      </c>
      <c r="H972" s="91" t="str">
        <f t="shared" ref="H972:H973" si="142">IF(AND(B972&lt;&gt;"",C972&lt;&gt;"",D972&lt;&gt;""),COUNTIF(I972:I1972,B972),"")</f>
        <v/>
      </c>
      <c r="I972" s="79">
        <f>IF(OR(E972="",B972&lt;&gt;""),"",IF(I976&lt;&gt;"",I976,B976))</f>
        <v>188</v>
      </c>
      <c r="J972" s="74"/>
      <c r="K972" s="74"/>
      <c r="L972" s="75"/>
      <c r="M972" s="74"/>
      <c r="N972" s="74"/>
      <c r="O972" s="74"/>
      <c r="P972" s="74"/>
      <c r="Q972" s="74"/>
      <c r="R972" s="74"/>
      <c r="S972" s="74"/>
      <c r="T972" s="74"/>
      <c r="U972" s="74"/>
      <c r="V972" s="74"/>
      <c r="W972" s="74"/>
      <c r="X972" s="74"/>
      <c r="Y972" s="74"/>
    </row>
    <row r="973" spans="1:25" ht="33.6">
      <c r="A973" s="74"/>
      <c r="B973" s="79" t="str">
        <f>IF(C973="","",IF(F973="B",COUNTIF($F$6:F976,"B"),""))</f>
        <v/>
      </c>
      <c r="C973" s="115"/>
      <c r="D973" s="310"/>
      <c r="E973" s="120" t="s">
        <v>1091</v>
      </c>
      <c r="F973" s="91" t="str">
        <f t="shared" si="140"/>
        <v/>
      </c>
      <c r="G973" s="91" t="str">
        <f t="shared" si="141"/>
        <v/>
      </c>
      <c r="H973" s="91" t="str">
        <f t="shared" si="142"/>
        <v/>
      </c>
      <c r="I973" s="79">
        <f>IF(OR(E973="",B973&lt;&gt;""),"",IF(I972&lt;&gt;"",I972,B972))</f>
        <v>188</v>
      </c>
      <c r="J973" s="74"/>
      <c r="K973" s="74"/>
      <c r="L973" s="75"/>
      <c r="M973" s="74"/>
      <c r="N973" s="74"/>
      <c r="O973" s="74"/>
      <c r="P973" s="74"/>
      <c r="Q973" s="74"/>
      <c r="R973" s="74"/>
      <c r="S973" s="74"/>
      <c r="T973" s="74"/>
      <c r="U973" s="74"/>
      <c r="V973" s="74"/>
      <c r="W973" s="74"/>
      <c r="X973" s="74"/>
      <c r="Y973" s="74"/>
    </row>
    <row r="974" spans="1:25" ht="33.6">
      <c r="A974" s="74"/>
      <c r="B974" s="79" t="str">
        <f t="shared" ref="B974:B981" si="143">IF(C974="","",IF(F974="B",COUNTIF($F$6:F974,"B"),""))</f>
        <v/>
      </c>
      <c r="C974" s="115"/>
      <c r="D974" s="310"/>
      <c r="E974" s="120" t="s">
        <v>1092</v>
      </c>
      <c r="F974" s="91" t="str">
        <f t="shared" si="140"/>
        <v/>
      </c>
      <c r="G974" s="91" t="str">
        <f t="shared" si="141"/>
        <v/>
      </c>
      <c r="H974" s="91" t="str">
        <f t="shared" ref="H974:H976" si="144">IF(AND(B974&lt;&gt;"",C974&lt;&gt;"",D974&lt;&gt;""),COUNTIF(I974:I1969,B974),"")</f>
        <v/>
      </c>
      <c r="I974" s="79">
        <f>IF(OR(E974="",B974&lt;&gt;""),"",IF(I970&lt;&gt;"",I970,B970))</f>
        <v>188</v>
      </c>
      <c r="J974" s="74"/>
      <c r="K974" s="74"/>
      <c r="L974" s="75"/>
      <c r="M974" s="74"/>
      <c r="N974" s="74"/>
      <c r="O974" s="74"/>
      <c r="P974" s="74"/>
      <c r="Q974" s="74"/>
      <c r="R974" s="74"/>
      <c r="S974" s="74"/>
      <c r="T974" s="74"/>
      <c r="U974" s="74"/>
      <c r="V974" s="74"/>
      <c r="W974" s="74"/>
      <c r="X974" s="74"/>
      <c r="Y974" s="74"/>
    </row>
    <row r="975" spans="1:25" ht="50.45">
      <c r="A975" s="74"/>
      <c r="B975" s="79" t="str">
        <f t="shared" si="143"/>
        <v/>
      </c>
      <c r="C975" s="115"/>
      <c r="D975" s="310"/>
      <c r="E975" s="120" t="s">
        <v>1093</v>
      </c>
      <c r="F975" s="91" t="str">
        <f t="shared" si="140"/>
        <v/>
      </c>
      <c r="G975" s="91" t="str">
        <f t="shared" si="141"/>
        <v/>
      </c>
      <c r="H975" s="91" t="str">
        <f t="shared" si="144"/>
        <v/>
      </c>
      <c r="I975" s="79">
        <f t="shared" ref="I975:I976" si="145">IF(OR(E975="",B975&lt;&gt;""),"",IF(I974&lt;&gt;"",I974,B974))</f>
        <v>188</v>
      </c>
      <c r="J975" s="74"/>
      <c r="K975" s="74"/>
      <c r="L975" s="75"/>
      <c r="M975" s="74"/>
      <c r="N975" s="74"/>
      <c r="O975" s="74"/>
      <c r="P975" s="74"/>
      <c r="Q975" s="74"/>
      <c r="R975" s="74"/>
      <c r="S975" s="74"/>
      <c r="T975" s="74"/>
      <c r="U975" s="74"/>
      <c r="V975" s="74"/>
      <c r="W975" s="74"/>
      <c r="X975" s="74"/>
      <c r="Y975" s="74"/>
    </row>
    <row r="976" spans="1:25" ht="33.6">
      <c r="A976" s="74"/>
      <c r="B976" s="79" t="str">
        <f t="shared" si="143"/>
        <v/>
      </c>
      <c r="C976" s="115"/>
      <c r="D976" s="310"/>
      <c r="E976" s="120" t="s">
        <v>1094</v>
      </c>
      <c r="F976" s="91" t="str">
        <f t="shared" si="140"/>
        <v/>
      </c>
      <c r="G976" s="91" t="str">
        <f t="shared" si="141"/>
        <v/>
      </c>
      <c r="H976" s="91" t="str">
        <f t="shared" si="144"/>
        <v/>
      </c>
      <c r="I976" s="79">
        <f t="shared" si="145"/>
        <v>188</v>
      </c>
      <c r="J976" s="74"/>
      <c r="K976" s="74"/>
      <c r="L976" s="75"/>
      <c r="M976" s="74"/>
      <c r="N976" s="74"/>
      <c r="O976" s="74"/>
      <c r="P976" s="74"/>
      <c r="Q976" s="74"/>
      <c r="R976" s="74"/>
      <c r="S976" s="74"/>
      <c r="T976" s="74"/>
      <c r="U976" s="74"/>
      <c r="V976" s="74"/>
      <c r="W976" s="74"/>
      <c r="X976" s="74"/>
      <c r="Y976" s="74"/>
    </row>
    <row r="977" spans="1:25" ht="33.6">
      <c r="A977" s="74"/>
      <c r="B977" s="79" t="str">
        <f t="shared" si="143"/>
        <v/>
      </c>
      <c r="C977" s="116"/>
      <c r="D977" s="311"/>
      <c r="E977" s="120" t="s">
        <v>1095</v>
      </c>
      <c r="F977" s="91" t="str">
        <f t="shared" si="140"/>
        <v/>
      </c>
      <c r="G977" s="91" t="str">
        <f t="shared" si="141"/>
        <v/>
      </c>
      <c r="H977" s="91" t="str">
        <f t="shared" ref="H977:H978" si="146">IF(AND(B977&lt;&gt;"",C977&lt;&gt;"",D977&lt;&gt;""),COUNTIF(I977:I1975,B977),"")</f>
        <v/>
      </c>
      <c r="I977" s="79">
        <f>IF(OR(E977="",B977&lt;&gt;""),"",IF(I971&lt;&gt;"",I971,B971))</f>
        <v>188</v>
      </c>
      <c r="J977" s="74"/>
      <c r="K977" s="74"/>
      <c r="L977" s="75"/>
      <c r="M977" s="74"/>
      <c r="N977" s="74"/>
      <c r="O977" s="74"/>
      <c r="P977" s="74"/>
      <c r="Q977" s="74"/>
      <c r="R977" s="74"/>
      <c r="S977" s="74"/>
      <c r="T977" s="74"/>
      <c r="U977" s="74"/>
      <c r="V977" s="74"/>
      <c r="W977" s="74"/>
      <c r="X977" s="74"/>
      <c r="Y977" s="74"/>
    </row>
    <row r="978" spans="1:25" ht="50.45">
      <c r="A978" s="74"/>
      <c r="B978" s="79" t="str">
        <f t="shared" si="143"/>
        <v/>
      </c>
      <c r="C978" s="116"/>
      <c r="D978" s="311"/>
      <c r="E978" s="120" t="s">
        <v>1096</v>
      </c>
      <c r="F978" s="91" t="str">
        <f t="shared" si="140"/>
        <v/>
      </c>
      <c r="G978" s="91" t="str">
        <f t="shared" si="141"/>
        <v/>
      </c>
      <c r="H978" s="91" t="str">
        <f t="shared" si="146"/>
        <v/>
      </c>
      <c r="I978" s="79">
        <f t="shared" ref="I978:I981" si="147">IF(OR(E978="",B978&lt;&gt;""),"",IF(I977&lt;&gt;"",I977,B977))</f>
        <v>188</v>
      </c>
      <c r="J978" s="74"/>
      <c r="K978" s="74"/>
      <c r="L978" s="75"/>
      <c r="M978" s="74"/>
      <c r="N978" s="74"/>
      <c r="O978" s="74"/>
      <c r="P978" s="74"/>
      <c r="Q978" s="74"/>
      <c r="R978" s="74"/>
      <c r="S978" s="74"/>
      <c r="T978" s="74"/>
      <c r="U978" s="74"/>
      <c r="V978" s="74"/>
      <c r="W978" s="74"/>
      <c r="X978" s="74"/>
      <c r="Y978" s="74"/>
    </row>
    <row r="979" spans="1:25" ht="18">
      <c r="A979" s="74"/>
      <c r="B979" s="79">
        <f t="shared" si="143"/>
        <v>189</v>
      </c>
      <c r="C979" s="115" t="s">
        <v>1097</v>
      </c>
      <c r="D979" s="310" t="s">
        <v>858</v>
      </c>
      <c r="E979" s="103"/>
      <c r="F979" s="91" t="str">
        <f t="shared" si="140"/>
        <v>B</v>
      </c>
      <c r="G979" s="91" t="str">
        <f t="shared" si="141"/>
        <v>Phức tạp</v>
      </c>
      <c r="H979" s="91">
        <v>8</v>
      </c>
      <c r="I979" s="79" t="str">
        <f t="shared" si="147"/>
        <v/>
      </c>
      <c r="J979" s="74"/>
      <c r="K979" s="74"/>
      <c r="L979" s="75"/>
      <c r="M979" s="74"/>
      <c r="N979" s="74"/>
      <c r="O979" s="74"/>
      <c r="P979" s="74"/>
      <c r="Q979" s="74"/>
      <c r="R979" s="74"/>
      <c r="S979" s="74"/>
      <c r="T979" s="74"/>
      <c r="U979" s="74"/>
      <c r="V979" s="74"/>
      <c r="W979" s="74"/>
      <c r="X979" s="74"/>
      <c r="Y979" s="74"/>
    </row>
    <row r="980" spans="1:25" ht="33.6">
      <c r="A980" s="74"/>
      <c r="B980" s="79" t="str">
        <f t="shared" si="143"/>
        <v/>
      </c>
      <c r="C980" s="115"/>
      <c r="D980" s="310"/>
      <c r="E980" s="120" t="s">
        <v>1098</v>
      </c>
      <c r="F980" s="91" t="str">
        <f t="shared" si="140"/>
        <v/>
      </c>
      <c r="G980" s="91" t="str">
        <f t="shared" si="141"/>
        <v/>
      </c>
      <c r="H980" s="91" t="str">
        <f t="shared" ref="H980:H981" si="148">IF(AND(B980&lt;&gt;"",C980&lt;&gt;"",D980&lt;&gt;""),COUNTIF(I980:I1978,B980),"")</f>
        <v/>
      </c>
      <c r="I980" s="79">
        <f t="shared" si="147"/>
        <v>189</v>
      </c>
      <c r="J980" s="74"/>
      <c r="K980" s="74"/>
      <c r="L980" s="75"/>
      <c r="M980" s="74"/>
      <c r="N980" s="74"/>
      <c r="O980" s="74"/>
      <c r="P980" s="74"/>
      <c r="Q980" s="74"/>
      <c r="R980" s="74"/>
      <c r="S980" s="74"/>
      <c r="T980" s="74"/>
      <c r="U980" s="74"/>
      <c r="V980" s="74"/>
      <c r="W980" s="74"/>
      <c r="X980" s="74"/>
      <c r="Y980" s="74"/>
    </row>
    <row r="981" spans="1:25" ht="33.6">
      <c r="A981" s="74"/>
      <c r="B981" s="79" t="str">
        <f t="shared" si="143"/>
        <v/>
      </c>
      <c r="C981" s="115"/>
      <c r="D981" s="310"/>
      <c r="E981" s="120" t="s">
        <v>1099</v>
      </c>
      <c r="F981" s="91" t="str">
        <f t="shared" si="140"/>
        <v/>
      </c>
      <c r="G981" s="91" t="str">
        <f t="shared" si="141"/>
        <v/>
      </c>
      <c r="H981" s="91" t="str">
        <f t="shared" si="148"/>
        <v/>
      </c>
      <c r="I981" s="79">
        <f t="shared" si="147"/>
        <v>189</v>
      </c>
      <c r="J981" s="74"/>
      <c r="K981" s="74"/>
      <c r="L981" s="75"/>
      <c r="M981" s="74"/>
      <c r="N981" s="74"/>
      <c r="O981" s="74"/>
      <c r="P981" s="74"/>
      <c r="Q981" s="74"/>
      <c r="R981" s="74"/>
      <c r="S981" s="74"/>
      <c r="T981" s="74"/>
      <c r="U981" s="74"/>
      <c r="V981" s="74"/>
      <c r="W981" s="74"/>
      <c r="X981" s="74"/>
      <c r="Y981" s="74"/>
    </row>
    <row r="982" spans="1:25" ht="33.6">
      <c r="A982" s="74"/>
      <c r="B982" s="79"/>
      <c r="C982" s="116"/>
      <c r="D982" s="311"/>
      <c r="E982" s="120" t="s">
        <v>1100</v>
      </c>
      <c r="F982" s="91"/>
      <c r="G982" s="91"/>
      <c r="H982" s="91"/>
      <c r="I982" s="79">
        <f>IF(OR(E982="",B982&lt;&gt;""),"",IF(I987&lt;&gt;"",I987,B987))</f>
        <v>189</v>
      </c>
      <c r="J982" s="74"/>
      <c r="K982" s="74"/>
      <c r="L982" s="75"/>
      <c r="M982" s="74"/>
      <c r="N982" s="74"/>
      <c r="O982" s="74"/>
      <c r="P982" s="74"/>
      <c r="Q982" s="74"/>
      <c r="R982" s="74"/>
      <c r="S982" s="74"/>
      <c r="T982" s="74"/>
      <c r="U982" s="74"/>
      <c r="V982" s="74"/>
      <c r="W982" s="74"/>
      <c r="X982" s="74"/>
      <c r="Y982" s="74"/>
    </row>
    <row r="983" spans="1:25" ht="33.6">
      <c r="A983" s="74"/>
      <c r="B983" s="79" t="str">
        <f>IF(C983="","",IF(F983="B",COUNTIF($F$6:F983,"B"),""))</f>
        <v/>
      </c>
      <c r="C983" s="115"/>
      <c r="D983" s="310"/>
      <c r="E983" s="120" t="s">
        <v>1101</v>
      </c>
      <c r="F983" s="91" t="str">
        <f t="shared" ref="F983:F994" si="149">IF(D983="","","B")</f>
        <v/>
      </c>
      <c r="G983" s="91" t="str">
        <f t="shared" ref="G983:G994" si="150">IF(AND(B983&lt;&gt;"",C983&lt;&gt;"",D983&lt;&gt;""),IF(H983&lt;4,$K$1,IF(H983&lt;8,$K$2,$K$3)),"")</f>
        <v/>
      </c>
      <c r="H983" s="91" t="str">
        <f>IF(AND(B983&lt;&gt;"",C983&lt;&gt;"",D983&lt;&gt;""),COUNTIF(I983:I1980,B983),"")</f>
        <v/>
      </c>
      <c r="I983" s="79">
        <f t="shared" ref="I983:I985" si="151">IF(OR(E983="",B983&lt;&gt;""),"",IF(I981&lt;&gt;"",I981,B981))</f>
        <v>189</v>
      </c>
      <c r="J983" s="74"/>
      <c r="K983" s="74"/>
      <c r="L983" s="75"/>
      <c r="M983" s="74"/>
      <c r="N983" s="74"/>
      <c r="O983" s="74"/>
      <c r="P983" s="74"/>
      <c r="Q983" s="74"/>
      <c r="R983" s="74"/>
      <c r="S983" s="74"/>
      <c r="T983" s="74"/>
      <c r="U983" s="74"/>
      <c r="V983" s="74"/>
      <c r="W983" s="74"/>
      <c r="X983" s="74"/>
      <c r="Y983" s="74"/>
    </row>
    <row r="984" spans="1:25" ht="50.45">
      <c r="A984" s="74"/>
      <c r="B984" s="121" t="str">
        <f>IF(C984="","",IF(F984="B",COUNTIF($F$6:F987,"B"),""))</f>
        <v/>
      </c>
      <c r="C984" s="116"/>
      <c r="D984" s="311"/>
      <c r="E984" s="114" t="s">
        <v>1102</v>
      </c>
      <c r="F984" s="91" t="str">
        <f t="shared" si="149"/>
        <v/>
      </c>
      <c r="G984" s="91" t="str">
        <f t="shared" si="150"/>
        <v/>
      </c>
      <c r="H984" s="91" t="str">
        <f>IF(AND(B984&lt;&gt;"",C984&lt;&gt;"",D984&lt;&gt;""),COUNTIF(I984:I1984,B984),"")</f>
        <v/>
      </c>
      <c r="I984" s="79">
        <f t="shared" si="151"/>
        <v>189</v>
      </c>
      <c r="J984" s="74"/>
      <c r="K984" s="74"/>
      <c r="L984" s="75"/>
      <c r="M984" s="74"/>
      <c r="N984" s="74"/>
      <c r="O984" s="74"/>
      <c r="P984" s="74"/>
      <c r="Q984" s="74"/>
      <c r="R984" s="74"/>
      <c r="S984" s="74"/>
      <c r="T984" s="74"/>
      <c r="U984" s="74"/>
      <c r="V984" s="74"/>
      <c r="W984" s="74"/>
      <c r="X984" s="74"/>
      <c r="Y984" s="74"/>
    </row>
    <row r="985" spans="1:25" ht="50.45">
      <c r="A985" s="74"/>
      <c r="B985" s="79" t="str">
        <f t="shared" ref="B985:B996" si="152">IF(C985="","",IF(F985="B",COUNTIF($F$6:F985,"B"),""))</f>
        <v/>
      </c>
      <c r="C985" s="115"/>
      <c r="D985" s="310"/>
      <c r="E985" s="120" t="s">
        <v>1103</v>
      </c>
      <c r="F985" s="91" t="str">
        <f t="shared" si="149"/>
        <v/>
      </c>
      <c r="G985" s="91" t="str">
        <f t="shared" si="150"/>
        <v/>
      </c>
      <c r="H985" s="91" t="str">
        <f t="shared" ref="H985:H987" si="153">IF(AND(B985&lt;&gt;"",C985&lt;&gt;"",D985&lt;&gt;""),COUNTIF(I985:I1981,B985),"")</f>
        <v/>
      </c>
      <c r="I985" s="79">
        <f t="shared" si="151"/>
        <v>189</v>
      </c>
      <c r="J985" s="74"/>
      <c r="K985" s="74"/>
      <c r="L985" s="75"/>
      <c r="M985" s="74"/>
      <c r="N985" s="74"/>
      <c r="O985" s="74"/>
      <c r="P985" s="74"/>
      <c r="Q985" s="74"/>
      <c r="R985" s="74"/>
      <c r="S985" s="74"/>
      <c r="T985" s="74"/>
      <c r="U985" s="74"/>
      <c r="V985" s="74"/>
      <c r="W985" s="74"/>
      <c r="X985" s="74"/>
      <c r="Y985" s="74"/>
    </row>
    <row r="986" spans="1:25" ht="33.6">
      <c r="A986" s="74"/>
      <c r="B986" s="79" t="str">
        <f t="shared" si="152"/>
        <v/>
      </c>
      <c r="C986" s="115"/>
      <c r="D986" s="310"/>
      <c r="E986" s="120" t="s">
        <v>1104</v>
      </c>
      <c r="F986" s="91" t="str">
        <f t="shared" si="149"/>
        <v/>
      </c>
      <c r="G986" s="91" t="str">
        <f t="shared" si="150"/>
        <v/>
      </c>
      <c r="H986" s="91" t="str">
        <f t="shared" si="153"/>
        <v/>
      </c>
      <c r="I986" s="79">
        <f t="shared" ref="I986:I987" si="154">IF(OR(E986="",B986&lt;&gt;""),"",IF(I985&lt;&gt;"",I985,B985))</f>
        <v>189</v>
      </c>
      <c r="J986" s="74"/>
      <c r="K986" s="74"/>
      <c r="L986" s="75"/>
      <c r="M986" s="74"/>
      <c r="N986" s="74"/>
      <c r="O986" s="74"/>
      <c r="P986" s="74"/>
      <c r="Q986" s="74"/>
      <c r="R986" s="74"/>
      <c r="S986" s="74"/>
      <c r="T986" s="74"/>
      <c r="U986" s="74"/>
      <c r="V986" s="74"/>
      <c r="W986" s="74"/>
      <c r="X986" s="74"/>
      <c r="Y986" s="74"/>
    </row>
    <row r="987" spans="1:25" ht="33.6">
      <c r="A987" s="74"/>
      <c r="B987" s="79" t="str">
        <f t="shared" si="152"/>
        <v/>
      </c>
      <c r="C987" s="306"/>
      <c r="D987" s="311"/>
      <c r="E987" s="120" t="s">
        <v>1105</v>
      </c>
      <c r="F987" s="91" t="str">
        <f t="shared" si="149"/>
        <v/>
      </c>
      <c r="G987" s="91" t="str">
        <f t="shared" si="150"/>
        <v/>
      </c>
      <c r="H987" s="91" t="str">
        <f t="shared" si="153"/>
        <v/>
      </c>
      <c r="I987" s="79">
        <f t="shared" si="154"/>
        <v>189</v>
      </c>
      <c r="J987" s="74"/>
      <c r="K987" s="74"/>
      <c r="L987" s="75"/>
      <c r="M987" s="74"/>
      <c r="N987" s="74"/>
      <c r="O987" s="74"/>
      <c r="P987" s="74"/>
      <c r="Q987" s="74"/>
      <c r="R987" s="74"/>
      <c r="S987" s="74"/>
      <c r="T987" s="74"/>
      <c r="U987" s="74"/>
      <c r="V987" s="74"/>
      <c r="W987" s="74"/>
      <c r="X987" s="74"/>
      <c r="Y987" s="74"/>
    </row>
    <row r="988" spans="1:25" ht="18">
      <c r="A988" s="74"/>
      <c r="B988" s="79">
        <f t="shared" si="152"/>
        <v>190</v>
      </c>
      <c r="C988" s="115" t="s">
        <v>1106</v>
      </c>
      <c r="D988" s="310" t="s">
        <v>858</v>
      </c>
      <c r="E988" s="103"/>
      <c r="F988" s="91" t="str">
        <f t="shared" si="149"/>
        <v>B</v>
      </c>
      <c r="G988" s="91" t="str">
        <f t="shared" si="150"/>
        <v>Phức tạp</v>
      </c>
      <c r="H988" s="91">
        <v>10</v>
      </c>
      <c r="I988" s="79" t="str">
        <f>IF(OR(E988="",B988&lt;&gt;""),"",IF(I984&lt;&gt;"",I984,B984))</f>
        <v/>
      </c>
      <c r="J988" s="74"/>
      <c r="K988" s="74"/>
      <c r="L988" s="75"/>
      <c r="M988" s="74"/>
      <c r="N988" s="74"/>
      <c r="O988" s="74"/>
      <c r="P988" s="74"/>
      <c r="Q988" s="74"/>
      <c r="R988" s="74"/>
      <c r="S988" s="74"/>
      <c r="T988" s="74"/>
      <c r="U988" s="74"/>
      <c r="V988" s="74"/>
      <c r="W988" s="74"/>
      <c r="X988" s="74"/>
      <c r="Y988" s="74"/>
    </row>
    <row r="989" spans="1:25" ht="50.45">
      <c r="A989" s="74"/>
      <c r="B989" s="79" t="str">
        <f t="shared" si="152"/>
        <v/>
      </c>
      <c r="C989" s="115"/>
      <c r="D989" s="310"/>
      <c r="E989" s="120" t="s">
        <v>1107</v>
      </c>
      <c r="F989" s="91" t="str">
        <f t="shared" si="149"/>
        <v/>
      </c>
      <c r="G989" s="91" t="str">
        <f t="shared" si="150"/>
        <v/>
      </c>
      <c r="H989" s="91" t="str">
        <f t="shared" ref="H989:H994" si="155">IF(AND(B989&lt;&gt;"",C989&lt;&gt;"",D989&lt;&gt;""),COUNTIF(I989:I1986,B989),"")</f>
        <v/>
      </c>
      <c r="I989" s="79">
        <f t="shared" ref="I989:I998" si="156">IF(OR(E989="",B989&lt;&gt;""),"",IF(I988&lt;&gt;"",I988,B988))</f>
        <v>190</v>
      </c>
      <c r="J989" s="74"/>
      <c r="K989" s="74"/>
      <c r="L989" s="75"/>
      <c r="M989" s="74"/>
      <c r="N989" s="74"/>
      <c r="O989" s="74"/>
      <c r="P989" s="74"/>
      <c r="Q989" s="74"/>
      <c r="R989" s="74"/>
      <c r="S989" s="74"/>
      <c r="T989" s="74"/>
      <c r="U989" s="74"/>
      <c r="V989" s="74"/>
      <c r="W989" s="74"/>
      <c r="X989" s="74"/>
      <c r="Y989" s="74"/>
    </row>
    <row r="990" spans="1:25" ht="33.6">
      <c r="A990" s="74"/>
      <c r="B990" s="79" t="str">
        <f t="shared" si="152"/>
        <v/>
      </c>
      <c r="C990" s="115"/>
      <c r="D990" s="310"/>
      <c r="E990" s="120" t="s">
        <v>1108</v>
      </c>
      <c r="F990" s="91" t="str">
        <f t="shared" si="149"/>
        <v/>
      </c>
      <c r="G990" s="91" t="str">
        <f t="shared" si="150"/>
        <v/>
      </c>
      <c r="H990" s="91" t="str">
        <f t="shared" si="155"/>
        <v/>
      </c>
      <c r="I990" s="79">
        <f t="shared" si="156"/>
        <v>190</v>
      </c>
      <c r="J990" s="74"/>
      <c r="K990" s="74"/>
      <c r="L990" s="75"/>
      <c r="M990" s="74"/>
      <c r="N990" s="74"/>
      <c r="O990" s="74"/>
      <c r="P990" s="74"/>
      <c r="Q990" s="74"/>
      <c r="R990" s="74"/>
      <c r="S990" s="74"/>
      <c r="T990" s="74"/>
      <c r="U990" s="74"/>
      <c r="V990" s="74"/>
      <c r="W990" s="74"/>
      <c r="X990" s="74"/>
      <c r="Y990" s="74"/>
    </row>
    <row r="991" spans="1:25" ht="50.45">
      <c r="A991" s="74"/>
      <c r="B991" s="79" t="str">
        <f t="shared" si="152"/>
        <v/>
      </c>
      <c r="C991" s="115"/>
      <c r="D991" s="310"/>
      <c r="E991" s="120" t="s">
        <v>1109</v>
      </c>
      <c r="F991" s="91" t="str">
        <f t="shared" si="149"/>
        <v/>
      </c>
      <c r="G991" s="91" t="str">
        <f t="shared" si="150"/>
        <v/>
      </c>
      <c r="H991" s="91" t="str">
        <f t="shared" si="155"/>
        <v/>
      </c>
      <c r="I991" s="79">
        <f t="shared" si="156"/>
        <v>190</v>
      </c>
      <c r="J991" s="74"/>
      <c r="K991" s="74"/>
      <c r="L991" s="75"/>
      <c r="M991" s="74"/>
      <c r="N991" s="74"/>
      <c r="O991" s="74"/>
      <c r="P991" s="74"/>
      <c r="Q991" s="74"/>
      <c r="R991" s="74"/>
      <c r="S991" s="74"/>
      <c r="T991" s="74"/>
      <c r="U991" s="74"/>
      <c r="V991" s="74"/>
      <c r="W991" s="74"/>
      <c r="X991" s="74"/>
      <c r="Y991" s="74"/>
    </row>
    <row r="992" spans="1:25" ht="50.45">
      <c r="A992" s="74"/>
      <c r="B992" s="79" t="str">
        <f t="shared" si="152"/>
        <v/>
      </c>
      <c r="C992" s="115"/>
      <c r="D992" s="310"/>
      <c r="E992" s="120" t="s">
        <v>1110</v>
      </c>
      <c r="F992" s="91" t="str">
        <f t="shared" si="149"/>
        <v/>
      </c>
      <c r="G992" s="91" t="str">
        <f t="shared" si="150"/>
        <v/>
      </c>
      <c r="H992" s="91" t="str">
        <f t="shared" si="155"/>
        <v/>
      </c>
      <c r="I992" s="79">
        <f t="shared" si="156"/>
        <v>190</v>
      </c>
      <c r="J992" s="74"/>
      <c r="K992" s="74"/>
      <c r="L992" s="75"/>
      <c r="M992" s="74"/>
      <c r="N992" s="74"/>
      <c r="O992" s="74"/>
      <c r="P992" s="74"/>
      <c r="Q992" s="74"/>
      <c r="R992" s="74"/>
      <c r="S992" s="74"/>
      <c r="T992" s="74"/>
      <c r="U992" s="74"/>
      <c r="V992" s="74"/>
      <c r="W992" s="74"/>
      <c r="X992" s="74"/>
      <c r="Y992" s="74"/>
    </row>
    <row r="993" spans="1:25" ht="50.45">
      <c r="A993" s="74"/>
      <c r="B993" s="79" t="str">
        <f t="shared" si="152"/>
        <v/>
      </c>
      <c r="C993" s="115"/>
      <c r="D993" s="310"/>
      <c r="E993" s="120" t="s">
        <v>1111</v>
      </c>
      <c r="F993" s="91" t="str">
        <f t="shared" si="149"/>
        <v/>
      </c>
      <c r="G993" s="91" t="str">
        <f t="shared" si="150"/>
        <v/>
      </c>
      <c r="H993" s="91" t="str">
        <f t="shared" si="155"/>
        <v/>
      </c>
      <c r="I993" s="79">
        <f t="shared" si="156"/>
        <v>190</v>
      </c>
      <c r="J993" s="74"/>
      <c r="K993" s="74"/>
      <c r="L993" s="75"/>
      <c r="M993" s="74"/>
      <c r="N993" s="74"/>
      <c r="O993" s="74"/>
      <c r="P993" s="74"/>
      <c r="Q993" s="74"/>
      <c r="R993" s="74"/>
      <c r="S993" s="74"/>
      <c r="T993" s="74"/>
      <c r="U993" s="74"/>
      <c r="V993" s="74"/>
      <c r="W993" s="74"/>
      <c r="X993" s="74"/>
      <c r="Y993" s="74"/>
    </row>
    <row r="994" spans="1:25" ht="50.45">
      <c r="A994" s="74"/>
      <c r="B994" s="79" t="str">
        <f t="shared" si="152"/>
        <v/>
      </c>
      <c r="C994" s="306"/>
      <c r="D994" s="311"/>
      <c r="E994" s="120" t="s">
        <v>1112</v>
      </c>
      <c r="F994" s="91" t="str">
        <f t="shared" si="149"/>
        <v/>
      </c>
      <c r="G994" s="91" t="str">
        <f t="shared" si="150"/>
        <v/>
      </c>
      <c r="H994" s="91" t="str">
        <f t="shared" si="155"/>
        <v/>
      </c>
      <c r="I994" s="79">
        <f t="shared" si="156"/>
        <v>190</v>
      </c>
      <c r="J994" s="74"/>
      <c r="K994" s="74"/>
      <c r="L994" s="75"/>
      <c r="M994" s="74"/>
      <c r="N994" s="74"/>
      <c r="O994" s="74"/>
      <c r="P994" s="74"/>
      <c r="Q994" s="74"/>
      <c r="R994" s="74"/>
      <c r="S994" s="74"/>
      <c r="T994" s="74"/>
      <c r="U994" s="74"/>
      <c r="V994" s="74"/>
      <c r="W994" s="74"/>
      <c r="X994" s="74"/>
      <c r="Y994" s="74"/>
    </row>
    <row r="995" spans="1:25" ht="33.6">
      <c r="A995" s="74"/>
      <c r="B995" s="79" t="str">
        <f t="shared" si="152"/>
        <v/>
      </c>
      <c r="C995" s="116"/>
      <c r="D995" s="311"/>
      <c r="E995" s="120" t="s">
        <v>1113</v>
      </c>
      <c r="F995" s="91"/>
      <c r="G995" s="91"/>
      <c r="H995" s="91"/>
      <c r="I995" s="79">
        <f t="shared" si="156"/>
        <v>190</v>
      </c>
      <c r="J995" s="74"/>
      <c r="K995" s="74"/>
      <c r="L995" s="75"/>
      <c r="M995" s="74"/>
      <c r="N995" s="74"/>
      <c r="O995" s="74"/>
      <c r="P995" s="74"/>
      <c r="Q995" s="74"/>
      <c r="R995" s="74"/>
      <c r="S995" s="74"/>
      <c r="T995" s="74"/>
      <c r="U995" s="74"/>
      <c r="V995" s="74"/>
      <c r="W995" s="74"/>
      <c r="X995" s="74"/>
      <c r="Y995" s="74"/>
    </row>
    <row r="996" spans="1:25" ht="50.45">
      <c r="A996" s="74"/>
      <c r="B996" s="79" t="str">
        <f t="shared" si="152"/>
        <v/>
      </c>
      <c r="C996" s="116"/>
      <c r="D996" s="311"/>
      <c r="E996" s="120" t="s">
        <v>1114</v>
      </c>
      <c r="F996" s="91" t="str">
        <f>IF(D996="","","B")</f>
        <v/>
      </c>
      <c r="G996" s="91" t="str">
        <f>IF(AND(B996&lt;&gt;"",C996&lt;&gt;"",D996&lt;&gt;""),IF(H996&lt;4,$K$1,IF(H996&lt;8,$K$2,$K$3)),"")</f>
        <v/>
      </c>
      <c r="H996" s="91" t="str">
        <f>IF(AND(B996&lt;&gt;"",C996&lt;&gt;"",D996&lt;&gt;""),COUNTIF(I996:I1992,B996),"")</f>
        <v/>
      </c>
      <c r="I996" s="79">
        <f t="shared" si="156"/>
        <v>190</v>
      </c>
      <c r="J996" s="74"/>
      <c r="K996" s="74"/>
      <c r="L996" s="75"/>
      <c r="M996" s="74"/>
      <c r="N996" s="74"/>
      <c r="O996" s="74"/>
      <c r="P996" s="74"/>
      <c r="Q996" s="74"/>
      <c r="R996" s="74"/>
      <c r="S996" s="74"/>
      <c r="T996" s="74"/>
      <c r="U996" s="74"/>
      <c r="V996" s="74"/>
      <c r="W996" s="74"/>
      <c r="X996" s="74"/>
      <c r="Y996" s="74"/>
    </row>
    <row r="997" spans="1:25" ht="50.45">
      <c r="A997" s="74"/>
      <c r="B997" s="79"/>
      <c r="C997" s="116"/>
      <c r="D997" s="311"/>
      <c r="E997" s="120" t="s">
        <v>1115</v>
      </c>
      <c r="F997" s="91"/>
      <c r="G997" s="91"/>
      <c r="H997" s="91"/>
      <c r="I997" s="79">
        <f t="shared" si="156"/>
        <v>190</v>
      </c>
      <c r="J997" s="74"/>
      <c r="K997" s="74"/>
      <c r="L997" s="75"/>
      <c r="M997" s="74"/>
      <c r="N997" s="74"/>
      <c r="O997" s="74"/>
      <c r="P997" s="74"/>
      <c r="Q997" s="74"/>
      <c r="R997" s="74"/>
      <c r="S997" s="74"/>
      <c r="T997" s="74"/>
      <c r="U997" s="74"/>
      <c r="V997" s="74"/>
      <c r="W997" s="74"/>
      <c r="X997" s="74"/>
      <c r="Y997" s="74"/>
    </row>
    <row r="998" spans="1:25" ht="50.45">
      <c r="A998" s="74"/>
      <c r="B998" s="79"/>
      <c r="C998" s="116"/>
      <c r="D998" s="311"/>
      <c r="E998" s="120" t="s">
        <v>1116</v>
      </c>
      <c r="F998" s="91"/>
      <c r="G998" s="91"/>
      <c r="H998" s="91"/>
      <c r="I998" s="79">
        <f t="shared" si="156"/>
        <v>190</v>
      </c>
      <c r="J998" s="74"/>
      <c r="K998" s="74"/>
      <c r="L998" s="75"/>
      <c r="M998" s="74"/>
      <c r="N998" s="74"/>
      <c r="O998" s="74"/>
      <c r="P998" s="74"/>
      <c r="Q998" s="74"/>
      <c r="R998" s="74"/>
      <c r="S998" s="74"/>
      <c r="T998" s="74"/>
      <c r="U998" s="74"/>
      <c r="V998" s="74"/>
      <c r="W998" s="74"/>
      <c r="X998" s="74"/>
      <c r="Y998" s="74"/>
    </row>
    <row r="999" spans="1:25" ht="18">
      <c r="A999" s="74"/>
      <c r="B999" s="91" t="s">
        <v>1086</v>
      </c>
      <c r="C999" s="119" t="s">
        <v>1117</v>
      </c>
      <c r="D999" s="112"/>
      <c r="E999" s="103"/>
      <c r="F999" s="91" t="str">
        <f t="shared" ref="F999:F1002" si="157">IF(D999="","","B")</f>
        <v/>
      </c>
      <c r="G999" s="91" t="str">
        <f t="shared" ref="G999:G1002" si="158">IF(AND(B999&lt;&gt;"",C999&lt;&gt;"",D999&lt;&gt;""),IF(H999&lt;4,$K$1,IF(H999&lt;8,$K$2,$K$3)),"")</f>
        <v/>
      </c>
      <c r="H999" s="91" t="str">
        <f t="shared" ref="H999:H1002" si="159">IF(AND(B999&lt;&gt;"",C999&lt;&gt;"",D999&lt;&gt;""),COUNTIF(I999:I1993,B999),"")</f>
        <v/>
      </c>
      <c r="I999" s="79" t="str">
        <f>IF(OR(E999="",B999&lt;&gt;""),"",IF(I996&lt;&gt;"",I996,B996))</f>
        <v/>
      </c>
      <c r="J999" s="74"/>
      <c r="K999" s="74"/>
      <c r="L999" s="75"/>
      <c r="M999" s="74"/>
      <c r="N999" s="74"/>
      <c r="O999" s="74"/>
      <c r="P999" s="74"/>
      <c r="Q999" s="74"/>
      <c r="R999" s="74"/>
      <c r="S999" s="74"/>
      <c r="T999" s="74"/>
      <c r="U999" s="74"/>
      <c r="V999" s="74"/>
      <c r="W999" s="74"/>
      <c r="X999" s="74"/>
      <c r="Y999" s="74"/>
    </row>
    <row r="1000" spans="1:25" ht="33.6">
      <c r="A1000" s="74"/>
      <c r="B1000" s="79">
        <f t="shared" ref="B1000:B1002" si="160">IF(C1000="","",IF(F1000="B",COUNTIF($F$6:F1000,"B"),""))</f>
        <v>191</v>
      </c>
      <c r="C1000" s="312" t="s">
        <v>1118</v>
      </c>
      <c r="D1000" s="310" t="s">
        <v>858</v>
      </c>
      <c r="E1000" s="103"/>
      <c r="F1000" s="91" t="str">
        <f t="shared" si="157"/>
        <v>B</v>
      </c>
      <c r="G1000" s="91" t="str">
        <f t="shared" si="158"/>
        <v>Trung bình</v>
      </c>
      <c r="H1000" s="91">
        <f t="shared" si="159"/>
        <v>4</v>
      </c>
      <c r="I1000" s="79" t="str">
        <f t="shared" ref="I1000:I1003" si="161">IF(OR(E1000="",B1000&lt;&gt;""),"",IF(I999&lt;&gt;"",I999,B999))</f>
        <v/>
      </c>
      <c r="J1000" s="74"/>
      <c r="K1000" s="74"/>
      <c r="L1000" s="75"/>
      <c r="M1000" s="74"/>
      <c r="N1000" s="74"/>
      <c r="O1000" s="74"/>
      <c r="P1000" s="74"/>
      <c r="Q1000" s="74"/>
      <c r="R1000" s="74"/>
      <c r="S1000" s="74"/>
      <c r="T1000" s="74"/>
      <c r="U1000" s="74"/>
      <c r="V1000" s="74"/>
      <c r="W1000" s="74"/>
      <c r="X1000" s="74"/>
      <c r="Y1000" s="74"/>
    </row>
    <row r="1001" spans="1:25" ht="33.6">
      <c r="A1001" s="74"/>
      <c r="B1001" s="79" t="str">
        <f t="shared" si="160"/>
        <v/>
      </c>
      <c r="C1001" s="115"/>
      <c r="D1001" s="310"/>
      <c r="E1001" s="101" t="s">
        <v>1119</v>
      </c>
      <c r="F1001" s="91" t="str">
        <f t="shared" si="157"/>
        <v/>
      </c>
      <c r="G1001" s="91" t="str">
        <f t="shared" si="158"/>
        <v/>
      </c>
      <c r="H1001" s="91" t="str">
        <f t="shared" si="159"/>
        <v/>
      </c>
      <c r="I1001" s="79">
        <f t="shared" si="161"/>
        <v>191</v>
      </c>
      <c r="J1001" s="74"/>
      <c r="K1001" s="74"/>
      <c r="L1001" s="75"/>
      <c r="M1001" s="74"/>
      <c r="N1001" s="74"/>
      <c r="O1001" s="74"/>
      <c r="P1001" s="74"/>
      <c r="Q1001" s="74"/>
      <c r="R1001" s="74"/>
      <c r="S1001" s="74"/>
      <c r="T1001" s="74"/>
      <c r="U1001" s="74"/>
      <c r="V1001" s="74"/>
      <c r="W1001" s="74"/>
      <c r="X1001" s="74"/>
      <c r="Y1001" s="74"/>
    </row>
    <row r="1002" spans="1:25" ht="50.45">
      <c r="A1002" s="74"/>
      <c r="B1002" s="79" t="str">
        <f t="shared" si="160"/>
        <v/>
      </c>
      <c r="C1002" s="101"/>
      <c r="D1002" s="122"/>
      <c r="E1002" s="120" t="s">
        <v>1120</v>
      </c>
      <c r="F1002" s="91" t="str">
        <f t="shared" si="157"/>
        <v/>
      </c>
      <c r="G1002" s="91" t="str">
        <f t="shared" si="158"/>
        <v/>
      </c>
      <c r="H1002" s="91" t="str">
        <f t="shared" si="159"/>
        <v/>
      </c>
      <c r="I1002" s="79">
        <f t="shared" si="161"/>
        <v>191</v>
      </c>
      <c r="J1002" s="74"/>
      <c r="K1002" s="74"/>
      <c r="L1002" s="75"/>
      <c r="M1002" s="74"/>
      <c r="N1002" s="74"/>
      <c r="O1002" s="74"/>
      <c r="P1002" s="74"/>
      <c r="Q1002" s="74"/>
      <c r="R1002" s="74"/>
      <c r="S1002" s="74"/>
      <c r="T1002" s="74"/>
      <c r="U1002" s="74"/>
      <c r="V1002" s="74"/>
      <c r="W1002" s="74"/>
      <c r="X1002" s="74"/>
      <c r="Y1002" s="74"/>
    </row>
    <row r="1003" spans="1:25" ht="50.45">
      <c r="A1003" s="74"/>
      <c r="B1003" s="79"/>
      <c r="C1003" s="101"/>
      <c r="D1003" s="122"/>
      <c r="E1003" s="120" t="s">
        <v>1121</v>
      </c>
      <c r="F1003" s="91"/>
      <c r="G1003" s="91"/>
      <c r="H1003" s="91"/>
      <c r="I1003" s="79">
        <f t="shared" si="161"/>
        <v>191</v>
      </c>
      <c r="J1003" s="74"/>
      <c r="K1003" s="74"/>
      <c r="L1003" s="75"/>
      <c r="M1003" s="74"/>
      <c r="N1003" s="74"/>
      <c r="O1003" s="74"/>
      <c r="P1003" s="74"/>
      <c r="Q1003" s="74"/>
      <c r="R1003" s="74"/>
      <c r="S1003" s="74"/>
      <c r="T1003" s="74"/>
      <c r="U1003" s="74"/>
      <c r="V1003" s="74"/>
      <c r="W1003" s="74"/>
      <c r="X1003" s="74"/>
      <c r="Y1003" s="74"/>
    </row>
    <row r="1004" spans="1:25" ht="18">
      <c r="A1004" s="74"/>
      <c r="B1004" s="79">
        <f t="shared" ref="B1004:B1006" si="162">IF(C1004="","",IF(F1004="B",COUNTIF($F$6:F1004,"B"),""))</f>
        <v>192</v>
      </c>
      <c r="C1004" s="123" t="s">
        <v>1122</v>
      </c>
      <c r="D1004" s="122" t="s">
        <v>858</v>
      </c>
      <c r="E1004" s="103"/>
      <c r="F1004" s="91" t="str">
        <f t="shared" ref="F1004:F1006" si="163">IF(D1004="","","B")</f>
        <v>B</v>
      </c>
      <c r="G1004" s="91" t="str">
        <f t="shared" ref="G1004:G1006" si="164">IF(AND(B1004&lt;&gt;"",C1004&lt;&gt;"",D1004&lt;&gt;""),IF(H1004&lt;4,$K$1,IF(H1004&lt;8,$K$2,$K$3)),"")</f>
        <v>Đơn giản</v>
      </c>
      <c r="H1004" s="91">
        <f t="shared" ref="H1004:H1006" si="165">IF(AND(B1004&lt;&gt;"",C1004&lt;&gt;"",D1004&lt;&gt;""),COUNTIF(I1004:I1997,B1004),"")</f>
        <v>3</v>
      </c>
      <c r="I1004" s="79" t="str">
        <f>IF(OR(E1004="",B1004&lt;&gt;""),"",IF(I1002&lt;&gt;"",I1002,B1002))</f>
        <v/>
      </c>
      <c r="J1004" s="74"/>
      <c r="K1004" s="74"/>
      <c r="L1004" s="75"/>
      <c r="M1004" s="74"/>
      <c r="N1004" s="74"/>
      <c r="O1004" s="74"/>
      <c r="P1004" s="74"/>
      <c r="Q1004" s="74"/>
      <c r="R1004" s="74"/>
      <c r="S1004" s="74"/>
      <c r="T1004" s="74"/>
      <c r="U1004" s="74"/>
      <c r="V1004" s="74"/>
      <c r="W1004" s="74"/>
      <c r="X1004" s="74"/>
      <c r="Y1004" s="74"/>
    </row>
    <row r="1005" spans="1:25" ht="33.6">
      <c r="A1005" s="74"/>
      <c r="B1005" s="79" t="str">
        <f t="shared" si="162"/>
        <v/>
      </c>
      <c r="C1005" s="101"/>
      <c r="D1005" s="122"/>
      <c r="E1005" s="120" t="s">
        <v>1123</v>
      </c>
      <c r="F1005" s="91" t="str">
        <f t="shared" si="163"/>
        <v/>
      </c>
      <c r="G1005" s="91" t="str">
        <f t="shared" si="164"/>
        <v/>
      </c>
      <c r="H1005" s="91" t="str">
        <f t="shared" si="165"/>
        <v/>
      </c>
      <c r="I1005" s="79">
        <f t="shared" ref="I1005:I1006" si="166">IF(OR(E1005="",B1005&lt;&gt;""),"",IF(I1004&lt;&gt;"",I1004,B1004))</f>
        <v>192</v>
      </c>
      <c r="J1005" s="74"/>
      <c r="K1005" s="74"/>
      <c r="L1005" s="75"/>
      <c r="M1005" s="74"/>
      <c r="N1005" s="74"/>
      <c r="O1005" s="74"/>
      <c r="P1005" s="74"/>
      <c r="Q1005" s="74"/>
      <c r="R1005" s="74"/>
      <c r="S1005" s="74"/>
      <c r="T1005" s="74"/>
      <c r="U1005" s="74"/>
      <c r="V1005" s="74"/>
      <c r="W1005" s="74"/>
      <c r="X1005" s="74"/>
      <c r="Y1005" s="74"/>
    </row>
    <row r="1006" spans="1:25" ht="50.45">
      <c r="A1006" s="74"/>
      <c r="B1006" s="79" t="str">
        <f t="shared" si="162"/>
        <v/>
      </c>
      <c r="C1006" s="101"/>
      <c r="D1006" s="122"/>
      <c r="E1006" s="120" t="s">
        <v>1124</v>
      </c>
      <c r="F1006" s="91" t="str">
        <f t="shared" si="163"/>
        <v/>
      </c>
      <c r="G1006" s="91" t="str">
        <f t="shared" si="164"/>
        <v/>
      </c>
      <c r="H1006" s="91" t="str">
        <f t="shared" si="165"/>
        <v/>
      </c>
      <c r="I1006" s="79">
        <f t="shared" si="166"/>
        <v>192</v>
      </c>
      <c r="J1006" s="74"/>
      <c r="K1006" s="74"/>
      <c r="L1006" s="75"/>
      <c r="M1006" s="74"/>
      <c r="N1006" s="74"/>
      <c r="O1006" s="74"/>
      <c r="P1006" s="74"/>
      <c r="Q1006" s="74"/>
      <c r="R1006" s="74"/>
      <c r="S1006" s="74"/>
      <c r="T1006" s="74"/>
      <c r="U1006" s="74"/>
      <c r="V1006" s="74"/>
      <c r="W1006" s="74"/>
      <c r="X1006" s="74"/>
      <c r="Y1006" s="74"/>
    </row>
    <row r="1007" spans="1:25" ht="50.45">
      <c r="A1007" s="74"/>
      <c r="B1007" s="79"/>
      <c r="C1007" s="101"/>
      <c r="D1007" s="122"/>
      <c r="E1007" s="120" t="s">
        <v>1125</v>
      </c>
      <c r="F1007" s="91"/>
      <c r="G1007" s="91"/>
      <c r="H1007" s="91"/>
      <c r="I1007" s="79">
        <v>190</v>
      </c>
      <c r="J1007" s="74"/>
      <c r="K1007" s="74"/>
      <c r="L1007" s="75"/>
      <c r="M1007" s="74"/>
      <c r="N1007" s="74"/>
      <c r="O1007" s="74"/>
      <c r="P1007" s="74"/>
      <c r="Q1007" s="74"/>
      <c r="R1007" s="74"/>
      <c r="S1007" s="74"/>
      <c r="T1007" s="74"/>
      <c r="U1007" s="74"/>
      <c r="V1007" s="74"/>
      <c r="W1007" s="74"/>
      <c r="X1007" s="74"/>
      <c r="Y1007" s="74"/>
    </row>
    <row r="1008" spans="1:25" ht="18">
      <c r="A1008" s="74"/>
      <c r="B1008" s="79">
        <f t="shared" ref="B1008:B1010" si="167">IF(C1008="","",IF(F1008="B",COUNTIF($F$6:F1008,"B"),""))</f>
        <v>193</v>
      </c>
      <c r="C1008" s="123" t="s">
        <v>1126</v>
      </c>
      <c r="D1008" s="122" t="s">
        <v>858</v>
      </c>
      <c r="E1008" s="103"/>
      <c r="F1008" s="91" t="str">
        <f t="shared" ref="F1008:F1010" si="168">IF(D1008="","","B")</f>
        <v>B</v>
      </c>
      <c r="G1008" s="91" t="str">
        <f t="shared" ref="G1008:G1010" si="169">IF(AND(B1008&lt;&gt;"",C1008&lt;&gt;"",D1008&lt;&gt;""),IF(H1008&lt;4,$K$1,IF(H1008&lt;8,$K$2,$K$3)),"")</f>
        <v>Đơn giản</v>
      </c>
      <c r="H1008" s="91">
        <f t="shared" ref="H1008:H1010" si="170">IF(AND(B1008&lt;&gt;"",C1008&lt;&gt;"",D1008&lt;&gt;""),COUNTIF(I1008:I2000,B1008),"")</f>
        <v>2</v>
      </c>
      <c r="I1008" s="79" t="str">
        <f>IF(OR(E1008="",B1008&lt;&gt;""),"",IF(I1006&lt;&gt;"",I1006,B1006))</f>
        <v/>
      </c>
      <c r="J1008" s="74"/>
      <c r="K1008" s="74"/>
      <c r="L1008" s="75"/>
      <c r="M1008" s="74"/>
      <c r="N1008" s="74"/>
      <c r="O1008" s="74"/>
      <c r="P1008" s="74"/>
      <c r="Q1008" s="74"/>
      <c r="R1008" s="74"/>
      <c r="S1008" s="74"/>
      <c r="T1008" s="74"/>
      <c r="U1008" s="74"/>
      <c r="V1008" s="74"/>
      <c r="W1008" s="74"/>
      <c r="X1008" s="74"/>
      <c r="Y1008" s="74"/>
    </row>
    <row r="1009" spans="1:25" ht="33.6">
      <c r="A1009" s="74"/>
      <c r="B1009" s="79" t="str">
        <f t="shared" si="167"/>
        <v/>
      </c>
      <c r="C1009" s="94"/>
      <c r="D1009" s="122"/>
      <c r="E1009" s="120" t="s">
        <v>1127</v>
      </c>
      <c r="F1009" s="91" t="str">
        <f t="shared" si="168"/>
        <v/>
      </c>
      <c r="G1009" s="91" t="str">
        <f t="shared" si="169"/>
        <v/>
      </c>
      <c r="H1009" s="91" t="str">
        <f t="shared" si="170"/>
        <v/>
      </c>
      <c r="I1009" s="79">
        <f t="shared" ref="I1009:I1010" si="171">IF(OR(E1009="",B1009&lt;&gt;""),"",IF(I1008&lt;&gt;"",I1008,B1008))</f>
        <v>193</v>
      </c>
      <c r="J1009" s="74"/>
      <c r="K1009" s="74"/>
      <c r="L1009" s="75"/>
      <c r="M1009" s="74"/>
      <c r="N1009" s="74"/>
      <c r="O1009" s="74"/>
      <c r="P1009" s="74"/>
      <c r="Q1009" s="74"/>
      <c r="R1009" s="74"/>
      <c r="S1009" s="74"/>
      <c r="T1009" s="74"/>
      <c r="U1009" s="74"/>
      <c r="V1009" s="74"/>
      <c r="W1009" s="74"/>
      <c r="X1009" s="74"/>
      <c r="Y1009" s="74"/>
    </row>
    <row r="1010" spans="1:25" ht="50.45">
      <c r="A1010" s="74"/>
      <c r="B1010" s="79" t="str">
        <f t="shared" si="167"/>
        <v/>
      </c>
      <c r="C1010" s="94"/>
      <c r="D1010" s="311"/>
      <c r="E1010" s="120" t="s">
        <v>1128</v>
      </c>
      <c r="F1010" s="91" t="str">
        <f t="shared" si="168"/>
        <v/>
      </c>
      <c r="G1010" s="91" t="str">
        <f t="shared" si="169"/>
        <v/>
      </c>
      <c r="H1010" s="91" t="str">
        <f t="shared" si="170"/>
        <v/>
      </c>
      <c r="I1010" s="79">
        <f t="shared" si="171"/>
        <v>193</v>
      </c>
      <c r="J1010" s="74"/>
      <c r="K1010" s="74"/>
      <c r="L1010" s="75"/>
      <c r="M1010" s="74"/>
      <c r="N1010" s="74"/>
      <c r="O1010" s="74"/>
      <c r="P1010" s="74"/>
      <c r="Q1010" s="74"/>
      <c r="R1010" s="74"/>
      <c r="S1010" s="74"/>
      <c r="T1010" s="74"/>
      <c r="U1010" s="74"/>
      <c r="V1010" s="74"/>
      <c r="W1010" s="74"/>
      <c r="X1010" s="74"/>
      <c r="Y1010" s="74"/>
    </row>
    <row r="1011" spans="1:25" ht="50.45">
      <c r="A1011" s="74"/>
      <c r="B1011" s="79"/>
      <c r="C1011" s="306"/>
      <c r="D1011" s="311"/>
      <c r="E1011" s="120" t="s">
        <v>1129</v>
      </c>
      <c r="F1011" s="91"/>
      <c r="G1011" s="91"/>
      <c r="H1011" s="91"/>
      <c r="I1011" s="79">
        <v>191</v>
      </c>
      <c r="J1011" s="74"/>
      <c r="K1011" s="74"/>
      <c r="L1011" s="75"/>
      <c r="M1011" s="74"/>
      <c r="N1011" s="74"/>
      <c r="O1011" s="74"/>
      <c r="P1011" s="74"/>
      <c r="Q1011" s="74"/>
      <c r="R1011" s="74"/>
      <c r="S1011" s="74"/>
      <c r="T1011" s="74"/>
      <c r="U1011" s="74"/>
      <c r="V1011" s="74"/>
      <c r="W1011" s="74"/>
      <c r="X1011" s="74"/>
      <c r="Y1011" s="74"/>
    </row>
    <row r="1012" spans="1:25" ht="33.6">
      <c r="A1012" s="74"/>
      <c r="B1012" s="79">
        <f t="shared" ref="B1012:B1014" si="172">IF(C1012="","",IF(F1012="B",COUNTIF($F$6:F1012,"B"),""))</f>
        <v>194</v>
      </c>
      <c r="C1012" s="312" t="s">
        <v>1130</v>
      </c>
      <c r="D1012" s="310" t="s">
        <v>858</v>
      </c>
      <c r="E1012" s="124"/>
      <c r="F1012" s="91" t="str">
        <f t="shared" ref="F1012:F1014" si="173">IF(D1012="","","B")</f>
        <v>B</v>
      </c>
      <c r="G1012" s="91" t="str">
        <f t="shared" ref="G1012:G1014" si="174">IF(AND(B1012&lt;&gt;"",C1012&lt;&gt;"",D1012&lt;&gt;""),IF(H1012&lt;4,$K$1,IF(H1012&lt;8,$K$2,$K$3)),"")</f>
        <v>Đơn giản</v>
      </c>
      <c r="H1012" s="91">
        <f t="shared" ref="H1012:H1014" si="175">IF(AND(B1012&lt;&gt;"",C1012&lt;&gt;"",D1012&lt;&gt;""),COUNTIF(I1012:I2003,B1012),"")</f>
        <v>2</v>
      </c>
      <c r="I1012" s="79" t="str">
        <f>IF(OR(E1012="",B1012&lt;&gt;""),"",IF(I1010&lt;&gt;"",I1010,B1010))</f>
        <v/>
      </c>
      <c r="J1012" s="74"/>
      <c r="K1012" s="74"/>
      <c r="L1012" s="75"/>
      <c r="M1012" s="74"/>
      <c r="N1012" s="74"/>
      <c r="O1012" s="74"/>
      <c r="P1012" s="74"/>
      <c r="Q1012" s="74"/>
      <c r="R1012" s="74"/>
      <c r="S1012" s="74"/>
      <c r="T1012" s="74"/>
      <c r="U1012" s="74"/>
      <c r="V1012" s="74"/>
      <c r="W1012" s="74"/>
      <c r="X1012" s="74"/>
      <c r="Y1012" s="74"/>
    </row>
    <row r="1013" spans="1:25" ht="50.45">
      <c r="A1013" s="74"/>
      <c r="B1013" s="79" t="str">
        <f t="shared" si="172"/>
        <v/>
      </c>
      <c r="C1013" s="104"/>
      <c r="D1013" s="310"/>
      <c r="E1013" s="120" t="s">
        <v>1131</v>
      </c>
      <c r="F1013" s="91" t="str">
        <f t="shared" si="173"/>
        <v/>
      </c>
      <c r="G1013" s="91" t="str">
        <f t="shared" si="174"/>
        <v/>
      </c>
      <c r="H1013" s="91" t="str">
        <f t="shared" si="175"/>
        <v/>
      </c>
      <c r="I1013" s="79">
        <f t="shared" ref="I1013:I1014" si="176">IF(OR(E1013="",B1013&lt;&gt;""),"",IF(I1012&lt;&gt;"",I1012,B1012))</f>
        <v>194</v>
      </c>
      <c r="J1013" s="74"/>
      <c r="K1013" s="74"/>
      <c r="L1013" s="75"/>
      <c r="M1013" s="74"/>
      <c r="N1013" s="74"/>
      <c r="O1013" s="74"/>
      <c r="P1013" s="74"/>
      <c r="Q1013" s="74"/>
      <c r="R1013" s="74"/>
      <c r="S1013" s="74"/>
      <c r="T1013" s="74"/>
      <c r="U1013" s="74"/>
      <c r="V1013" s="74"/>
      <c r="W1013" s="74"/>
      <c r="X1013" s="74"/>
      <c r="Y1013" s="74"/>
    </row>
    <row r="1014" spans="1:25" ht="50.45">
      <c r="A1014" s="74"/>
      <c r="B1014" s="79" t="str">
        <f t="shared" si="172"/>
        <v/>
      </c>
      <c r="C1014" s="104"/>
      <c r="D1014" s="310"/>
      <c r="E1014" s="120" t="s">
        <v>1132</v>
      </c>
      <c r="F1014" s="91" t="str">
        <f t="shared" si="173"/>
        <v/>
      </c>
      <c r="G1014" s="91" t="str">
        <f t="shared" si="174"/>
        <v/>
      </c>
      <c r="H1014" s="91" t="str">
        <f t="shared" si="175"/>
        <v/>
      </c>
      <c r="I1014" s="79">
        <f t="shared" si="176"/>
        <v>194</v>
      </c>
      <c r="J1014" s="74"/>
      <c r="K1014" s="74"/>
      <c r="L1014" s="75"/>
      <c r="M1014" s="74"/>
      <c r="N1014" s="74"/>
      <c r="O1014" s="74"/>
      <c r="P1014" s="74"/>
      <c r="Q1014" s="74"/>
      <c r="R1014" s="74"/>
      <c r="S1014" s="74"/>
      <c r="T1014" s="74"/>
      <c r="U1014" s="74"/>
      <c r="V1014" s="74"/>
      <c r="W1014" s="74"/>
      <c r="X1014" s="74"/>
      <c r="Y1014" s="74"/>
    </row>
    <row r="1015" spans="1:25" ht="50.45">
      <c r="A1015" s="74"/>
      <c r="B1015" s="79"/>
      <c r="C1015" s="104"/>
      <c r="D1015" s="310"/>
      <c r="E1015" s="120" t="s">
        <v>1133</v>
      </c>
      <c r="F1015" s="91"/>
      <c r="G1015" s="91"/>
      <c r="H1015" s="91"/>
      <c r="I1015" s="79">
        <v>192</v>
      </c>
      <c r="J1015" s="74"/>
      <c r="K1015" s="74"/>
      <c r="L1015" s="75"/>
      <c r="M1015" s="74"/>
      <c r="N1015" s="74"/>
      <c r="O1015" s="74"/>
      <c r="P1015" s="74"/>
      <c r="Q1015" s="74"/>
      <c r="R1015" s="74"/>
      <c r="S1015" s="74"/>
      <c r="T1015" s="74"/>
      <c r="U1015" s="74"/>
      <c r="V1015" s="74"/>
      <c r="W1015" s="74"/>
      <c r="X1015" s="74"/>
      <c r="Y1015" s="74"/>
    </row>
    <row r="1016" spans="1:25" ht="18">
      <c r="A1016" s="74"/>
      <c r="B1016" s="79">
        <f t="shared" ref="B1016:B1018" si="177">IF(C1016="","",IF(F1016="B",COUNTIF($F$6:F1016,"B"),""))</f>
        <v>195</v>
      </c>
      <c r="C1016" s="123" t="s">
        <v>1134</v>
      </c>
      <c r="D1016" s="122" t="s">
        <v>858</v>
      </c>
      <c r="E1016" s="124"/>
      <c r="F1016" s="91" t="str">
        <f t="shared" ref="F1016:F1018" si="178">IF(D1016="","","B")</f>
        <v>B</v>
      </c>
      <c r="G1016" s="91" t="str">
        <f t="shared" ref="G1016:G1018" si="179">IF(AND(B1016&lt;&gt;"",C1016&lt;&gt;"",D1016&lt;&gt;""),IF(H1016&lt;4,$K$1,IF(H1016&lt;8,$K$2,$K$3)),"")</f>
        <v>Đơn giản</v>
      </c>
      <c r="H1016" s="91">
        <f t="shared" ref="H1016:H1018" si="180">IF(AND(B1016&lt;&gt;"",C1016&lt;&gt;"",D1016&lt;&gt;""),COUNTIF(I1016:I2006,B1016),"")</f>
        <v>2</v>
      </c>
      <c r="I1016" s="79" t="str">
        <f>IF(OR(E1016="",B1016&lt;&gt;""),"",IF(I1014&lt;&gt;"",I1014,B1014))</f>
        <v/>
      </c>
      <c r="J1016" s="74"/>
      <c r="K1016" s="74"/>
      <c r="L1016" s="75"/>
      <c r="M1016" s="74"/>
      <c r="N1016" s="74"/>
      <c r="O1016" s="74"/>
      <c r="P1016" s="74"/>
      <c r="Q1016" s="74"/>
      <c r="R1016" s="74"/>
      <c r="S1016" s="74"/>
      <c r="T1016" s="74"/>
      <c r="U1016" s="74"/>
      <c r="V1016" s="74"/>
      <c r="W1016" s="74"/>
      <c r="X1016" s="74"/>
      <c r="Y1016" s="74"/>
    </row>
    <row r="1017" spans="1:25" ht="33.6">
      <c r="A1017" s="74"/>
      <c r="B1017" s="79" t="str">
        <f t="shared" si="177"/>
        <v/>
      </c>
      <c r="C1017" s="101"/>
      <c r="D1017" s="122"/>
      <c r="E1017" s="120" t="s">
        <v>1135</v>
      </c>
      <c r="F1017" s="91" t="str">
        <f t="shared" si="178"/>
        <v/>
      </c>
      <c r="G1017" s="91" t="str">
        <f t="shared" si="179"/>
        <v/>
      </c>
      <c r="H1017" s="91" t="str">
        <f t="shared" si="180"/>
        <v/>
      </c>
      <c r="I1017" s="79">
        <f t="shared" ref="I1017:I1018" si="181">IF(OR(E1017="",B1017&lt;&gt;""),"",IF(I1016&lt;&gt;"",I1016,B1016))</f>
        <v>195</v>
      </c>
      <c r="J1017" s="74"/>
      <c r="K1017" s="74"/>
      <c r="L1017" s="75"/>
      <c r="M1017" s="74"/>
      <c r="N1017" s="74"/>
      <c r="O1017" s="74"/>
      <c r="P1017" s="74"/>
      <c r="Q1017" s="74"/>
      <c r="R1017" s="74"/>
      <c r="S1017" s="74"/>
      <c r="T1017" s="74"/>
      <c r="U1017" s="74"/>
      <c r="V1017" s="74"/>
      <c r="W1017" s="74"/>
      <c r="X1017" s="74"/>
      <c r="Y1017" s="74"/>
    </row>
    <row r="1018" spans="1:25" ht="50.45">
      <c r="A1018" s="74"/>
      <c r="B1018" s="79" t="str">
        <f t="shared" si="177"/>
        <v/>
      </c>
      <c r="C1018" s="101"/>
      <c r="D1018" s="122"/>
      <c r="E1018" s="120" t="s">
        <v>1136</v>
      </c>
      <c r="F1018" s="91" t="str">
        <f t="shared" si="178"/>
        <v/>
      </c>
      <c r="G1018" s="91" t="str">
        <f t="shared" si="179"/>
        <v/>
      </c>
      <c r="H1018" s="91" t="str">
        <f t="shared" si="180"/>
        <v/>
      </c>
      <c r="I1018" s="79">
        <f t="shared" si="181"/>
        <v>195</v>
      </c>
      <c r="J1018" s="74"/>
      <c r="K1018" s="74"/>
      <c r="L1018" s="75"/>
      <c r="M1018" s="74"/>
      <c r="N1018" s="74"/>
      <c r="O1018" s="74"/>
      <c r="P1018" s="74"/>
      <c r="Q1018" s="74"/>
      <c r="R1018" s="74"/>
      <c r="S1018" s="74"/>
      <c r="T1018" s="74"/>
      <c r="U1018" s="74"/>
      <c r="V1018" s="74"/>
      <c r="W1018" s="74"/>
      <c r="X1018" s="74"/>
      <c r="Y1018" s="74"/>
    </row>
    <row r="1019" spans="1:25" ht="50.45">
      <c r="A1019" s="74"/>
      <c r="B1019" s="79"/>
      <c r="C1019" s="101"/>
      <c r="D1019" s="122"/>
      <c r="E1019" s="120" t="s">
        <v>1137</v>
      </c>
      <c r="F1019" s="91"/>
      <c r="G1019" s="91"/>
      <c r="H1019" s="91"/>
      <c r="I1019" s="79"/>
      <c r="J1019" s="74"/>
      <c r="K1019" s="74"/>
      <c r="L1019" s="75"/>
      <c r="M1019" s="74"/>
      <c r="N1019" s="74"/>
      <c r="O1019" s="74"/>
      <c r="P1019" s="74"/>
      <c r="Q1019" s="74"/>
      <c r="R1019" s="74"/>
      <c r="S1019" s="74"/>
      <c r="T1019" s="74"/>
      <c r="U1019" s="74"/>
      <c r="V1019" s="74"/>
      <c r="W1019" s="74"/>
      <c r="X1019" s="74"/>
      <c r="Y1019" s="74"/>
    </row>
    <row r="1020" spans="1:25" ht="18">
      <c r="A1020" s="74"/>
      <c r="B1020" s="79">
        <f t="shared" ref="B1020:B1022" si="182">IF(C1020="","",IF(F1020="B",COUNTIF($F$6:F1020,"B"),""))</f>
        <v>196</v>
      </c>
      <c r="C1020" s="123" t="s">
        <v>1138</v>
      </c>
      <c r="D1020" s="122" t="s">
        <v>858</v>
      </c>
      <c r="E1020" s="124"/>
      <c r="F1020" s="91" t="str">
        <f t="shared" ref="F1020:F1022" si="183">IF(D1020="","","B")</f>
        <v>B</v>
      </c>
      <c r="G1020" s="91" t="str">
        <f t="shared" ref="G1020:G1022" si="184">IF(AND(B1020&lt;&gt;"",C1020&lt;&gt;"",D1020&lt;&gt;""),IF(H1020&lt;4,$K$1,IF(H1020&lt;8,$K$2,$K$3)),"")</f>
        <v>Đơn giản</v>
      </c>
      <c r="H1020" s="91">
        <f t="shared" ref="H1020:H1022" si="185">IF(AND(B1020&lt;&gt;"",C1020&lt;&gt;"",D1020&lt;&gt;""),COUNTIF(I1020:I2009,B1020),"")</f>
        <v>2</v>
      </c>
      <c r="I1020" s="79" t="str">
        <f>IF(OR(E1020="",B1020&lt;&gt;""),"",IF(I1018&lt;&gt;"",I1018,B1018))</f>
        <v/>
      </c>
      <c r="J1020" s="74"/>
      <c r="K1020" s="74"/>
      <c r="L1020" s="75"/>
      <c r="M1020" s="74"/>
      <c r="N1020" s="74"/>
      <c r="O1020" s="74"/>
      <c r="P1020" s="74"/>
      <c r="Q1020" s="74"/>
      <c r="R1020" s="74"/>
      <c r="S1020" s="74"/>
      <c r="T1020" s="74"/>
      <c r="U1020" s="74"/>
      <c r="V1020" s="74"/>
      <c r="W1020" s="74"/>
      <c r="X1020" s="74"/>
      <c r="Y1020" s="74"/>
    </row>
    <row r="1021" spans="1:25" ht="33.6">
      <c r="A1021" s="74"/>
      <c r="B1021" s="79" t="str">
        <f t="shared" si="182"/>
        <v/>
      </c>
      <c r="C1021" s="94"/>
      <c r="D1021" s="122"/>
      <c r="E1021" s="120" t="s">
        <v>1139</v>
      </c>
      <c r="F1021" s="91" t="str">
        <f t="shared" si="183"/>
        <v/>
      </c>
      <c r="G1021" s="91" t="str">
        <f t="shared" si="184"/>
        <v/>
      </c>
      <c r="H1021" s="91" t="str">
        <f t="shared" si="185"/>
        <v/>
      </c>
      <c r="I1021" s="79">
        <f t="shared" ref="I1021:I1022" si="186">IF(OR(E1021="",B1021&lt;&gt;""),"",IF(I1020&lt;&gt;"",I1020,B1020))</f>
        <v>196</v>
      </c>
      <c r="J1021" s="74"/>
      <c r="K1021" s="74"/>
      <c r="L1021" s="75"/>
      <c r="M1021" s="74"/>
      <c r="N1021" s="74"/>
      <c r="O1021" s="74"/>
      <c r="P1021" s="74"/>
      <c r="Q1021" s="74"/>
      <c r="R1021" s="74"/>
      <c r="S1021" s="74"/>
      <c r="T1021" s="74"/>
      <c r="U1021" s="74"/>
      <c r="V1021" s="74"/>
      <c r="W1021" s="74"/>
      <c r="X1021" s="74"/>
      <c r="Y1021" s="74"/>
    </row>
    <row r="1022" spans="1:25" ht="33.6">
      <c r="A1022" s="74"/>
      <c r="B1022" s="79" t="str">
        <f t="shared" si="182"/>
        <v/>
      </c>
      <c r="C1022" s="94"/>
      <c r="D1022" s="311"/>
      <c r="E1022" s="120" t="s">
        <v>1140</v>
      </c>
      <c r="F1022" s="91" t="str">
        <f t="shared" si="183"/>
        <v/>
      </c>
      <c r="G1022" s="91" t="str">
        <f t="shared" si="184"/>
        <v/>
      </c>
      <c r="H1022" s="91" t="str">
        <f t="shared" si="185"/>
        <v/>
      </c>
      <c r="I1022" s="79">
        <f t="shared" si="186"/>
        <v>196</v>
      </c>
      <c r="J1022" s="74"/>
      <c r="K1022" s="74"/>
      <c r="L1022" s="75"/>
      <c r="M1022" s="74"/>
      <c r="N1022" s="74"/>
      <c r="O1022" s="74"/>
      <c r="P1022" s="74"/>
      <c r="Q1022" s="74"/>
      <c r="R1022" s="74"/>
      <c r="S1022" s="74"/>
      <c r="T1022" s="74"/>
      <c r="U1022" s="74"/>
      <c r="V1022" s="74"/>
      <c r="W1022" s="74"/>
      <c r="X1022" s="74"/>
      <c r="Y1022" s="74"/>
    </row>
    <row r="1023" spans="1:25" ht="33.6">
      <c r="A1023" s="74"/>
      <c r="B1023" s="79"/>
      <c r="C1023" s="306"/>
      <c r="D1023" s="311"/>
      <c r="E1023" s="120" t="s">
        <v>1141</v>
      </c>
      <c r="F1023" s="91"/>
      <c r="G1023" s="91"/>
      <c r="H1023" s="91"/>
      <c r="I1023" s="79"/>
      <c r="J1023" s="74"/>
      <c r="K1023" s="74"/>
      <c r="L1023" s="75"/>
      <c r="M1023" s="74"/>
      <c r="N1023" s="74"/>
      <c r="O1023" s="74"/>
      <c r="P1023" s="74"/>
      <c r="Q1023" s="74"/>
      <c r="R1023" s="74"/>
      <c r="S1023" s="74"/>
      <c r="T1023" s="74"/>
      <c r="U1023" s="74"/>
      <c r="V1023" s="74"/>
      <c r="W1023" s="74"/>
      <c r="X1023" s="74"/>
      <c r="Y1023" s="74"/>
    </row>
    <row r="1024" spans="1:25" ht="18">
      <c r="A1024" s="74"/>
      <c r="B1024" s="91" t="s">
        <v>1142</v>
      </c>
      <c r="C1024" s="119" t="s">
        <v>1143</v>
      </c>
      <c r="D1024" s="112"/>
      <c r="E1024" s="103"/>
      <c r="F1024" s="91" t="str">
        <f t="shared" ref="F1024:F1035" si="187">IF(D1024="","","B")</f>
        <v/>
      </c>
      <c r="G1024" s="91" t="str">
        <f t="shared" ref="G1024:G1035" si="188">IF(AND(B1024&lt;&gt;"",C1024&lt;&gt;"",D1024&lt;&gt;""),IF(H1024&lt;4,$K$1,IF(H1024&lt;8,$K$2,$K$3)),"")</f>
        <v/>
      </c>
      <c r="H1024" s="91" t="str">
        <f t="shared" ref="H1024:H1032" si="189">IF(AND(B1024&lt;&gt;"",C1024&lt;&gt;"",D1024&lt;&gt;""),COUNTIF(I1024:I1945,B1024),"")</f>
        <v/>
      </c>
      <c r="I1024" s="79" t="str">
        <f>IF(OR(E1024="",B1024&lt;&gt;""),"",IF(#REF!&lt;&gt;"",#REF!,#REF!))</f>
        <v/>
      </c>
      <c r="J1024" s="74"/>
      <c r="K1024" s="74"/>
      <c r="L1024" s="75"/>
      <c r="M1024" s="74"/>
      <c r="N1024" s="74"/>
      <c r="O1024" s="74"/>
      <c r="P1024" s="74"/>
      <c r="Q1024" s="74"/>
      <c r="R1024" s="74"/>
      <c r="S1024" s="74"/>
      <c r="T1024" s="74"/>
      <c r="U1024" s="74"/>
      <c r="V1024" s="74"/>
      <c r="W1024" s="74"/>
      <c r="X1024" s="74"/>
      <c r="Y1024" s="74"/>
    </row>
    <row r="1025" spans="1:25" ht="18">
      <c r="A1025" s="74"/>
      <c r="B1025" s="79">
        <f t="shared" ref="B1025:B1026" si="190">IF(C1025="","",IF(F1025="B",COUNTIF($F$6:F1025,"B"),""))</f>
        <v>197</v>
      </c>
      <c r="C1025" s="115" t="s">
        <v>1144</v>
      </c>
      <c r="D1025" s="112" t="s">
        <v>858</v>
      </c>
      <c r="E1025" s="103"/>
      <c r="F1025" s="91" t="str">
        <f t="shared" si="187"/>
        <v>B</v>
      </c>
      <c r="G1025" s="91" t="str">
        <f t="shared" si="188"/>
        <v>Đơn giản</v>
      </c>
      <c r="H1025" s="91">
        <f t="shared" si="189"/>
        <v>3</v>
      </c>
      <c r="I1025" s="79" t="str">
        <f t="shared" ref="I1025:I1036" si="191">IF(OR(E1025="",B1025&lt;&gt;""),"",IF(I1024&lt;&gt;"",I1024,B1024))</f>
        <v/>
      </c>
      <c r="J1025" s="74"/>
      <c r="K1025" s="74"/>
      <c r="L1025" s="75"/>
      <c r="M1025" s="74"/>
      <c r="N1025" s="74"/>
      <c r="O1025" s="74"/>
      <c r="P1025" s="74"/>
      <c r="Q1025" s="74"/>
      <c r="R1025" s="74"/>
      <c r="S1025" s="74"/>
      <c r="T1025" s="74"/>
      <c r="U1025" s="74"/>
      <c r="V1025" s="74"/>
      <c r="W1025" s="74"/>
      <c r="X1025" s="74"/>
      <c r="Y1025" s="74"/>
    </row>
    <row r="1026" spans="1:25" ht="67.150000000000006">
      <c r="A1026" s="74"/>
      <c r="B1026" s="91" t="str">
        <f t="shared" si="190"/>
        <v/>
      </c>
      <c r="C1026" s="115"/>
      <c r="D1026" s="112"/>
      <c r="E1026" s="101" t="s">
        <v>1145</v>
      </c>
      <c r="F1026" s="91" t="str">
        <f t="shared" si="187"/>
        <v/>
      </c>
      <c r="G1026" s="91" t="str">
        <f t="shared" si="188"/>
        <v/>
      </c>
      <c r="H1026" s="91" t="str">
        <f t="shared" si="189"/>
        <v/>
      </c>
      <c r="I1026" s="79">
        <f t="shared" si="191"/>
        <v>197</v>
      </c>
      <c r="J1026" s="74"/>
      <c r="K1026" s="74"/>
      <c r="L1026" s="75"/>
      <c r="M1026" s="74"/>
      <c r="N1026" s="74"/>
      <c r="O1026" s="74"/>
      <c r="P1026" s="74"/>
      <c r="Q1026" s="74"/>
      <c r="R1026" s="74"/>
      <c r="S1026" s="74"/>
      <c r="T1026" s="74"/>
      <c r="U1026" s="74"/>
      <c r="V1026" s="74"/>
      <c r="W1026" s="74"/>
      <c r="X1026" s="74"/>
      <c r="Y1026" s="74"/>
    </row>
    <row r="1027" spans="1:25" ht="84">
      <c r="A1027" s="74"/>
      <c r="B1027" s="91" t="str">
        <f>IF(C1027="","",IF(F1027="B",COUNTIF($F$6:F1028,"B"),""))</f>
        <v/>
      </c>
      <c r="C1027" s="115"/>
      <c r="D1027" s="112"/>
      <c r="E1027" s="101" t="s">
        <v>1146</v>
      </c>
      <c r="F1027" s="91" t="str">
        <f t="shared" si="187"/>
        <v/>
      </c>
      <c r="G1027" s="91" t="str">
        <f t="shared" si="188"/>
        <v/>
      </c>
      <c r="H1027" s="91" t="str">
        <f t="shared" si="189"/>
        <v/>
      </c>
      <c r="I1027" s="79">
        <f t="shared" si="191"/>
        <v>197</v>
      </c>
      <c r="J1027" s="74"/>
      <c r="K1027" s="74"/>
      <c r="L1027" s="75"/>
      <c r="M1027" s="74"/>
      <c r="N1027" s="74"/>
      <c r="O1027" s="74"/>
      <c r="P1027" s="74"/>
      <c r="Q1027" s="74"/>
      <c r="R1027" s="74"/>
      <c r="S1027" s="74"/>
      <c r="T1027" s="74"/>
      <c r="U1027" s="74"/>
      <c r="V1027" s="74"/>
      <c r="W1027" s="74"/>
      <c r="X1027" s="74"/>
      <c r="Y1027" s="74"/>
    </row>
    <row r="1028" spans="1:25" ht="84">
      <c r="A1028" s="74"/>
      <c r="B1028" s="91" t="str">
        <f t="shared" ref="B1028:B1030" si="192">IF(C1028="","",IF(F1028="B",COUNTIF($F$6:F1028,"B"),""))</f>
        <v/>
      </c>
      <c r="C1028" s="115"/>
      <c r="D1028" s="112"/>
      <c r="E1028" s="101" t="s">
        <v>1147</v>
      </c>
      <c r="F1028" s="91" t="str">
        <f t="shared" si="187"/>
        <v/>
      </c>
      <c r="G1028" s="91" t="str">
        <f t="shared" si="188"/>
        <v/>
      </c>
      <c r="H1028" s="91" t="str">
        <f t="shared" si="189"/>
        <v/>
      </c>
      <c r="I1028" s="79">
        <f t="shared" si="191"/>
        <v>197</v>
      </c>
      <c r="J1028" s="74"/>
      <c r="K1028" s="74"/>
      <c r="L1028" s="75"/>
      <c r="M1028" s="74"/>
      <c r="N1028" s="74"/>
      <c r="O1028" s="74"/>
      <c r="P1028" s="74"/>
      <c r="Q1028" s="74"/>
      <c r="R1028" s="74"/>
      <c r="S1028" s="74"/>
      <c r="T1028" s="74"/>
      <c r="U1028" s="74"/>
      <c r="V1028" s="74"/>
      <c r="W1028" s="74"/>
      <c r="X1028" s="74"/>
      <c r="Y1028" s="74"/>
    </row>
    <row r="1029" spans="1:25" ht="18">
      <c r="A1029" s="74"/>
      <c r="B1029" s="79">
        <f t="shared" si="192"/>
        <v>198</v>
      </c>
      <c r="C1029" s="115" t="s">
        <v>1148</v>
      </c>
      <c r="D1029" s="112" t="s">
        <v>858</v>
      </c>
      <c r="E1029" s="103"/>
      <c r="F1029" s="91" t="str">
        <f t="shared" si="187"/>
        <v>B</v>
      </c>
      <c r="G1029" s="91" t="str">
        <f t="shared" si="188"/>
        <v>Đơn giản</v>
      </c>
      <c r="H1029" s="91">
        <f t="shared" si="189"/>
        <v>3</v>
      </c>
      <c r="I1029" s="79" t="str">
        <f t="shared" si="191"/>
        <v/>
      </c>
      <c r="J1029" s="74"/>
      <c r="K1029" s="74"/>
      <c r="L1029" s="75"/>
      <c r="M1029" s="74"/>
      <c r="N1029" s="74"/>
      <c r="O1029" s="74"/>
      <c r="P1029" s="74"/>
      <c r="Q1029" s="74"/>
      <c r="R1029" s="74"/>
      <c r="S1029" s="74"/>
      <c r="T1029" s="74"/>
      <c r="U1029" s="74"/>
      <c r="V1029" s="74"/>
      <c r="W1029" s="74"/>
      <c r="X1029" s="74"/>
      <c r="Y1029" s="74"/>
    </row>
    <row r="1030" spans="1:25" ht="67.150000000000006">
      <c r="A1030" s="74"/>
      <c r="B1030" s="91" t="str">
        <f t="shared" si="192"/>
        <v/>
      </c>
      <c r="C1030" s="115"/>
      <c r="D1030" s="112"/>
      <c r="E1030" s="101" t="s">
        <v>1149</v>
      </c>
      <c r="F1030" s="91" t="str">
        <f t="shared" si="187"/>
        <v/>
      </c>
      <c r="G1030" s="91" t="str">
        <f t="shared" si="188"/>
        <v/>
      </c>
      <c r="H1030" s="91" t="str">
        <f t="shared" si="189"/>
        <v/>
      </c>
      <c r="I1030" s="79">
        <f t="shared" si="191"/>
        <v>198</v>
      </c>
      <c r="J1030" s="74"/>
      <c r="K1030" s="74"/>
      <c r="L1030" s="75"/>
      <c r="M1030" s="74"/>
      <c r="N1030" s="74"/>
      <c r="O1030" s="74"/>
      <c r="P1030" s="74"/>
      <c r="Q1030" s="74"/>
      <c r="R1030" s="74"/>
      <c r="S1030" s="74"/>
      <c r="T1030" s="74"/>
      <c r="U1030" s="74"/>
      <c r="V1030" s="74"/>
      <c r="W1030" s="74"/>
      <c r="X1030" s="74"/>
      <c r="Y1030" s="74"/>
    </row>
    <row r="1031" spans="1:25" ht="84">
      <c r="A1031" s="74"/>
      <c r="B1031" s="91" t="str">
        <f>IF(C1031="","",IF(F1031="B",COUNTIF($F$6:F1032,"B"),""))</f>
        <v/>
      </c>
      <c r="C1031" s="115"/>
      <c r="D1031" s="112"/>
      <c r="E1031" s="111" t="s">
        <v>1150</v>
      </c>
      <c r="F1031" s="91" t="str">
        <f t="shared" si="187"/>
        <v/>
      </c>
      <c r="G1031" s="91" t="str">
        <f t="shared" si="188"/>
        <v/>
      </c>
      <c r="H1031" s="91" t="str">
        <f t="shared" si="189"/>
        <v/>
      </c>
      <c r="I1031" s="79">
        <f t="shared" si="191"/>
        <v>198</v>
      </c>
      <c r="J1031" s="74"/>
      <c r="K1031" s="74"/>
      <c r="L1031" s="75"/>
      <c r="M1031" s="74"/>
      <c r="N1031" s="74"/>
      <c r="O1031" s="74"/>
      <c r="P1031" s="74"/>
      <c r="Q1031" s="74"/>
      <c r="R1031" s="74"/>
      <c r="S1031" s="74"/>
      <c r="T1031" s="74"/>
      <c r="U1031" s="74"/>
      <c r="V1031" s="74"/>
      <c r="W1031" s="74"/>
      <c r="X1031" s="74"/>
      <c r="Y1031" s="74"/>
    </row>
    <row r="1032" spans="1:25" ht="84">
      <c r="A1032" s="74"/>
      <c r="B1032" s="91" t="str">
        <f t="shared" ref="B1032:B1035" si="193">IF(C1032="","",IF(F1032="B",COUNTIF($F$6:F1032,"B"),""))</f>
        <v/>
      </c>
      <c r="C1032" s="115"/>
      <c r="D1032" s="112"/>
      <c r="E1032" s="111" t="s">
        <v>1151</v>
      </c>
      <c r="F1032" s="91" t="str">
        <f t="shared" si="187"/>
        <v/>
      </c>
      <c r="G1032" s="91" t="str">
        <f t="shared" si="188"/>
        <v/>
      </c>
      <c r="H1032" s="91" t="str">
        <f t="shared" si="189"/>
        <v/>
      </c>
      <c r="I1032" s="79">
        <f t="shared" si="191"/>
        <v>198</v>
      </c>
      <c r="J1032" s="74"/>
      <c r="K1032" s="74"/>
      <c r="L1032" s="75"/>
      <c r="M1032" s="74"/>
      <c r="N1032" s="74"/>
      <c r="O1032" s="74"/>
      <c r="P1032" s="74"/>
      <c r="Q1032" s="74"/>
      <c r="R1032" s="74"/>
      <c r="S1032" s="74"/>
      <c r="T1032" s="74"/>
      <c r="U1032" s="74"/>
      <c r="V1032" s="74"/>
      <c r="W1032" s="74"/>
      <c r="X1032" s="74"/>
      <c r="Y1032" s="74"/>
    </row>
    <row r="1033" spans="1:25" ht="18">
      <c r="A1033" s="74"/>
      <c r="B1033" s="79">
        <f t="shared" si="193"/>
        <v>199</v>
      </c>
      <c r="C1033" s="115" t="s">
        <v>1152</v>
      </c>
      <c r="D1033" s="112" t="s">
        <v>858</v>
      </c>
      <c r="E1033" s="103"/>
      <c r="F1033" s="91" t="str">
        <f t="shared" si="187"/>
        <v>B</v>
      </c>
      <c r="G1033" s="91" t="str">
        <f t="shared" si="188"/>
        <v>Đơn giản</v>
      </c>
      <c r="H1033" s="91">
        <v>3</v>
      </c>
      <c r="I1033" s="79" t="str">
        <f t="shared" si="191"/>
        <v/>
      </c>
      <c r="J1033" s="74"/>
      <c r="K1033" s="74"/>
      <c r="L1033" s="75"/>
      <c r="M1033" s="74"/>
      <c r="N1033" s="74"/>
      <c r="O1033" s="74"/>
      <c r="P1033" s="74"/>
      <c r="Q1033" s="74"/>
      <c r="R1033" s="74"/>
      <c r="S1033" s="74"/>
      <c r="T1033" s="74"/>
      <c r="U1033" s="74"/>
      <c r="V1033" s="74"/>
      <c r="W1033" s="74"/>
      <c r="X1033" s="74"/>
      <c r="Y1033" s="74"/>
    </row>
    <row r="1034" spans="1:25" ht="67.150000000000006">
      <c r="A1034" s="74"/>
      <c r="B1034" s="91" t="str">
        <f t="shared" si="193"/>
        <v/>
      </c>
      <c r="C1034" s="115"/>
      <c r="D1034" s="112"/>
      <c r="E1034" s="101" t="s">
        <v>1153</v>
      </c>
      <c r="F1034" s="91" t="str">
        <f t="shared" si="187"/>
        <v/>
      </c>
      <c r="G1034" s="91" t="str">
        <f t="shared" si="188"/>
        <v/>
      </c>
      <c r="H1034" s="91" t="str">
        <f t="shared" ref="H1034:H1035" si="194">IF(AND(B1034&lt;&gt;"",C1034&lt;&gt;"",D1034&lt;&gt;""),COUNTIF(I1034:I1955,B1034),"")</f>
        <v/>
      </c>
      <c r="I1034" s="79">
        <f t="shared" si="191"/>
        <v>199</v>
      </c>
      <c r="J1034" s="74"/>
      <c r="K1034" s="74"/>
      <c r="L1034" s="75"/>
      <c r="M1034" s="74"/>
      <c r="N1034" s="74"/>
      <c r="O1034" s="74"/>
      <c r="P1034" s="74"/>
      <c r="Q1034" s="74"/>
      <c r="R1034" s="74"/>
      <c r="S1034" s="74"/>
      <c r="T1034" s="74"/>
      <c r="U1034" s="74"/>
      <c r="V1034" s="74"/>
      <c r="W1034" s="74"/>
      <c r="X1034" s="74"/>
      <c r="Y1034" s="74"/>
    </row>
    <row r="1035" spans="1:25" ht="84">
      <c r="A1035" s="74"/>
      <c r="B1035" s="91" t="str">
        <f t="shared" si="193"/>
        <v/>
      </c>
      <c r="C1035" s="115"/>
      <c r="D1035" s="112"/>
      <c r="E1035" s="111" t="s">
        <v>1154</v>
      </c>
      <c r="F1035" s="91" t="str">
        <f t="shared" si="187"/>
        <v/>
      </c>
      <c r="G1035" s="91" t="str">
        <f t="shared" si="188"/>
        <v/>
      </c>
      <c r="H1035" s="91" t="str">
        <f t="shared" si="194"/>
        <v/>
      </c>
      <c r="I1035" s="79">
        <f t="shared" si="191"/>
        <v>199</v>
      </c>
      <c r="J1035" s="74"/>
      <c r="K1035" s="74"/>
      <c r="L1035" s="75"/>
      <c r="M1035" s="74"/>
      <c r="N1035" s="74"/>
      <c r="O1035" s="74"/>
      <c r="P1035" s="74"/>
      <c r="Q1035" s="74"/>
      <c r="R1035" s="74"/>
      <c r="S1035" s="74"/>
      <c r="T1035" s="74"/>
      <c r="U1035" s="74"/>
      <c r="V1035" s="74"/>
      <c r="W1035" s="74"/>
      <c r="X1035" s="74"/>
      <c r="Y1035" s="74"/>
    </row>
    <row r="1036" spans="1:25" ht="50.45">
      <c r="A1036" s="74"/>
      <c r="B1036" s="91"/>
      <c r="C1036" s="115"/>
      <c r="D1036" s="112"/>
      <c r="E1036" s="120" t="s">
        <v>1155</v>
      </c>
      <c r="F1036" s="91"/>
      <c r="G1036" s="91"/>
      <c r="H1036" s="91"/>
      <c r="I1036" s="79">
        <f t="shared" si="191"/>
        <v>199</v>
      </c>
      <c r="J1036" s="74"/>
      <c r="K1036" s="74"/>
      <c r="L1036" s="75"/>
      <c r="M1036" s="74"/>
      <c r="N1036" s="74"/>
      <c r="O1036" s="74"/>
      <c r="P1036" s="74"/>
      <c r="Q1036" s="74"/>
      <c r="R1036" s="74"/>
      <c r="S1036" s="74"/>
      <c r="T1036" s="74"/>
      <c r="U1036" s="74"/>
      <c r="V1036" s="74"/>
      <c r="W1036" s="74"/>
      <c r="X1036" s="74"/>
      <c r="Y1036" s="74"/>
    </row>
    <row r="1037" spans="1:25" ht="18">
      <c r="A1037" s="74"/>
      <c r="B1037" s="79">
        <f t="shared" ref="B1037:B1056" si="195">IF(C1037="","",IF(F1037="B",COUNTIF($F$6:F1037,"B"),""))</f>
        <v>200</v>
      </c>
      <c r="C1037" s="115" t="s">
        <v>1156</v>
      </c>
      <c r="D1037" s="112" t="s">
        <v>858</v>
      </c>
      <c r="E1037" s="103"/>
      <c r="F1037" s="91" t="str">
        <f t="shared" ref="F1037:F1091" si="196">IF(D1037="","","B")</f>
        <v>B</v>
      </c>
      <c r="G1037" s="91" t="str">
        <f t="shared" ref="G1037:G1091" si="197">IF(AND(B1037&lt;&gt;"",C1037&lt;&gt;"",D1037&lt;&gt;""),IF(H1037&lt;4,$K$1,IF(H1037&lt;8,$K$2,$K$3)),"")</f>
        <v>Đơn giản</v>
      </c>
      <c r="H1037" s="91">
        <v>3</v>
      </c>
      <c r="I1037" s="79" t="str">
        <f>IF(OR(E1037="",B1037&lt;&gt;""),"",IF(#REF!&lt;&gt;"",#REF!,#REF!))</f>
        <v/>
      </c>
      <c r="J1037" s="74"/>
      <c r="K1037" s="74"/>
      <c r="L1037" s="75"/>
      <c r="M1037" s="74"/>
      <c r="N1037" s="74"/>
      <c r="O1037" s="74"/>
      <c r="P1037" s="74"/>
      <c r="Q1037" s="74"/>
      <c r="R1037" s="74"/>
      <c r="S1037" s="74"/>
      <c r="T1037" s="74"/>
      <c r="U1037" s="74"/>
      <c r="V1037" s="74"/>
      <c r="W1037" s="74"/>
      <c r="X1037" s="74"/>
      <c r="Y1037" s="74"/>
    </row>
    <row r="1038" spans="1:25" ht="67.150000000000006">
      <c r="A1038" s="74"/>
      <c r="B1038" s="91" t="str">
        <f t="shared" si="195"/>
        <v/>
      </c>
      <c r="C1038" s="115"/>
      <c r="D1038" s="112"/>
      <c r="E1038" s="101" t="s">
        <v>1157</v>
      </c>
      <c r="F1038" s="91" t="str">
        <f t="shared" si="196"/>
        <v/>
      </c>
      <c r="G1038" s="91" t="str">
        <f t="shared" si="197"/>
        <v/>
      </c>
      <c r="H1038" s="91" t="str">
        <f t="shared" ref="H1038:H1052" si="198">IF(AND(B1038&lt;&gt;"",C1038&lt;&gt;"",D1038&lt;&gt;""),COUNTIF(I1038:I1959,B1038),"")</f>
        <v/>
      </c>
      <c r="I1038" s="79">
        <f t="shared" ref="I1038:I1082" si="199">IF(OR(E1038="",B1038&lt;&gt;""),"",IF(I1037&lt;&gt;"",I1037,B1037))</f>
        <v>200</v>
      </c>
      <c r="J1038" s="74"/>
      <c r="K1038" s="74"/>
      <c r="L1038" s="75"/>
      <c r="M1038" s="74"/>
      <c r="N1038" s="74"/>
      <c r="O1038" s="74"/>
      <c r="P1038" s="74"/>
      <c r="Q1038" s="74"/>
      <c r="R1038" s="74"/>
      <c r="S1038" s="74"/>
      <c r="T1038" s="74"/>
      <c r="U1038" s="74"/>
      <c r="V1038" s="74"/>
      <c r="W1038" s="74"/>
      <c r="X1038" s="74"/>
      <c r="Y1038" s="74"/>
    </row>
    <row r="1039" spans="1:25" ht="84">
      <c r="A1039" s="74"/>
      <c r="B1039" s="91" t="str">
        <f t="shared" si="195"/>
        <v/>
      </c>
      <c r="C1039" s="115"/>
      <c r="D1039" s="112"/>
      <c r="E1039" s="101" t="s">
        <v>1158</v>
      </c>
      <c r="F1039" s="91" t="str">
        <f t="shared" si="196"/>
        <v/>
      </c>
      <c r="G1039" s="91" t="str">
        <f t="shared" si="197"/>
        <v/>
      </c>
      <c r="H1039" s="91" t="str">
        <f t="shared" si="198"/>
        <v/>
      </c>
      <c r="I1039" s="79">
        <f t="shared" si="199"/>
        <v>200</v>
      </c>
      <c r="J1039" s="74"/>
      <c r="K1039" s="74"/>
      <c r="L1039" s="75"/>
      <c r="M1039" s="74"/>
      <c r="N1039" s="74"/>
      <c r="O1039" s="74"/>
      <c r="P1039" s="74"/>
      <c r="Q1039" s="74"/>
      <c r="R1039" s="74"/>
      <c r="S1039" s="74"/>
      <c r="T1039" s="74"/>
      <c r="U1039" s="74"/>
      <c r="V1039" s="74"/>
      <c r="W1039" s="74"/>
      <c r="X1039" s="74"/>
      <c r="Y1039" s="74"/>
    </row>
    <row r="1040" spans="1:25" ht="84">
      <c r="A1040" s="74"/>
      <c r="B1040" s="91" t="str">
        <f t="shared" si="195"/>
        <v/>
      </c>
      <c r="C1040" s="115"/>
      <c r="D1040" s="112"/>
      <c r="E1040" s="101" t="s">
        <v>1159</v>
      </c>
      <c r="F1040" s="91" t="str">
        <f t="shared" si="196"/>
        <v/>
      </c>
      <c r="G1040" s="91" t="str">
        <f t="shared" si="197"/>
        <v/>
      </c>
      <c r="H1040" s="91" t="str">
        <f t="shared" si="198"/>
        <v/>
      </c>
      <c r="I1040" s="79">
        <f t="shared" si="199"/>
        <v>200</v>
      </c>
      <c r="J1040" s="74"/>
      <c r="K1040" s="74"/>
      <c r="L1040" s="75"/>
      <c r="M1040" s="74"/>
      <c r="N1040" s="74"/>
      <c r="O1040" s="74"/>
      <c r="P1040" s="74"/>
      <c r="Q1040" s="74"/>
      <c r="R1040" s="74"/>
      <c r="S1040" s="74"/>
      <c r="T1040" s="74"/>
      <c r="U1040" s="74"/>
      <c r="V1040" s="74"/>
      <c r="W1040" s="74"/>
      <c r="X1040" s="74"/>
      <c r="Y1040" s="74"/>
    </row>
    <row r="1041" spans="1:25" ht="18">
      <c r="A1041" s="74"/>
      <c r="B1041" s="79">
        <f t="shared" si="195"/>
        <v>201</v>
      </c>
      <c r="C1041" s="115" t="s">
        <v>1160</v>
      </c>
      <c r="D1041" s="112" t="s">
        <v>858</v>
      </c>
      <c r="E1041" s="103"/>
      <c r="F1041" s="91" t="str">
        <f t="shared" si="196"/>
        <v>B</v>
      </c>
      <c r="G1041" s="91" t="str">
        <f t="shared" si="197"/>
        <v>Đơn giản</v>
      </c>
      <c r="H1041" s="91">
        <f t="shared" si="198"/>
        <v>3</v>
      </c>
      <c r="I1041" s="79" t="str">
        <f t="shared" si="199"/>
        <v/>
      </c>
      <c r="J1041" s="74"/>
      <c r="K1041" s="74"/>
      <c r="L1041" s="75"/>
      <c r="M1041" s="74"/>
      <c r="N1041" s="74"/>
      <c r="O1041" s="74"/>
      <c r="P1041" s="74"/>
      <c r="Q1041" s="74"/>
      <c r="R1041" s="74"/>
      <c r="S1041" s="74"/>
      <c r="T1041" s="74"/>
      <c r="U1041" s="74"/>
      <c r="V1041" s="74"/>
      <c r="W1041" s="74"/>
      <c r="X1041" s="74"/>
      <c r="Y1041" s="74"/>
    </row>
    <row r="1042" spans="1:25" ht="84">
      <c r="A1042" s="74"/>
      <c r="B1042" s="91" t="str">
        <f t="shared" si="195"/>
        <v/>
      </c>
      <c r="C1042" s="115"/>
      <c r="D1042" s="112"/>
      <c r="E1042" s="101" t="s">
        <v>1161</v>
      </c>
      <c r="F1042" s="91" t="str">
        <f t="shared" si="196"/>
        <v/>
      </c>
      <c r="G1042" s="91" t="str">
        <f t="shared" si="197"/>
        <v/>
      </c>
      <c r="H1042" s="91" t="str">
        <f t="shared" si="198"/>
        <v/>
      </c>
      <c r="I1042" s="79">
        <f t="shared" si="199"/>
        <v>201</v>
      </c>
      <c r="J1042" s="74"/>
      <c r="K1042" s="74"/>
      <c r="L1042" s="75"/>
      <c r="M1042" s="74"/>
      <c r="N1042" s="74"/>
      <c r="O1042" s="74"/>
      <c r="P1042" s="74"/>
      <c r="Q1042" s="74"/>
      <c r="R1042" s="74"/>
      <c r="S1042" s="74"/>
      <c r="T1042" s="74"/>
      <c r="U1042" s="74"/>
      <c r="V1042" s="74"/>
      <c r="W1042" s="74"/>
      <c r="X1042" s="74"/>
      <c r="Y1042" s="74"/>
    </row>
    <row r="1043" spans="1:25" ht="84">
      <c r="A1043" s="74"/>
      <c r="B1043" s="91" t="str">
        <f t="shared" si="195"/>
        <v/>
      </c>
      <c r="C1043" s="115"/>
      <c r="D1043" s="112"/>
      <c r="E1043" s="111" t="s">
        <v>1162</v>
      </c>
      <c r="F1043" s="91" t="str">
        <f t="shared" si="196"/>
        <v/>
      </c>
      <c r="G1043" s="91" t="str">
        <f t="shared" si="197"/>
        <v/>
      </c>
      <c r="H1043" s="91" t="str">
        <f t="shared" si="198"/>
        <v/>
      </c>
      <c r="I1043" s="79">
        <f t="shared" si="199"/>
        <v>201</v>
      </c>
      <c r="J1043" s="74"/>
      <c r="K1043" s="74"/>
      <c r="L1043" s="75"/>
      <c r="M1043" s="74"/>
      <c r="N1043" s="74"/>
      <c r="O1043" s="74"/>
      <c r="P1043" s="74"/>
      <c r="Q1043" s="74"/>
      <c r="R1043" s="74"/>
      <c r="S1043" s="74"/>
      <c r="T1043" s="74"/>
      <c r="U1043" s="74"/>
      <c r="V1043" s="74"/>
      <c r="W1043" s="74"/>
      <c r="X1043" s="74"/>
      <c r="Y1043" s="74"/>
    </row>
    <row r="1044" spans="1:25" ht="84">
      <c r="A1044" s="74"/>
      <c r="B1044" s="91" t="str">
        <f t="shared" si="195"/>
        <v/>
      </c>
      <c r="C1044" s="115"/>
      <c r="D1044" s="112"/>
      <c r="E1044" s="111" t="s">
        <v>1163</v>
      </c>
      <c r="F1044" s="91" t="str">
        <f t="shared" si="196"/>
        <v/>
      </c>
      <c r="G1044" s="91" t="str">
        <f t="shared" si="197"/>
        <v/>
      </c>
      <c r="H1044" s="91" t="str">
        <f t="shared" si="198"/>
        <v/>
      </c>
      <c r="I1044" s="79">
        <f t="shared" si="199"/>
        <v>201</v>
      </c>
      <c r="J1044" s="74"/>
      <c r="K1044" s="74"/>
      <c r="L1044" s="75"/>
      <c r="M1044" s="74"/>
      <c r="N1044" s="74"/>
      <c r="O1044" s="74"/>
      <c r="P1044" s="74"/>
      <c r="Q1044" s="74"/>
      <c r="R1044" s="74"/>
      <c r="S1044" s="74"/>
      <c r="T1044" s="74"/>
      <c r="U1044" s="74"/>
      <c r="V1044" s="74"/>
      <c r="W1044" s="74"/>
      <c r="X1044" s="74"/>
      <c r="Y1044" s="74"/>
    </row>
    <row r="1045" spans="1:25" ht="33.6">
      <c r="A1045" s="74"/>
      <c r="B1045" s="79">
        <f t="shared" si="195"/>
        <v>202</v>
      </c>
      <c r="C1045" s="115" t="s">
        <v>1164</v>
      </c>
      <c r="D1045" s="112" t="s">
        <v>858</v>
      </c>
      <c r="E1045" s="125"/>
      <c r="F1045" s="91" t="str">
        <f t="shared" si="196"/>
        <v>B</v>
      </c>
      <c r="G1045" s="91" t="str">
        <f t="shared" si="197"/>
        <v>Đơn giản</v>
      </c>
      <c r="H1045" s="91">
        <f t="shared" si="198"/>
        <v>3</v>
      </c>
      <c r="I1045" s="79" t="str">
        <f t="shared" si="199"/>
        <v/>
      </c>
      <c r="J1045" s="74"/>
      <c r="K1045" s="74"/>
      <c r="L1045" s="75"/>
      <c r="M1045" s="74"/>
      <c r="N1045" s="74"/>
      <c r="O1045" s="74"/>
      <c r="P1045" s="74"/>
      <c r="Q1045" s="74"/>
      <c r="R1045" s="74"/>
      <c r="S1045" s="74"/>
      <c r="T1045" s="74"/>
      <c r="U1045" s="74"/>
      <c r="V1045" s="74"/>
      <c r="W1045" s="74"/>
      <c r="X1045" s="74"/>
      <c r="Y1045" s="74"/>
    </row>
    <row r="1046" spans="1:25" ht="100.9">
      <c r="A1046" s="74"/>
      <c r="B1046" s="91" t="str">
        <f t="shared" si="195"/>
        <v/>
      </c>
      <c r="C1046" s="306"/>
      <c r="D1046" s="307"/>
      <c r="E1046" s="111" t="s">
        <v>1165</v>
      </c>
      <c r="F1046" s="91" t="str">
        <f t="shared" si="196"/>
        <v/>
      </c>
      <c r="G1046" s="91" t="str">
        <f t="shared" si="197"/>
        <v/>
      </c>
      <c r="H1046" s="91" t="str">
        <f t="shared" si="198"/>
        <v/>
      </c>
      <c r="I1046" s="79">
        <f t="shared" si="199"/>
        <v>202</v>
      </c>
      <c r="J1046" s="74"/>
      <c r="K1046" s="74"/>
      <c r="L1046" s="75"/>
      <c r="M1046" s="74"/>
      <c r="N1046" s="74"/>
      <c r="O1046" s="74"/>
      <c r="P1046" s="74"/>
      <c r="Q1046" s="74"/>
      <c r="R1046" s="74"/>
      <c r="S1046" s="74"/>
      <c r="T1046" s="74"/>
      <c r="U1046" s="74"/>
      <c r="V1046" s="74"/>
      <c r="W1046" s="74"/>
      <c r="X1046" s="74"/>
      <c r="Y1046" s="74"/>
    </row>
    <row r="1047" spans="1:25" ht="84">
      <c r="A1047" s="74"/>
      <c r="B1047" s="91" t="str">
        <f t="shared" si="195"/>
        <v/>
      </c>
      <c r="C1047" s="116"/>
      <c r="D1047" s="307"/>
      <c r="E1047" s="111" t="s">
        <v>1166</v>
      </c>
      <c r="F1047" s="91" t="str">
        <f t="shared" si="196"/>
        <v/>
      </c>
      <c r="G1047" s="91" t="str">
        <f t="shared" si="197"/>
        <v/>
      </c>
      <c r="H1047" s="91" t="str">
        <f t="shared" si="198"/>
        <v/>
      </c>
      <c r="I1047" s="79">
        <f t="shared" si="199"/>
        <v>202</v>
      </c>
      <c r="J1047" s="74"/>
      <c r="K1047" s="74"/>
      <c r="L1047" s="75"/>
      <c r="M1047" s="74"/>
      <c r="N1047" s="74"/>
      <c r="O1047" s="74"/>
      <c r="P1047" s="74"/>
      <c r="Q1047" s="74"/>
      <c r="R1047" s="74"/>
      <c r="S1047" s="74"/>
      <c r="T1047" s="74"/>
      <c r="U1047" s="74"/>
      <c r="V1047" s="74"/>
      <c r="W1047" s="74"/>
      <c r="X1047" s="74"/>
      <c r="Y1047" s="74"/>
    </row>
    <row r="1048" spans="1:25" ht="100.9">
      <c r="A1048" s="74"/>
      <c r="B1048" s="91" t="str">
        <f t="shared" si="195"/>
        <v/>
      </c>
      <c r="C1048" s="116"/>
      <c r="D1048" s="307"/>
      <c r="E1048" s="111" t="s">
        <v>1167</v>
      </c>
      <c r="F1048" s="91" t="str">
        <f t="shared" si="196"/>
        <v/>
      </c>
      <c r="G1048" s="91" t="str">
        <f t="shared" si="197"/>
        <v/>
      </c>
      <c r="H1048" s="91" t="str">
        <f t="shared" si="198"/>
        <v/>
      </c>
      <c r="I1048" s="79">
        <f t="shared" si="199"/>
        <v>202</v>
      </c>
      <c r="J1048" s="74"/>
      <c r="K1048" s="74"/>
      <c r="L1048" s="75"/>
      <c r="M1048" s="74"/>
      <c r="N1048" s="74"/>
      <c r="O1048" s="74"/>
      <c r="P1048" s="74"/>
      <c r="Q1048" s="74"/>
      <c r="R1048" s="74"/>
      <c r="S1048" s="74"/>
      <c r="T1048" s="74"/>
      <c r="U1048" s="74"/>
      <c r="V1048" s="74"/>
      <c r="W1048" s="74"/>
      <c r="X1048" s="74"/>
      <c r="Y1048" s="74"/>
    </row>
    <row r="1049" spans="1:25" ht="33.6">
      <c r="A1049" s="74"/>
      <c r="B1049" s="79">
        <f t="shared" si="195"/>
        <v>203</v>
      </c>
      <c r="C1049" s="116" t="s">
        <v>1168</v>
      </c>
      <c r="D1049" s="307" t="s">
        <v>858</v>
      </c>
      <c r="E1049" s="103"/>
      <c r="F1049" s="91" t="str">
        <f t="shared" si="196"/>
        <v>B</v>
      </c>
      <c r="G1049" s="91" t="str">
        <f t="shared" si="197"/>
        <v>Đơn giản</v>
      </c>
      <c r="H1049" s="91">
        <f t="shared" si="198"/>
        <v>3</v>
      </c>
      <c r="I1049" s="79" t="str">
        <f t="shared" si="199"/>
        <v/>
      </c>
      <c r="J1049" s="74"/>
      <c r="K1049" s="74"/>
      <c r="L1049" s="75"/>
      <c r="M1049" s="74"/>
      <c r="N1049" s="74"/>
      <c r="O1049" s="74"/>
      <c r="P1049" s="74"/>
      <c r="Q1049" s="74"/>
      <c r="R1049" s="74"/>
      <c r="S1049" s="74"/>
      <c r="T1049" s="74"/>
      <c r="U1049" s="74"/>
      <c r="V1049" s="74"/>
      <c r="W1049" s="74"/>
      <c r="X1049" s="74"/>
      <c r="Y1049" s="74"/>
    </row>
    <row r="1050" spans="1:25" ht="100.9">
      <c r="A1050" s="74"/>
      <c r="B1050" s="91" t="str">
        <f t="shared" si="195"/>
        <v/>
      </c>
      <c r="C1050" s="116"/>
      <c r="D1050" s="307"/>
      <c r="E1050" s="111" t="s">
        <v>1169</v>
      </c>
      <c r="F1050" s="91" t="str">
        <f t="shared" si="196"/>
        <v/>
      </c>
      <c r="G1050" s="91" t="str">
        <f t="shared" si="197"/>
        <v/>
      </c>
      <c r="H1050" s="91" t="str">
        <f t="shared" si="198"/>
        <v/>
      </c>
      <c r="I1050" s="79">
        <f t="shared" si="199"/>
        <v>203</v>
      </c>
      <c r="J1050" s="74"/>
      <c r="K1050" s="74"/>
      <c r="L1050" s="75"/>
      <c r="M1050" s="74"/>
      <c r="N1050" s="74"/>
      <c r="O1050" s="74"/>
      <c r="P1050" s="74"/>
      <c r="Q1050" s="74"/>
      <c r="R1050" s="74"/>
      <c r="S1050" s="74"/>
      <c r="T1050" s="74"/>
      <c r="U1050" s="74"/>
      <c r="V1050" s="74"/>
      <c r="W1050" s="74"/>
      <c r="X1050" s="74"/>
      <c r="Y1050" s="74"/>
    </row>
    <row r="1051" spans="1:25" ht="100.9">
      <c r="A1051" s="74"/>
      <c r="B1051" s="91" t="str">
        <f t="shared" si="195"/>
        <v/>
      </c>
      <c r="C1051" s="116"/>
      <c r="D1051" s="307"/>
      <c r="E1051" s="111" t="s">
        <v>1170</v>
      </c>
      <c r="F1051" s="91" t="str">
        <f t="shared" si="196"/>
        <v/>
      </c>
      <c r="G1051" s="91" t="str">
        <f t="shared" si="197"/>
        <v/>
      </c>
      <c r="H1051" s="91" t="str">
        <f t="shared" si="198"/>
        <v/>
      </c>
      <c r="I1051" s="79">
        <f t="shared" si="199"/>
        <v>203</v>
      </c>
      <c r="J1051" s="74"/>
      <c r="K1051" s="74"/>
      <c r="L1051" s="75"/>
      <c r="M1051" s="74"/>
      <c r="N1051" s="74"/>
      <c r="O1051" s="74"/>
      <c r="P1051" s="74"/>
      <c r="Q1051" s="74"/>
      <c r="R1051" s="74"/>
      <c r="S1051" s="74"/>
      <c r="T1051" s="74"/>
      <c r="U1051" s="74"/>
      <c r="V1051" s="74"/>
      <c r="W1051" s="74"/>
      <c r="X1051" s="74"/>
      <c r="Y1051" s="74"/>
    </row>
    <row r="1052" spans="1:25" ht="100.9">
      <c r="A1052" s="74"/>
      <c r="B1052" s="91" t="str">
        <f t="shared" si="195"/>
        <v/>
      </c>
      <c r="C1052" s="116"/>
      <c r="D1052" s="307"/>
      <c r="E1052" s="111" t="s">
        <v>1171</v>
      </c>
      <c r="F1052" s="91" t="str">
        <f t="shared" si="196"/>
        <v/>
      </c>
      <c r="G1052" s="91" t="str">
        <f t="shared" si="197"/>
        <v/>
      </c>
      <c r="H1052" s="91" t="str">
        <f t="shared" si="198"/>
        <v/>
      </c>
      <c r="I1052" s="79">
        <f t="shared" si="199"/>
        <v>203</v>
      </c>
      <c r="J1052" s="74"/>
      <c r="K1052" s="74"/>
      <c r="L1052" s="75"/>
      <c r="M1052" s="74"/>
      <c r="N1052" s="74"/>
      <c r="O1052" s="74"/>
      <c r="P1052" s="74"/>
      <c r="Q1052" s="74"/>
      <c r="R1052" s="74"/>
      <c r="S1052" s="74"/>
      <c r="T1052" s="74"/>
      <c r="U1052" s="74"/>
      <c r="V1052" s="74"/>
      <c r="W1052" s="74"/>
      <c r="X1052" s="74"/>
      <c r="Y1052" s="74"/>
    </row>
    <row r="1053" spans="1:25" ht="18">
      <c r="A1053" s="74"/>
      <c r="B1053" s="79">
        <f t="shared" si="195"/>
        <v>204</v>
      </c>
      <c r="C1053" s="116" t="s">
        <v>1172</v>
      </c>
      <c r="D1053" s="307" t="s">
        <v>858</v>
      </c>
      <c r="E1053" s="103"/>
      <c r="F1053" s="91" t="str">
        <f t="shared" si="196"/>
        <v>B</v>
      </c>
      <c r="G1053" s="91" t="str">
        <f t="shared" si="197"/>
        <v>Đơn giản</v>
      </c>
      <c r="H1053" s="91">
        <v>3</v>
      </c>
      <c r="I1053" s="79" t="str">
        <f t="shared" si="199"/>
        <v/>
      </c>
      <c r="J1053" s="74"/>
      <c r="K1053" s="74"/>
      <c r="L1053" s="75"/>
      <c r="M1053" s="74"/>
      <c r="N1053" s="74"/>
      <c r="O1053" s="74"/>
      <c r="P1053" s="74"/>
      <c r="Q1053" s="74"/>
      <c r="R1053" s="74"/>
      <c r="S1053" s="74"/>
      <c r="T1053" s="74"/>
      <c r="U1053" s="74"/>
      <c r="V1053" s="74"/>
      <c r="W1053" s="74"/>
      <c r="X1053" s="74"/>
      <c r="Y1053" s="74"/>
    </row>
    <row r="1054" spans="1:25" ht="84">
      <c r="A1054" s="74"/>
      <c r="B1054" s="91" t="str">
        <f t="shared" si="195"/>
        <v/>
      </c>
      <c r="C1054" s="116"/>
      <c r="D1054" s="307"/>
      <c r="E1054" s="111" t="s">
        <v>1173</v>
      </c>
      <c r="F1054" s="91" t="str">
        <f t="shared" si="196"/>
        <v/>
      </c>
      <c r="G1054" s="91" t="str">
        <f t="shared" si="197"/>
        <v/>
      </c>
      <c r="H1054" s="91" t="str">
        <f t="shared" ref="H1054:H1057" si="200">IF(AND(B1054&lt;&gt;"",C1054&lt;&gt;"",D1054&lt;&gt;""),COUNTIF(I1054:I1975,B1054),"")</f>
        <v/>
      </c>
      <c r="I1054" s="79">
        <f t="shared" si="199"/>
        <v>204</v>
      </c>
      <c r="J1054" s="74"/>
      <c r="K1054" s="74"/>
      <c r="L1054" s="75"/>
      <c r="M1054" s="74"/>
      <c r="N1054" s="74"/>
      <c r="O1054" s="74"/>
      <c r="P1054" s="74"/>
      <c r="Q1054" s="74"/>
      <c r="R1054" s="74"/>
      <c r="S1054" s="74"/>
      <c r="T1054" s="74"/>
      <c r="U1054" s="74"/>
      <c r="V1054" s="74"/>
      <c r="W1054" s="74"/>
      <c r="X1054" s="74"/>
      <c r="Y1054" s="74"/>
    </row>
    <row r="1055" spans="1:25" ht="84">
      <c r="A1055" s="74"/>
      <c r="B1055" s="91" t="str">
        <f t="shared" si="195"/>
        <v/>
      </c>
      <c r="C1055" s="116"/>
      <c r="D1055" s="307"/>
      <c r="E1055" s="111" t="s">
        <v>1174</v>
      </c>
      <c r="F1055" s="91" t="str">
        <f t="shared" si="196"/>
        <v/>
      </c>
      <c r="G1055" s="91" t="str">
        <f t="shared" si="197"/>
        <v/>
      </c>
      <c r="H1055" s="91" t="str">
        <f t="shared" si="200"/>
        <v/>
      </c>
      <c r="I1055" s="79">
        <f t="shared" si="199"/>
        <v>204</v>
      </c>
      <c r="J1055" s="74"/>
      <c r="K1055" s="74"/>
      <c r="L1055" s="75"/>
      <c r="M1055" s="74"/>
      <c r="N1055" s="74"/>
      <c r="O1055" s="74"/>
      <c r="P1055" s="74"/>
      <c r="Q1055" s="74"/>
      <c r="R1055" s="74"/>
      <c r="S1055" s="74"/>
      <c r="T1055" s="74"/>
      <c r="U1055" s="74"/>
      <c r="V1055" s="74"/>
      <c r="W1055" s="74"/>
      <c r="X1055" s="74"/>
      <c r="Y1055" s="74"/>
    </row>
    <row r="1056" spans="1:25" ht="84">
      <c r="A1056" s="74"/>
      <c r="B1056" s="91" t="str">
        <f t="shared" si="195"/>
        <v/>
      </c>
      <c r="C1056" s="116"/>
      <c r="D1056" s="307"/>
      <c r="E1056" s="111" t="s">
        <v>1175</v>
      </c>
      <c r="F1056" s="91" t="str">
        <f t="shared" si="196"/>
        <v/>
      </c>
      <c r="G1056" s="91" t="str">
        <f t="shared" si="197"/>
        <v/>
      </c>
      <c r="H1056" s="91" t="str">
        <f t="shared" si="200"/>
        <v/>
      </c>
      <c r="I1056" s="79">
        <f t="shared" si="199"/>
        <v>204</v>
      </c>
      <c r="J1056" s="74"/>
      <c r="K1056" s="74"/>
      <c r="L1056" s="75"/>
      <c r="M1056" s="74"/>
      <c r="N1056" s="74"/>
      <c r="O1056" s="74"/>
      <c r="P1056" s="74"/>
      <c r="Q1056" s="74"/>
      <c r="R1056" s="74"/>
      <c r="S1056" s="74"/>
      <c r="T1056" s="74"/>
      <c r="U1056" s="74"/>
      <c r="V1056" s="74"/>
      <c r="W1056" s="74"/>
      <c r="X1056" s="74"/>
      <c r="Y1056" s="74"/>
    </row>
    <row r="1057" spans="1:25" ht="18">
      <c r="A1057" s="74"/>
      <c r="B1057" s="91" t="s">
        <v>1176</v>
      </c>
      <c r="C1057" s="126" t="s">
        <v>1177</v>
      </c>
      <c r="D1057" s="307"/>
      <c r="E1057" s="103"/>
      <c r="F1057" s="91" t="str">
        <f t="shared" si="196"/>
        <v/>
      </c>
      <c r="G1057" s="91" t="str">
        <f t="shared" si="197"/>
        <v/>
      </c>
      <c r="H1057" s="91" t="str">
        <f t="shared" si="200"/>
        <v/>
      </c>
      <c r="I1057" s="79" t="str">
        <f t="shared" si="199"/>
        <v/>
      </c>
      <c r="J1057" s="74"/>
      <c r="K1057" s="74"/>
      <c r="L1057" s="75"/>
      <c r="M1057" s="74"/>
      <c r="N1057" s="74"/>
      <c r="O1057" s="74"/>
      <c r="P1057" s="74"/>
      <c r="Q1057" s="74"/>
      <c r="R1057" s="74"/>
      <c r="S1057" s="74"/>
      <c r="T1057" s="74"/>
      <c r="U1057" s="74"/>
      <c r="V1057" s="74"/>
      <c r="W1057" s="74"/>
      <c r="X1057" s="74"/>
      <c r="Y1057" s="74"/>
    </row>
    <row r="1058" spans="1:25" ht="33.6">
      <c r="A1058" s="74"/>
      <c r="B1058" s="79">
        <f t="shared" ref="B1058:B1077" si="201">IF(C1058="","",IF(F1058="B",COUNTIF($F$6:F1058,"B"),""))</f>
        <v>205</v>
      </c>
      <c r="C1058" s="116" t="s">
        <v>1178</v>
      </c>
      <c r="D1058" s="307" t="s">
        <v>858</v>
      </c>
      <c r="E1058" s="103"/>
      <c r="F1058" s="91" t="str">
        <f t="shared" si="196"/>
        <v>B</v>
      </c>
      <c r="G1058" s="91" t="str">
        <f t="shared" si="197"/>
        <v>Đơn giản</v>
      </c>
      <c r="H1058" s="91">
        <v>2</v>
      </c>
      <c r="I1058" s="79" t="str">
        <f t="shared" si="199"/>
        <v/>
      </c>
      <c r="J1058" s="74"/>
      <c r="K1058" s="74"/>
      <c r="L1058" s="75"/>
      <c r="M1058" s="74"/>
      <c r="N1058" s="74"/>
      <c r="O1058" s="74"/>
      <c r="P1058" s="74"/>
      <c r="Q1058" s="74"/>
      <c r="R1058" s="74"/>
      <c r="S1058" s="74"/>
      <c r="T1058" s="74"/>
      <c r="U1058" s="74"/>
      <c r="V1058" s="74"/>
      <c r="W1058" s="74"/>
      <c r="X1058" s="74"/>
      <c r="Y1058" s="74"/>
    </row>
    <row r="1059" spans="1:25" ht="100.9">
      <c r="A1059" s="74"/>
      <c r="B1059" s="91" t="str">
        <f t="shared" si="201"/>
        <v/>
      </c>
      <c r="C1059" s="116"/>
      <c r="D1059" s="307"/>
      <c r="E1059" s="111" t="s">
        <v>1179</v>
      </c>
      <c r="F1059" s="91" t="str">
        <f t="shared" si="196"/>
        <v/>
      </c>
      <c r="G1059" s="91" t="str">
        <f t="shared" si="197"/>
        <v/>
      </c>
      <c r="H1059" s="91" t="str">
        <f t="shared" ref="H1059:H1061" si="202">IF(AND(B1059&lt;&gt;"",C1059&lt;&gt;"",D1059&lt;&gt;""),COUNTIF(I1059:I1980,B1059),"")</f>
        <v/>
      </c>
      <c r="I1059" s="79">
        <f t="shared" si="199"/>
        <v>205</v>
      </c>
      <c r="J1059" s="74"/>
      <c r="K1059" s="74"/>
      <c r="L1059" s="75"/>
      <c r="M1059" s="74"/>
      <c r="N1059" s="74"/>
      <c r="O1059" s="74"/>
      <c r="P1059" s="74"/>
      <c r="Q1059" s="74"/>
      <c r="R1059" s="74"/>
      <c r="S1059" s="74"/>
      <c r="T1059" s="74"/>
      <c r="U1059" s="74"/>
      <c r="V1059" s="74"/>
      <c r="W1059" s="74"/>
      <c r="X1059" s="74"/>
      <c r="Y1059" s="74"/>
    </row>
    <row r="1060" spans="1:25" ht="100.9">
      <c r="A1060" s="74"/>
      <c r="B1060" s="91" t="str">
        <f t="shared" si="201"/>
        <v/>
      </c>
      <c r="C1060" s="116"/>
      <c r="D1060" s="307"/>
      <c r="E1060" s="111" t="s">
        <v>1180</v>
      </c>
      <c r="F1060" s="91" t="str">
        <f t="shared" si="196"/>
        <v/>
      </c>
      <c r="G1060" s="91" t="str">
        <f t="shared" si="197"/>
        <v/>
      </c>
      <c r="H1060" s="91" t="str">
        <f t="shared" si="202"/>
        <v/>
      </c>
      <c r="I1060" s="79">
        <f t="shared" si="199"/>
        <v>205</v>
      </c>
      <c r="J1060" s="74"/>
      <c r="K1060" s="74"/>
      <c r="L1060" s="75"/>
      <c r="M1060" s="74"/>
      <c r="N1060" s="74"/>
      <c r="O1060" s="74"/>
      <c r="P1060" s="74"/>
      <c r="Q1060" s="74"/>
      <c r="R1060" s="74"/>
      <c r="S1060" s="74"/>
      <c r="T1060" s="74"/>
      <c r="U1060" s="74"/>
      <c r="V1060" s="74"/>
      <c r="W1060" s="74"/>
      <c r="X1060" s="74"/>
      <c r="Y1060" s="74"/>
    </row>
    <row r="1061" spans="1:25" ht="50.45">
      <c r="A1061" s="74"/>
      <c r="B1061" s="91" t="str">
        <f t="shared" si="201"/>
        <v/>
      </c>
      <c r="C1061" s="116"/>
      <c r="D1061" s="307"/>
      <c r="E1061" s="111" t="s">
        <v>1181</v>
      </c>
      <c r="F1061" s="91" t="str">
        <f t="shared" si="196"/>
        <v/>
      </c>
      <c r="G1061" s="91" t="str">
        <f t="shared" si="197"/>
        <v/>
      </c>
      <c r="H1061" s="91" t="str">
        <f t="shared" si="202"/>
        <v/>
      </c>
      <c r="I1061" s="79">
        <f t="shared" si="199"/>
        <v>205</v>
      </c>
      <c r="J1061" s="74"/>
      <c r="K1061" s="74"/>
      <c r="L1061" s="75"/>
      <c r="M1061" s="74"/>
      <c r="N1061" s="74"/>
      <c r="O1061" s="74"/>
      <c r="P1061" s="74"/>
      <c r="Q1061" s="74"/>
      <c r="R1061" s="74"/>
      <c r="S1061" s="74"/>
      <c r="T1061" s="74"/>
      <c r="U1061" s="74"/>
      <c r="V1061" s="74"/>
      <c r="W1061" s="74"/>
      <c r="X1061" s="74"/>
      <c r="Y1061" s="74"/>
    </row>
    <row r="1062" spans="1:25" ht="33.6">
      <c r="A1062" s="74"/>
      <c r="B1062" s="79">
        <f t="shared" si="201"/>
        <v>206</v>
      </c>
      <c r="C1062" s="116" t="s">
        <v>1182</v>
      </c>
      <c r="D1062" s="307" t="s">
        <v>858</v>
      </c>
      <c r="E1062" s="103"/>
      <c r="F1062" s="91" t="str">
        <f t="shared" si="196"/>
        <v>B</v>
      </c>
      <c r="G1062" s="91" t="str">
        <f t="shared" si="197"/>
        <v>Đơn giản</v>
      </c>
      <c r="H1062" s="91">
        <v>2</v>
      </c>
      <c r="I1062" s="79" t="str">
        <f t="shared" si="199"/>
        <v/>
      </c>
      <c r="J1062" s="74"/>
      <c r="K1062" s="74"/>
      <c r="L1062" s="75"/>
      <c r="M1062" s="74"/>
      <c r="N1062" s="74"/>
      <c r="O1062" s="74"/>
      <c r="P1062" s="74"/>
      <c r="Q1062" s="74"/>
      <c r="R1062" s="74"/>
      <c r="S1062" s="74"/>
      <c r="T1062" s="74"/>
      <c r="U1062" s="74"/>
      <c r="V1062" s="74"/>
      <c r="W1062" s="74"/>
      <c r="X1062" s="74"/>
      <c r="Y1062" s="74"/>
    </row>
    <row r="1063" spans="1:25" ht="100.9">
      <c r="A1063" s="74"/>
      <c r="B1063" s="91" t="str">
        <f t="shared" si="201"/>
        <v/>
      </c>
      <c r="C1063" s="116"/>
      <c r="D1063" s="307"/>
      <c r="E1063" s="111" t="s">
        <v>1183</v>
      </c>
      <c r="F1063" s="91" t="str">
        <f t="shared" si="196"/>
        <v/>
      </c>
      <c r="G1063" s="91" t="str">
        <f t="shared" si="197"/>
        <v/>
      </c>
      <c r="H1063" s="91" t="str">
        <f t="shared" ref="H1063:H1065" si="203">IF(AND(B1063&lt;&gt;"",C1063&lt;&gt;"",D1063&lt;&gt;""),COUNTIF(I1063:I1984,B1063),"")</f>
        <v/>
      </c>
      <c r="I1063" s="79">
        <f t="shared" si="199"/>
        <v>206</v>
      </c>
      <c r="J1063" s="74"/>
      <c r="K1063" s="74"/>
      <c r="L1063" s="75"/>
      <c r="M1063" s="74"/>
      <c r="N1063" s="74"/>
      <c r="O1063" s="74"/>
      <c r="P1063" s="74"/>
      <c r="Q1063" s="74"/>
      <c r="R1063" s="74"/>
      <c r="S1063" s="74"/>
      <c r="T1063" s="74"/>
      <c r="U1063" s="74"/>
      <c r="V1063" s="74"/>
      <c r="W1063" s="74"/>
      <c r="X1063" s="74"/>
      <c r="Y1063" s="74"/>
    </row>
    <row r="1064" spans="1:25" ht="100.9">
      <c r="A1064" s="74"/>
      <c r="B1064" s="91" t="str">
        <f t="shared" si="201"/>
        <v/>
      </c>
      <c r="C1064" s="116"/>
      <c r="D1064" s="307"/>
      <c r="E1064" s="111" t="s">
        <v>1184</v>
      </c>
      <c r="F1064" s="91" t="str">
        <f t="shared" si="196"/>
        <v/>
      </c>
      <c r="G1064" s="91" t="str">
        <f t="shared" si="197"/>
        <v/>
      </c>
      <c r="H1064" s="91" t="str">
        <f t="shared" si="203"/>
        <v/>
      </c>
      <c r="I1064" s="79">
        <f t="shared" si="199"/>
        <v>206</v>
      </c>
      <c r="J1064" s="74"/>
      <c r="K1064" s="74"/>
      <c r="L1064" s="75"/>
      <c r="M1064" s="74"/>
      <c r="N1064" s="74"/>
      <c r="O1064" s="74"/>
      <c r="P1064" s="74"/>
      <c r="Q1064" s="74"/>
      <c r="R1064" s="74"/>
      <c r="S1064" s="74"/>
      <c r="T1064" s="74"/>
      <c r="U1064" s="74"/>
      <c r="V1064" s="74"/>
      <c r="W1064" s="74"/>
      <c r="X1064" s="74"/>
      <c r="Y1064" s="74"/>
    </row>
    <row r="1065" spans="1:25" ht="50.45">
      <c r="A1065" s="74"/>
      <c r="B1065" s="91" t="str">
        <f t="shared" si="201"/>
        <v/>
      </c>
      <c r="C1065" s="116"/>
      <c r="D1065" s="307"/>
      <c r="E1065" s="111" t="s">
        <v>1185</v>
      </c>
      <c r="F1065" s="91" t="str">
        <f t="shared" si="196"/>
        <v/>
      </c>
      <c r="G1065" s="91" t="str">
        <f t="shared" si="197"/>
        <v/>
      </c>
      <c r="H1065" s="91" t="str">
        <f t="shared" si="203"/>
        <v/>
      </c>
      <c r="I1065" s="79">
        <f t="shared" si="199"/>
        <v>206</v>
      </c>
      <c r="J1065" s="74"/>
      <c r="K1065" s="74"/>
      <c r="L1065" s="75"/>
      <c r="M1065" s="74"/>
      <c r="N1065" s="74"/>
      <c r="O1065" s="74"/>
      <c r="P1065" s="74"/>
      <c r="Q1065" s="74"/>
      <c r="R1065" s="74"/>
      <c r="S1065" s="74"/>
      <c r="T1065" s="74"/>
      <c r="U1065" s="74"/>
      <c r="V1065" s="74"/>
      <c r="W1065" s="74"/>
      <c r="X1065" s="74"/>
      <c r="Y1065" s="74"/>
    </row>
    <row r="1066" spans="1:25" ht="33.6">
      <c r="A1066" s="74"/>
      <c r="B1066" s="79">
        <f t="shared" si="201"/>
        <v>207</v>
      </c>
      <c r="C1066" s="116" t="s">
        <v>1186</v>
      </c>
      <c r="D1066" s="307" t="s">
        <v>858</v>
      </c>
      <c r="E1066" s="103"/>
      <c r="F1066" s="91" t="str">
        <f t="shared" si="196"/>
        <v>B</v>
      </c>
      <c r="G1066" s="91" t="str">
        <f t="shared" si="197"/>
        <v>Đơn giản</v>
      </c>
      <c r="H1066" s="91">
        <v>2</v>
      </c>
      <c r="I1066" s="79" t="str">
        <f t="shared" si="199"/>
        <v/>
      </c>
      <c r="J1066" s="74"/>
      <c r="K1066" s="74"/>
      <c r="L1066" s="75"/>
      <c r="M1066" s="74"/>
      <c r="N1066" s="74"/>
      <c r="O1066" s="74"/>
      <c r="P1066" s="74"/>
      <c r="Q1066" s="74"/>
      <c r="R1066" s="74"/>
      <c r="S1066" s="74"/>
      <c r="T1066" s="74"/>
      <c r="U1066" s="74"/>
      <c r="V1066" s="74"/>
      <c r="W1066" s="74"/>
      <c r="X1066" s="74"/>
      <c r="Y1066" s="74"/>
    </row>
    <row r="1067" spans="1:25" ht="100.9">
      <c r="A1067" s="74"/>
      <c r="B1067" s="91" t="str">
        <f t="shared" si="201"/>
        <v/>
      </c>
      <c r="C1067" s="116"/>
      <c r="D1067" s="307"/>
      <c r="E1067" s="111" t="s">
        <v>1187</v>
      </c>
      <c r="F1067" s="91" t="str">
        <f t="shared" si="196"/>
        <v/>
      </c>
      <c r="G1067" s="91" t="str">
        <f t="shared" si="197"/>
        <v/>
      </c>
      <c r="H1067" s="91" t="str">
        <f t="shared" ref="H1067:H1069" si="204">IF(AND(B1067&lt;&gt;"",C1067&lt;&gt;"",D1067&lt;&gt;""),COUNTIF(I1067:I1988,B1067),"")</f>
        <v/>
      </c>
      <c r="I1067" s="79">
        <f t="shared" si="199"/>
        <v>207</v>
      </c>
      <c r="J1067" s="74"/>
      <c r="K1067" s="74"/>
      <c r="L1067" s="75"/>
      <c r="M1067" s="74"/>
      <c r="N1067" s="74"/>
      <c r="O1067" s="74"/>
      <c r="P1067" s="74"/>
      <c r="Q1067" s="74"/>
      <c r="R1067" s="74"/>
      <c r="S1067" s="74"/>
      <c r="T1067" s="74"/>
      <c r="U1067" s="74"/>
      <c r="V1067" s="74"/>
      <c r="W1067" s="74"/>
      <c r="X1067" s="74"/>
      <c r="Y1067" s="74"/>
    </row>
    <row r="1068" spans="1:25" ht="100.9">
      <c r="A1068" s="74"/>
      <c r="B1068" s="91" t="str">
        <f t="shared" si="201"/>
        <v/>
      </c>
      <c r="C1068" s="116"/>
      <c r="D1068" s="307"/>
      <c r="E1068" s="111" t="s">
        <v>1188</v>
      </c>
      <c r="F1068" s="91" t="str">
        <f t="shared" si="196"/>
        <v/>
      </c>
      <c r="G1068" s="91" t="str">
        <f t="shared" si="197"/>
        <v/>
      </c>
      <c r="H1068" s="91" t="str">
        <f t="shared" si="204"/>
        <v/>
      </c>
      <c r="I1068" s="79">
        <f t="shared" si="199"/>
        <v>207</v>
      </c>
      <c r="J1068" s="74"/>
      <c r="K1068" s="74"/>
      <c r="L1068" s="75"/>
      <c r="M1068" s="74"/>
      <c r="N1068" s="74"/>
      <c r="O1068" s="74"/>
      <c r="P1068" s="74"/>
      <c r="Q1068" s="74"/>
      <c r="R1068" s="74"/>
      <c r="S1068" s="74"/>
      <c r="T1068" s="74"/>
      <c r="U1068" s="74"/>
      <c r="V1068" s="74"/>
      <c r="W1068" s="74"/>
      <c r="X1068" s="74"/>
      <c r="Y1068" s="74"/>
    </row>
    <row r="1069" spans="1:25" ht="50.45">
      <c r="A1069" s="74"/>
      <c r="B1069" s="91" t="str">
        <f t="shared" si="201"/>
        <v/>
      </c>
      <c r="C1069" s="116"/>
      <c r="D1069" s="307"/>
      <c r="E1069" s="111" t="s">
        <v>1189</v>
      </c>
      <c r="F1069" s="91" t="str">
        <f t="shared" si="196"/>
        <v/>
      </c>
      <c r="G1069" s="91" t="str">
        <f t="shared" si="197"/>
        <v/>
      </c>
      <c r="H1069" s="91" t="str">
        <f t="shared" si="204"/>
        <v/>
      </c>
      <c r="I1069" s="79">
        <f t="shared" si="199"/>
        <v>207</v>
      </c>
      <c r="J1069" s="74"/>
      <c r="K1069" s="74"/>
      <c r="L1069" s="75"/>
      <c r="M1069" s="74"/>
      <c r="N1069" s="74"/>
      <c r="O1069" s="74"/>
      <c r="P1069" s="74"/>
      <c r="Q1069" s="74"/>
      <c r="R1069" s="74"/>
      <c r="S1069" s="74"/>
      <c r="T1069" s="74"/>
      <c r="U1069" s="74"/>
      <c r="V1069" s="74"/>
      <c r="W1069" s="74"/>
      <c r="X1069" s="74"/>
      <c r="Y1069" s="74"/>
    </row>
    <row r="1070" spans="1:25" ht="18">
      <c r="A1070" s="74"/>
      <c r="B1070" s="79">
        <f t="shared" si="201"/>
        <v>208</v>
      </c>
      <c r="C1070" s="116" t="s">
        <v>1190</v>
      </c>
      <c r="D1070" s="307" t="s">
        <v>858</v>
      </c>
      <c r="E1070" s="103"/>
      <c r="F1070" s="91" t="str">
        <f t="shared" si="196"/>
        <v>B</v>
      </c>
      <c r="G1070" s="91" t="str">
        <f t="shared" si="197"/>
        <v>Đơn giản</v>
      </c>
      <c r="H1070" s="91">
        <v>2</v>
      </c>
      <c r="I1070" s="79" t="str">
        <f t="shared" si="199"/>
        <v/>
      </c>
      <c r="J1070" s="74"/>
      <c r="K1070" s="74"/>
      <c r="L1070" s="75"/>
      <c r="M1070" s="74"/>
      <c r="N1070" s="74"/>
      <c r="O1070" s="74"/>
      <c r="P1070" s="74"/>
      <c r="Q1070" s="74"/>
      <c r="R1070" s="74"/>
      <c r="S1070" s="74"/>
      <c r="T1070" s="74"/>
      <c r="U1070" s="74"/>
      <c r="V1070" s="74"/>
      <c r="W1070" s="74"/>
      <c r="X1070" s="74"/>
      <c r="Y1070" s="74"/>
    </row>
    <row r="1071" spans="1:25" ht="67.150000000000006">
      <c r="A1071" s="74"/>
      <c r="B1071" s="91" t="str">
        <f t="shared" si="201"/>
        <v/>
      </c>
      <c r="C1071" s="116"/>
      <c r="D1071" s="307"/>
      <c r="E1071" s="111" t="s">
        <v>1191</v>
      </c>
      <c r="F1071" s="91" t="str">
        <f t="shared" si="196"/>
        <v/>
      </c>
      <c r="G1071" s="91" t="str">
        <f t="shared" si="197"/>
        <v/>
      </c>
      <c r="H1071" s="91" t="str">
        <f t="shared" ref="H1071:H1073" si="205">IF(AND(B1071&lt;&gt;"",C1071&lt;&gt;"",D1071&lt;&gt;""),COUNTIF(I1071:I1992,B1071),"")</f>
        <v/>
      </c>
      <c r="I1071" s="79">
        <f t="shared" si="199"/>
        <v>208</v>
      </c>
      <c r="J1071" s="74"/>
      <c r="K1071" s="74"/>
      <c r="L1071" s="75"/>
      <c r="M1071" s="74"/>
      <c r="N1071" s="74"/>
      <c r="O1071" s="74"/>
      <c r="P1071" s="74"/>
      <c r="Q1071" s="74"/>
      <c r="R1071" s="74"/>
      <c r="S1071" s="74"/>
      <c r="T1071" s="74"/>
      <c r="U1071" s="74"/>
      <c r="V1071" s="74"/>
      <c r="W1071" s="74"/>
      <c r="X1071" s="74"/>
      <c r="Y1071" s="74"/>
    </row>
    <row r="1072" spans="1:25" ht="84">
      <c r="A1072" s="74"/>
      <c r="B1072" s="91" t="str">
        <f t="shared" si="201"/>
        <v/>
      </c>
      <c r="C1072" s="116"/>
      <c r="D1072" s="307"/>
      <c r="E1072" s="111" t="s">
        <v>1192</v>
      </c>
      <c r="F1072" s="91" t="str">
        <f t="shared" si="196"/>
        <v/>
      </c>
      <c r="G1072" s="91" t="str">
        <f t="shared" si="197"/>
        <v/>
      </c>
      <c r="H1072" s="91" t="str">
        <f t="shared" si="205"/>
        <v/>
      </c>
      <c r="I1072" s="79">
        <f t="shared" si="199"/>
        <v>208</v>
      </c>
      <c r="J1072" s="74"/>
      <c r="K1072" s="74"/>
      <c r="L1072" s="75"/>
      <c r="M1072" s="74"/>
      <c r="N1072" s="74"/>
      <c r="O1072" s="74"/>
      <c r="P1072" s="74"/>
      <c r="Q1072" s="74"/>
      <c r="R1072" s="74"/>
      <c r="S1072" s="74"/>
      <c r="T1072" s="74"/>
      <c r="U1072" s="74"/>
      <c r="V1072" s="74"/>
      <c r="W1072" s="74"/>
      <c r="X1072" s="74"/>
      <c r="Y1072" s="74"/>
    </row>
    <row r="1073" spans="1:25" ht="50.45">
      <c r="A1073" s="74"/>
      <c r="B1073" s="91" t="str">
        <f t="shared" si="201"/>
        <v/>
      </c>
      <c r="C1073" s="116"/>
      <c r="D1073" s="307"/>
      <c r="E1073" s="111" t="s">
        <v>1193</v>
      </c>
      <c r="F1073" s="91" t="str">
        <f t="shared" si="196"/>
        <v/>
      </c>
      <c r="G1073" s="91" t="str">
        <f t="shared" si="197"/>
        <v/>
      </c>
      <c r="H1073" s="91" t="str">
        <f t="shared" si="205"/>
        <v/>
      </c>
      <c r="I1073" s="79">
        <f t="shared" si="199"/>
        <v>208</v>
      </c>
      <c r="J1073" s="74"/>
      <c r="K1073" s="74"/>
      <c r="L1073" s="75"/>
      <c r="M1073" s="74"/>
      <c r="N1073" s="74"/>
      <c r="O1073" s="74"/>
      <c r="P1073" s="74"/>
      <c r="Q1073" s="74"/>
      <c r="R1073" s="74"/>
      <c r="S1073" s="74"/>
      <c r="T1073" s="74"/>
      <c r="U1073" s="74"/>
      <c r="V1073" s="74"/>
      <c r="W1073" s="74"/>
      <c r="X1073" s="74"/>
      <c r="Y1073" s="74"/>
    </row>
    <row r="1074" spans="1:25" ht="50.45">
      <c r="A1074" s="74"/>
      <c r="B1074" s="79">
        <f t="shared" si="201"/>
        <v>209</v>
      </c>
      <c r="C1074" s="116" t="s">
        <v>1194</v>
      </c>
      <c r="D1074" s="307" t="s">
        <v>858</v>
      </c>
      <c r="E1074" s="103"/>
      <c r="F1074" s="91" t="str">
        <f t="shared" si="196"/>
        <v>B</v>
      </c>
      <c r="G1074" s="91" t="str">
        <f t="shared" si="197"/>
        <v>Đơn giản</v>
      </c>
      <c r="H1074" s="91">
        <v>2</v>
      </c>
      <c r="I1074" s="79" t="str">
        <f t="shared" si="199"/>
        <v/>
      </c>
      <c r="J1074" s="74"/>
      <c r="K1074" s="74"/>
      <c r="L1074" s="75"/>
      <c r="M1074" s="74"/>
      <c r="N1074" s="74"/>
      <c r="O1074" s="74"/>
      <c r="P1074" s="74"/>
      <c r="Q1074" s="74"/>
      <c r="R1074" s="74"/>
      <c r="S1074" s="74"/>
      <c r="T1074" s="74"/>
      <c r="U1074" s="74"/>
      <c r="V1074" s="74"/>
      <c r="W1074" s="74"/>
      <c r="X1074" s="74"/>
      <c r="Y1074" s="74"/>
    </row>
    <row r="1075" spans="1:25" ht="100.9">
      <c r="A1075" s="74"/>
      <c r="B1075" s="91" t="str">
        <f t="shared" si="201"/>
        <v/>
      </c>
      <c r="C1075" s="116"/>
      <c r="D1075" s="307"/>
      <c r="E1075" s="111" t="s">
        <v>1195</v>
      </c>
      <c r="F1075" s="91" t="str">
        <f t="shared" si="196"/>
        <v/>
      </c>
      <c r="G1075" s="91" t="str">
        <f t="shared" si="197"/>
        <v/>
      </c>
      <c r="H1075" s="91" t="str">
        <f t="shared" ref="H1075:H1080" si="206">IF(AND(B1075&lt;&gt;"",C1075&lt;&gt;"",D1075&lt;&gt;""),COUNTIF(I1075:I1996,B1075),"")</f>
        <v/>
      </c>
      <c r="I1075" s="79">
        <f t="shared" si="199"/>
        <v>209</v>
      </c>
      <c r="J1075" s="74"/>
      <c r="K1075" s="74"/>
      <c r="L1075" s="75"/>
      <c r="M1075" s="74"/>
      <c r="N1075" s="74"/>
      <c r="O1075" s="74"/>
      <c r="P1075" s="74"/>
      <c r="Q1075" s="74"/>
      <c r="R1075" s="74"/>
      <c r="S1075" s="74"/>
      <c r="T1075" s="74"/>
      <c r="U1075" s="74"/>
      <c r="V1075" s="74"/>
      <c r="W1075" s="74"/>
      <c r="X1075" s="74"/>
      <c r="Y1075" s="74"/>
    </row>
    <row r="1076" spans="1:25" ht="100.9">
      <c r="A1076" s="74"/>
      <c r="B1076" s="91" t="str">
        <f t="shared" si="201"/>
        <v/>
      </c>
      <c r="C1076" s="116"/>
      <c r="D1076" s="307"/>
      <c r="E1076" s="111" t="s">
        <v>1196</v>
      </c>
      <c r="F1076" s="91" t="str">
        <f t="shared" si="196"/>
        <v/>
      </c>
      <c r="G1076" s="91" t="str">
        <f t="shared" si="197"/>
        <v/>
      </c>
      <c r="H1076" s="91" t="str">
        <f t="shared" si="206"/>
        <v/>
      </c>
      <c r="I1076" s="79">
        <f t="shared" si="199"/>
        <v>209</v>
      </c>
      <c r="J1076" s="74"/>
      <c r="K1076" s="74"/>
      <c r="L1076" s="75"/>
      <c r="M1076" s="74"/>
      <c r="N1076" s="74"/>
      <c r="O1076" s="74"/>
      <c r="P1076" s="74"/>
      <c r="Q1076" s="74"/>
      <c r="R1076" s="74"/>
      <c r="S1076" s="74"/>
      <c r="T1076" s="74"/>
      <c r="U1076" s="74"/>
      <c r="V1076" s="74"/>
      <c r="W1076" s="74"/>
      <c r="X1076" s="74"/>
      <c r="Y1076" s="74"/>
    </row>
    <row r="1077" spans="1:25" ht="50.45">
      <c r="A1077" s="74"/>
      <c r="B1077" s="91" t="str">
        <f t="shared" si="201"/>
        <v/>
      </c>
      <c r="C1077" s="116"/>
      <c r="D1077" s="307"/>
      <c r="E1077" s="111" t="s">
        <v>1197</v>
      </c>
      <c r="F1077" s="91" t="str">
        <f t="shared" si="196"/>
        <v/>
      </c>
      <c r="G1077" s="91" t="str">
        <f t="shared" si="197"/>
        <v/>
      </c>
      <c r="H1077" s="91" t="str">
        <f t="shared" si="206"/>
        <v/>
      </c>
      <c r="I1077" s="79">
        <f t="shared" si="199"/>
        <v>209</v>
      </c>
      <c r="J1077" s="74"/>
      <c r="K1077" s="74"/>
      <c r="L1077" s="75"/>
      <c r="M1077" s="74"/>
      <c r="N1077" s="74"/>
      <c r="O1077" s="74"/>
      <c r="P1077" s="74"/>
      <c r="Q1077" s="74"/>
      <c r="R1077" s="74"/>
      <c r="S1077" s="74"/>
      <c r="T1077" s="74"/>
      <c r="U1077" s="74"/>
      <c r="V1077" s="74"/>
      <c r="W1077" s="74"/>
      <c r="X1077" s="74"/>
      <c r="Y1077" s="74"/>
    </row>
    <row r="1078" spans="1:25" ht="18">
      <c r="A1078" s="74"/>
      <c r="B1078" s="91" t="s">
        <v>1198</v>
      </c>
      <c r="C1078" s="126" t="s">
        <v>1199</v>
      </c>
      <c r="D1078" s="307"/>
      <c r="E1078" s="103"/>
      <c r="F1078" s="91" t="str">
        <f t="shared" si="196"/>
        <v/>
      </c>
      <c r="G1078" s="91" t="str">
        <f t="shared" si="197"/>
        <v/>
      </c>
      <c r="H1078" s="91" t="str">
        <f t="shared" si="206"/>
        <v/>
      </c>
      <c r="I1078" s="79" t="str">
        <f t="shared" si="199"/>
        <v/>
      </c>
      <c r="J1078" s="74"/>
      <c r="K1078" s="74"/>
      <c r="L1078" s="75"/>
      <c r="M1078" s="74"/>
      <c r="N1078" s="74"/>
      <c r="O1078" s="74"/>
      <c r="P1078" s="74"/>
      <c r="Q1078" s="74"/>
      <c r="R1078" s="74"/>
      <c r="S1078" s="74"/>
      <c r="T1078" s="74"/>
      <c r="U1078" s="74"/>
      <c r="V1078" s="74"/>
      <c r="W1078" s="74"/>
      <c r="X1078" s="74"/>
      <c r="Y1078" s="74"/>
    </row>
    <row r="1079" spans="1:25" ht="33.6">
      <c r="A1079" s="74"/>
      <c r="B1079" s="79">
        <f t="shared" ref="B1079:B1080" si="207">IF(C1079="","",IF(F1079="B",COUNTIF($F$6:F1079,"B"),""))</f>
        <v>210</v>
      </c>
      <c r="C1079" s="116" t="s">
        <v>1200</v>
      </c>
      <c r="D1079" s="307" t="s">
        <v>858</v>
      </c>
      <c r="E1079" s="103"/>
      <c r="F1079" s="91" t="str">
        <f t="shared" si="196"/>
        <v>B</v>
      </c>
      <c r="G1079" s="91" t="str">
        <f t="shared" si="197"/>
        <v>Đơn giản</v>
      </c>
      <c r="H1079" s="91">
        <f t="shared" si="206"/>
        <v>2</v>
      </c>
      <c r="I1079" s="79" t="str">
        <f t="shared" si="199"/>
        <v/>
      </c>
      <c r="J1079" s="74"/>
      <c r="K1079" s="74"/>
      <c r="L1079" s="75"/>
      <c r="M1079" s="74"/>
      <c r="N1079" s="74"/>
      <c r="O1079" s="74"/>
      <c r="P1079" s="74"/>
      <c r="Q1079" s="74"/>
      <c r="R1079" s="74"/>
      <c r="S1079" s="74"/>
      <c r="T1079" s="74"/>
      <c r="U1079" s="74"/>
      <c r="V1079" s="74"/>
      <c r="W1079" s="74"/>
      <c r="X1079" s="74"/>
      <c r="Y1079" s="74"/>
    </row>
    <row r="1080" spans="1:25" ht="50.45">
      <c r="A1080" s="74"/>
      <c r="B1080" s="91" t="str">
        <f t="shared" si="207"/>
        <v/>
      </c>
      <c r="C1080" s="116"/>
      <c r="D1080" s="307"/>
      <c r="E1080" s="101" t="s">
        <v>1201</v>
      </c>
      <c r="F1080" s="91" t="str">
        <f t="shared" si="196"/>
        <v/>
      </c>
      <c r="G1080" s="91" t="str">
        <f t="shared" si="197"/>
        <v/>
      </c>
      <c r="H1080" s="91" t="str">
        <f t="shared" si="206"/>
        <v/>
      </c>
      <c r="I1080" s="79">
        <f t="shared" si="199"/>
        <v>210</v>
      </c>
      <c r="J1080" s="74"/>
      <c r="K1080" s="74"/>
      <c r="L1080" s="75"/>
      <c r="M1080" s="74"/>
      <c r="N1080" s="74"/>
      <c r="O1080" s="74"/>
      <c r="P1080" s="74"/>
      <c r="Q1080" s="74"/>
      <c r="R1080" s="74"/>
      <c r="S1080" s="74"/>
      <c r="T1080" s="74"/>
      <c r="U1080" s="74"/>
      <c r="V1080" s="74"/>
      <c r="W1080" s="74"/>
      <c r="X1080" s="74"/>
      <c r="Y1080" s="74"/>
    </row>
    <row r="1081" spans="1:25" ht="100.9">
      <c r="A1081" s="74"/>
      <c r="B1081" s="91" t="str">
        <f>IF(C1081="","",IF(F1081="B",COUNTIF($F$6:F1082,"B"),""))</f>
        <v/>
      </c>
      <c r="C1081" s="116"/>
      <c r="D1081" s="307"/>
      <c r="E1081" s="111" t="s">
        <v>1202</v>
      </c>
      <c r="F1081" s="91" t="str">
        <f t="shared" si="196"/>
        <v/>
      </c>
      <c r="G1081" s="91" t="str">
        <f t="shared" si="197"/>
        <v/>
      </c>
      <c r="H1081" s="91" t="str">
        <f>IF(AND(B1081&lt;&gt;"",C1081&lt;&gt;"",D1081&lt;&gt;""),COUNTIF(I1082:I2002,B1081),"")</f>
        <v/>
      </c>
      <c r="I1081" s="79">
        <f t="shared" si="199"/>
        <v>210</v>
      </c>
      <c r="J1081" s="74"/>
      <c r="K1081" s="74"/>
      <c r="L1081" s="75"/>
      <c r="M1081" s="74"/>
      <c r="N1081" s="74"/>
      <c r="O1081" s="74"/>
      <c r="P1081" s="74"/>
      <c r="Q1081" s="74"/>
      <c r="R1081" s="74"/>
      <c r="S1081" s="74"/>
      <c r="T1081" s="74"/>
      <c r="U1081" s="74"/>
      <c r="V1081" s="74"/>
      <c r="W1081" s="74"/>
      <c r="X1081" s="74"/>
      <c r="Y1081" s="74"/>
    </row>
    <row r="1082" spans="1:25" ht="18">
      <c r="A1082" s="74"/>
      <c r="B1082" s="91" t="str">
        <f t="shared" ref="B1082:B1087" si="208">IF(C1082="","",IF(F1082="B",COUNTIF($F$6:F1082,"B"),""))</f>
        <v/>
      </c>
      <c r="C1082" s="116"/>
      <c r="D1082" s="307"/>
      <c r="E1082" s="103"/>
      <c r="F1082" s="91" t="str">
        <f t="shared" si="196"/>
        <v/>
      </c>
      <c r="G1082" s="91" t="str">
        <f t="shared" si="197"/>
        <v/>
      </c>
      <c r="H1082" s="91" t="str">
        <f t="shared" ref="H1082:H1091" si="209">IF(AND(B1082&lt;&gt;"",C1082&lt;&gt;"",D1082&lt;&gt;""),COUNTIF(I1082:I2003,B1082),"")</f>
        <v/>
      </c>
      <c r="I1082" s="79" t="str">
        <f t="shared" si="199"/>
        <v/>
      </c>
      <c r="J1082" s="74"/>
      <c r="K1082" s="74"/>
      <c r="L1082" s="75"/>
      <c r="M1082" s="74"/>
      <c r="N1082" s="74"/>
      <c r="O1082" s="74"/>
      <c r="P1082" s="74"/>
      <c r="Q1082" s="74"/>
      <c r="R1082" s="74"/>
      <c r="S1082" s="74"/>
      <c r="T1082" s="74"/>
      <c r="U1082" s="74"/>
      <c r="V1082" s="74"/>
      <c r="W1082" s="74"/>
      <c r="X1082" s="74"/>
      <c r="Y1082" s="74"/>
    </row>
    <row r="1083" spans="1:25" ht="33.6">
      <c r="A1083" s="74"/>
      <c r="B1083" s="79">
        <f t="shared" si="208"/>
        <v>211</v>
      </c>
      <c r="C1083" s="116" t="s">
        <v>1203</v>
      </c>
      <c r="D1083" s="307" t="s">
        <v>858</v>
      </c>
      <c r="F1083" s="91" t="str">
        <f t="shared" si="196"/>
        <v>B</v>
      </c>
      <c r="G1083" s="91" t="str">
        <f t="shared" si="197"/>
        <v>Trung bình</v>
      </c>
      <c r="H1083" s="91">
        <f t="shared" si="209"/>
        <v>4</v>
      </c>
      <c r="I1083" s="79" t="str">
        <f>IF(OR(E1082="",B1083&lt;&gt;""),"",IF(I1082&lt;&gt;"",I1082,B1082))</f>
        <v/>
      </c>
      <c r="J1083" s="74"/>
      <c r="K1083" s="74"/>
      <c r="L1083" s="75"/>
      <c r="M1083" s="74"/>
      <c r="N1083" s="74"/>
      <c r="O1083" s="74"/>
      <c r="P1083" s="74"/>
      <c r="Q1083" s="74"/>
      <c r="R1083" s="74"/>
      <c r="S1083" s="74"/>
      <c r="T1083" s="74"/>
      <c r="U1083" s="74"/>
      <c r="V1083" s="74"/>
      <c r="W1083" s="74"/>
      <c r="X1083" s="74"/>
      <c r="Y1083" s="74"/>
    </row>
    <row r="1084" spans="1:25" ht="50.45">
      <c r="A1084" s="74"/>
      <c r="B1084" s="79" t="str">
        <f t="shared" si="208"/>
        <v/>
      </c>
      <c r="C1084" s="116"/>
      <c r="D1084" s="307"/>
      <c r="E1084" s="101" t="s">
        <v>1204</v>
      </c>
      <c r="F1084" s="91" t="str">
        <f t="shared" si="196"/>
        <v/>
      </c>
      <c r="G1084" s="91" t="str">
        <f t="shared" si="197"/>
        <v/>
      </c>
      <c r="H1084" s="91" t="str">
        <f t="shared" si="209"/>
        <v/>
      </c>
      <c r="I1084" s="79">
        <f t="shared" ref="I1084:I1091" si="210">IF(OR(E1084="",B1084&lt;&gt;""),"",IF(I1083&lt;&gt;"",I1083,B1083))</f>
        <v>211</v>
      </c>
      <c r="J1084" s="74"/>
      <c r="K1084" s="74"/>
      <c r="L1084" s="75"/>
      <c r="M1084" s="74"/>
      <c r="N1084" s="74"/>
      <c r="O1084" s="74"/>
      <c r="P1084" s="74"/>
      <c r="Q1084" s="74"/>
      <c r="R1084" s="74"/>
      <c r="S1084" s="74"/>
      <c r="T1084" s="74"/>
      <c r="U1084" s="74"/>
      <c r="V1084" s="74"/>
      <c r="W1084" s="74"/>
      <c r="X1084" s="74"/>
      <c r="Y1084" s="74"/>
    </row>
    <row r="1085" spans="1:25" ht="100.9">
      <c r="A1085" s="74"/>
      <c r="B1085" s="79" t="str">
        <f t="shared" si="208"/>
        <v/>
      </c>
      <c r="C1085" s="116"/>
      <c r="D1085" s="307"/>
      <c r="E1085" s="101" t="s">
        <v>1205</v>
      </c>
      <c r="F1085" s="91" t="str">
        <f t="shared" si="196"/>
        <v/>
      </c>
      <c r="G1085" s="91" t="str">
        <f t="shared" si="197"/>
        <v/>
      </c>
      <c r="H1085" s="91" t="str">
        <f t="shared" si="209"/>
        <v/>
      </c>
      <c r="I1085" s="79">
        <f t="shared" si="210"/>
        <v>211</v>
      </c>
      <c r="J1085" s="74"/>
      <c r="K1085" s="74"/>
      <c r="L1085" s="75"/>
      <c r="M1085" s="74"/>
      <c r="N1085" s="74"/>
      <c r="O1085" s="74"/>
      <c r="P1085" s="74"/>
      <c r="Q1085" s="74"/>
      <c r="R1085" s="74"/>
      <c r="S1085" s="74"/>
      <c r="T1085" s="74"/>
      <c r="U1085" s="74"/>
      <c r="V1085" s="74"/>
      <c r="W1085" s="74"/>
      <c r="X1085" s="74"/>
      <c r="Y1085" s="74"/>
    </row>
    <row r="1086" spans="1:25" ht="100.9">
      <c r="A1086" s="74"/>
      <c r="B1086" s="79" t="str">
        <f t="shared" si="208"/>
        <v/>
      </c>
      <c r="C1086" s="116"/>
      <c r="D1086" s="307"/>
      <c r="E1086" s="101" t="s">
        <v>1206</v>
      </c>
      <c r="F1086" s="91" t="str">
        <f t="shared" si="196"/>
        <v/>
      </c>
      <c r="G1086" s="91" t="str">
        <f t="shared" si="197"/>
        <v/>
      </c>
      <c r="H1086" s="91" t="str">
        <f t="shared" si="209"/>
        <v/>
      </c>
      <c r="I1086" s="79">
        <f t="shared" si="210"/>
        <v>211</v>
      </c>
      <c r="J1086" s="74"/>
      <c r="K1086" s="74"/>
      <c r="L1086" s="75"/>
      <c r="M1086" s="74"/>
      <c r="N1086" s="74"/>
      <c r="O1086" s="74"/>
      <c r="P1086" s="74"/>
      <c r="Q1086" s="74"/>
      <c r="R1086" s="74"/>
      <c r="S1086" s="74"/>
      <c r="T1086" s="74"/>
      <c r="U1086" s="74"/>
      <c r="V1086" s="74"/>
      <c r="W1086" s="74"/>
      <c r="X1086" s="74"/>
      <c r="Y1086" s="74"/>
    </row>
    <row r="1087" spans="1:25" ht="84">
      <c r="A1087" s="74"/>
      <c r="B1087" s="79" t="str">
        <f t="shared" si="208"/>
        <v/>
      </c>
      <c r="C1087" s="116"/>
      <c r="D1087" s="307"/>
      <c r="E1087" s="101" t="s">
        <v>1207</v>
      </c>
      <c r="F1087" s="91" t="str">
        <f t="shared" si="196"/>
        <v/>
      </c>
      <c r="G1087" s="91" t="str">
        <f t="shared" si="197"/>
        <v/>
      </c>
      <c r="H1087" s="91" t="str">
        <f t="shared" si="209"/>
        <v/>
      </c>
      <c r="I1087" s="79">
        <f t="shared" si="210"/>
        <v>211</v>
      </c>
      <c r="J1087" s="74"/>
      <c r="K1087" s="74"/>
      <c r="L1087" s="75"/>
      <c r="M1087" s="74"/>
      <c r="N1087" s="74"/>
      <c r="O1087" s="74"/>
      <c r="P1087" s="74"/>
      <c r="Q1087" s="74"/>
      <c r="R1087" s="74"/>
      <c r="S1087" s="74"/>
      <c r="T1087" s="74"/>
      <c r="U1087" s="74"/>
      <c r="V1087" s="74"/>
      <c r="W1087" s="74"/>
      <c r="X1087" s="74"/>
      <c r="Y1087" s="74"/>
    </row>
    <row r="1088" spans="1:25" ht="18">
      <c r="A1088" s="74"/>
      <c r="B1088" s="91" t="s">
        <v>1208</v>
      </c>
      <c r="C1088" s="126" t="s">
        <v>1209</v>
      </c>
      <c r="D1088" s="313"/>
      <c r="E1088" s="103"/>
      <c r="F1088" s="91" t="str">
        <f t="shared" si="196"/>
        <v/>
      </c>
      <c r="G1088" s="91" t="str">
        <f t="shared" si="197"/>
        <v/>
      </c>
      <c r="H1088" s="91" t="str">
        <f t="shared" si="209"/>
        <v/>
      </c>
      <c r="I1088" s="79" t="str">
        <f t="shared" si="210"/>
        <v/>
      </c>
      <c r="J1088" s="74"/>
      <c r="K1088" s="74"/>
      <c r="L1088" s="75"/>
      <c r="M1088" s="74"/>
      <c r="N1088" s="74"/>
      <c r="O1088" s="74"/>
      <c r="P1088" s="74"/>
      <c r="Q1088" s="74"/>
      <c r="R1088" s="74"/>
      <c r="S1088" s="74"/>
      <c r="T1088" s="74"/>
      <c r="U1088" s="74"/>
      <c r="V1088" s="74"/>
      <c r="W1088" s="74"/>
      <c r="X1088" s="74"/>
      <c r="Y1088" s="74"/>
    </row>
    <row r="1089" spans="1:25" ht="33.6">
      <c r="A1089" s="74"/>
      <c r="B1089" s="79">
        <f t="shared" ref="B1089:B1091" si="211">IF(C1089="","",IF(F1089="B",COUNTIF($F$6:F1089,"B"),""))</f>
        <v>212</v>
      </c>
      <c r="C1089" s="127" t="s">
        <v>1210</v>
      </c>
      <c r="D1089" s="314" t="s">
        <v>858</v>
      </c>
      <c r="E1089" s="128"/>
      <c r="F1089" s="91" t="str">
        <f t="shared" si="196"/>
        <v>B</v>
      </c>
      <c r="G1089" s="91" t="str">
        <f t="shared" si="197"/>
        <v>Đơn giản</v>
      </c>
      <c r="H1089" s="91">
        <f t="shared" si="209"/>
        <v>3</v>
      </c>
      <c r="I1089" s="79" t="str">
        <f t="shared" si="210"/>
        <v/>
      </c>
      <c r="J1089" s="74"/>
      <c r="K1089" s="74"/>
      <c r="L1089" s="75"/>
      <c r="M1089" s="74"/>
      <c r="N1089" s="74"/>
      <c r="O1089" s="74"/>
      <c r="P1089" s="74"/>
      <c r="Q1089" s="74"/>
      <c r="R1089" s="74"/>
      <c r="S1089" s="74"/>
      <c r="T1089" s="74"/>
      <c r="U1089" s="74"/>
      <c r="V1089" s="74"/>
      <c r="W1089" s="74"/>
      <c r="X1089" s="74"/>
      <c r="Y1089" s="74"/>
    </row>
    <row r="1090" spans="1:25" ht="33.6">
      <c r="A1090" s="74"/>
      <c r="B1090" s="79" t="str">
        <f t="shared" si="211"/>
        <v/>
      </c>
      <c r="C1090" s="129"/>
      <c r="D1090" s="314"/>
      <c r="E1090" s="113" t="s">
        <v>1211</v>
      </c>
      <c r="F1090" s="91" t="str">
        <f t="shared" si="196"/>
        <v/>
      </c>
      <c r="G1090" s="91" t="str">
        <f t="shared" si="197"/>
        <v/>
      </c>
      <c r="H1090" s="91" t="str">
        <f t="shared" si="209"/>
        <v/>
      </c>
      <c r="I1090" s="79">
        <f t="shared" si="210"/>
        <v>212</v>
      </c>
      <c r="J1090" s="74"/>
      <c r="K1090" s="74"/>
      <c r="L1090" s="75"/>
      <c r="M1090" s="74"/>
      <c r="N1090" s="74"/>
      <c r="O1090" s="74"/>
      <c r="P1090" s="74"/>
      <c r="Q1090" s="74"/>
      <c r="R1090" s="74"/>
      <c r="S1090" s="74"/>
      <c r="T1090" s="74"/>
      <c r="U1090" s="74"/>
      <c r="V1090" s="74"/>
      <c r="W1090" s="74"/>
      <c r="X1090" s="74"/>
      <c r="Y1090" s="74"/>
    </row>
    <row r="1091" spans="1:25" ht="33.6">
      <c r="A1091" s="74"/>
      <c r="B1091" s="79" t="str">
        <f t="shared" si="211"/>
        <v/>
      </c>
      <c r="C1091" s="129"/>
      <c r="D1091" s="314"/>
      <c r="E1091" s="113" t="s">
        <v>1212</v>
      </c>
      <c r="F1091" s="91" t="str">
        <f t="shared" si="196"/>
        <v/>
      </c>
      <c r="G1091" s="91" t="str">
        <f t="shared" si="197"/>
        <v/>
      </c>
      <c r="H1091" s="91" t="str">
        <f t="shared" si="209"/>
        <v/>
      </c>
      <c r="I1091" s="79">
        <f t="shared" si="210"/>
        <v>212</v>
      </c>
      <c r="J1091" s="74"/>
      <c r="K1091" s="74"/>
      <c r="L1091" s="75"/>
      <c r="M1091" s="74"/>
      <c r="N1091" s="74"/>
      <c r="O1091" s="74"/>
      <c r="P1091" s="74"/>
      <c r="Q1091" s="74"/>
      <c r="R1091" s="74"/>
      <c r="S1091" s="74"/>
      <c r="T1091" s="74"/>
      <c r="U1091" s="74"/>
      <c r="V1091" s="74"/>
      <c r="W1091" s="74"/>
      <c r="X1091" s="74"/>
      <c r="Y1091" s="74"/>
    </row>
    <row r="1092" spans="1:25" ht="50.45">
      <c r="A1092" s="74"/>
      <c r="B1092" s="79"/>
      <c r="C1092" s="129"/>
      <c r="D1092" s="314"/>
      <c r="E1092" s="113" t="s">
        <v>1213</v>
      </c>
      <c r="F1092" s="91"/>
      <c r="G1092" s="91"/>
      <c r="H1092" s="91"/>
      <c r="I1092" s="79">
        <v>215</v>
      </c>
      <c r="J1092" s="74"/>
      <c r="K1092" s="74"/>
      <c r="L1092" s="75"/>
      <c r="M1092" s="74"/>
      <c r="N1092" s="74"/>
      <c r="O1092" s="74"/>
      <c r="P1092" s="74"/>
      <c r="Q1092" s="74"/>
      <c r="R1092" s="74"/>
      <c r="S1092" s="74"/>
      <c r="T1092" s="74"/>
      <c r="U1092" s="74"/>
      <c r="V1092" s="74"/>
      <c r="W1092" s="74"/>
      <c r="X1092" s="74"/>
      <c r="Y1092" s="74"/>
    </row>
    <row r="1093" spans="1:25" ht="33.6">
      <c r="A1093" s="74"/>
      <c r="B1093" s="79"/>
      <c r="C1093" s="129"/>
      <c r="D1093" s="314"/>
      <c r="E1093" s="113" t="s">
        <v>1214</v>
      </c>
      <c r="F1093" s="91"/>
      <c r="G1093" s="91"/>
      <c r="H1093" s="91"/>
      <c r="I1093" s="79">
        <v>215</v>
      </c>
      <c r="J1093" s="74"/>
      <c r="K1093" s="74"/>
      <c r="L1093" s="75"/>
      <c r="M1093" s="74"/>
      <c r="N1093" s="74"/>
      <c r="O1093" s="74"/>
      <c r="P1093" s="74"/>
      <c r="Q1093" s="74"/>
      <c r="R1093" s="74"/>
      <c r="S1093" s="74"/>
      <c r="T1093" s="74"/>
      <c r="U1093" s="74"/>
      <c r="V1093" s="74"/>
      <c r="W1093" s="74"/>
      <c r="X1093" s="74"/>
      <c r="Y1093" s="74"/>
    </row>
    <row r="1094" spans="1:25" ht="33.6">
      <c r="A1094" s="74"/>
      <c r="B1094" s="79" t="str">
        <f t="shared" ref="B1094:B1096" si="212">IF(C1094="","",IF(F1094="B",COUNTIF($F$6:F1094,"B"),""))</f>
        <v/>
      </c>
      <c r="C1094" s="129"/>
      <c r="D1094" s="314"/>
      <c r="E1094" s="113" t="s">
        <v>1215</v>
      </c>
      <c r="F1094" s="91" t="str">
        <f t="shared" ref="F1094:F1096" si="213">IF(D1094="","","B")</f>
        <v/>
      </c>
      <c r="G1094" s="91" t="str">
        <f t="shared" ref="G1094:G1096" si="214">IF(AND(B1094&lt;&gt;"",C1094&lt;&gt;"",D1094&lt;&gt;""),IF(H1094&lt;4,$K$1,IF(H1094&lt;8,$K$2,$K$3)),"")</f>
        <v/>
      </c>
      <c r="H1094" s="91" t="str">
        <f>IF(AND(B1094&lt;&gt;"",C1094&lt;&gt;"",D1094&lt;&gt;""),COUNTIF(I1094:I2013,B1094),"")</f>
        <v/>
      </c>
      <c r="I1094" s="79">
        <f>IF(OR(E1094="",B1094&lt;&gt;""),"",IF(I1091&lt;&gt;"",I1091,B1091))</f>
        <v>212</v>
      </c>
      <c r="J1094" s="74"/>
      <c r="K1094" s="74"/>
      <c r="L1094" s="75"/>
      <c r="M1094" s="74"/>
      <c r="N1094" s="74"/>
      <c r="O1094" s="74"/>
      <c r="P1094" s="74"/>
      <c r="Q1094" s="74"/>
      <c r="R1094" s="74"/>
      <c r="S1094" s="74"/>
      <c r="T1094" s="74"/>
      <c r="U1094" s="74"/>
      <c r="V1094" s="74"/>
      <c r="W1094" s="74"/>
      <c r="X1094" s="74"/>
      <c r="Y1094" s="74"/>
    </row>
    <row r="1095" spans="1:25" ht="18">
      <c r="A1095" s="74"/>
      <c r="B1095" s="79">
        <f t="shared" si="212"/>
        <v>213</v>
      </c>
      <c r="C1095" s="115" t="s">
        <v>1216</v>
      </c>
      <c r="D1095" s="112" t="s">
        <v>858</v>
      </c>
      <c r="E1095" s="103"/>
      <c r="F1095" s="91" t="str">
        <f t="shared" si="213"/>
        <v>B</v>
      </c>
      <c r="G1095" s="91" t="str">
        <f t="shared" si="214"/>
        <v>Phức tạp</v>
      </c>
      <c r="H1095" s="91">
        <f t="shared" ref="H1095:H1096" si="215">IF(AND(B1095&lt;&gt;"",C1095&lt;&gt;"",D1095&lt;&gt;""),COUNTIF(I1095:I2016,B1095),"")</f>
        <v>8</v>
      </c>
      <c r="I1095" s="79" t="str">
        <f>IF(OR(E1095="",B1095&lt;&gt;""),"",IF(I1087&lt;&gt;"",I1087,B1087))</f>
        <v/>
      </c>
      <c r="J1095" s="74"/>
      <c r="K1095" s="74"/>
      <c r="L1095" s="75"/>
      <c r="M1095" s="74"/>
      <c r="N1095" s="74"/>
      <c r="O1095" s="74"/>
      <c r="P1095" s="74"/>
      <c r="Q1095" s="74"/>
      <c r="R1095" s="74"/>
      <c r="S1095" s="74"/>
      <c r="T1095" s="74"/>
      <c r="U1095" s="74"/>
      <c r="V1095" s="74"/>
      <c r="W1095" s="74"/>
      <c r="X1095" s="74"/>
      <c r="Y1095" s="74"/>
    </row>
    <row r="1096" spans="1:25" ht="33.6">
      <c r="A1096" s="74"/>
      <c r="B1096" s="91" t="str">
        <f t="shared" si="212"/>
        <v/>
      </c>
      <c r="C1096" s="306"/>
      <c r="D1096" s="307"/>
      <c r="E1096" s="101" t="s">
        <v>1217</v>
      </c>
      <c r="F1096" s="91" t="str">
        <f t="shared" si="213"/>
        <v/>
      </c>
      <c r="G1096" s="91" t="str">
        <f t="shared" si="214"/>
        <v/>
      </c>
      <c r="H1096" s="91" t="str">
        <f t="shared" si="215"/>
        <v/>
      </c>
      <c r="I1096" s="79">
        <f t="shared" ref="I1096:I1103" si="216">IF(OR(E1096="",B1096&lt;&gt;""),"",IF(I1095&lt;&gt;"",I1095,B1095))</f>
        <v>213</v>
      </c>
      <c r="J1096" s="74"/>
      <c r="K1096" s="74"/>
      <c r="L1096" s="75"/>
      <c r="M1096" s="74"/>
      <c r="N1096" s="74"/>
      <c r="O1096" s="74"/>
      <c r="P1096" s="74"/>
      <c r="Q1096" s="74"/>
      <c r="R1096" s="74"/>
      <c r="S1096" s="74"/>
      <c r="T1096" s="74"/>
      <c r="U1096" s="74"/>
      <c r="V1096" s="74"/>
      <c r="W1096" s="74"/>
      <c r="X1096" s="74"/>
      <c r="Y1096" s="74"/>
    </row>
    <row r="1097" spans="1:25" ht="33.6">
      <c r="A1097" s="74"/>
      <c r="B1097" s="91"/>
      <c r="C1097" s="116"/>
      <c r="D1097" s="307"/>
      <c r="E1097" s="101" t="s">
        <v>1218</v>
      </c>
      <c r="F1097" s="91"/>
      <c r="G1097" s="91"/>
      <c r="H1097" s="91"/>
      <c r="I1097" s="79">
        <f t="shared" si="216"/>
        <v>213</v>
      </c>
      <c r="J1097" s="74"/>
      <c r="K1097" s="74"/>
      <c r="L1097" s="75"/>
      <c r="M1097" s="74"/>
      <c r="N1097" s="74"/>
      <c r="O1097" s="74"/>
      <c r="P1097" s="74"/>
      <c r="Q1097" s="74"/>
      <c r="R1097" s="74"/>
      <c r="S1097" s="74"/>
      <c r="T1097" s="74"/>
      <c r="U1097" s="74"/>
      <c r="V1097" s="74"/>
      <c r="W1097" s="74"/>
      <c r="X1097" s="74"/>
      <c r="Y1097" s="74"/>
    </row>
    <row r="1098" spans="1:25" ht="33.6">
      <c r="A1098" s="74"/>
      <c r="B1098" s="91"/>
      <c r="C1098" s="116"/>
      <c r="D1098" s="307"/>
      <c r="E1098" s="101" t="s">
        <v>1219</v>
      </c>
      <c r="F1098" s="91"/>
      <c r="G1098" s="91"/>
      <c r="H1098" s="91"/>
      <c r="I1098" s="79">
        <f t="shared" si="216"/>
        <v>213</v>
      </c>
      <c r="J1098" s="74"/>
      <c r="K1098" s="74"/>
      <c r="L1098" s="75"/>
      <c r="M1098" s="74"/>
      <c r="N1098" s="74"/>
      <c r="O1098" s="74"/>
      <c r="P1098" s="74"/>
      <c r="Q1098" s="74"/>
      <c r="R1098" s="74"/>
      <c r="S1098" s="74"/>
      <c r="T1098" s="74"/>
      <c r="U1098" s="74"/>
      <c r="V1098" s="74"/>
      <c r="W1098" s="74"/>
      <c r="X1098" s="74"/>
      <c r="Y1098" s="74"/>
    </row>
    <row r="1099" spans="1:25" ht="33.6">
      <c r="A1099" s="74"/>
      <c r="B1099" s="91"/>
      <c r="C1099" s="116"/>
      <c r="D1099" s="307"/>
      <c r="E1099" s="101" t="s">
        <v>1220</v>
      </c>
      <c r="F1099" s="91"/>
      <c r="G1099" s="91"/>
      <c r="H1099" s="91"/>
      <c r="I1099" s="79">
        <f t="shared" si="216"/>
        <v>213</v>
      </c>
      <c r="J1099" s="74"/>
      <c r="K1099" s="74"/>
      <c r="L1099" s="75"/>
      <c r="M1099" s="74"/>
      <c r="N1099" s="74"/>
      <c r="O1099" s="74"/>
      <c r="P1099" s="74"/>
      <c r="Q1099" s="74"/>
      <c r="R1099" s="74"/>
      <c r="S1099" s="74"/>
      <c r="T1099" s="74"/>
      <c r="U1099" s="74"/>
      <c r="V1099" s="74"/>
      <c r="W1099" s="74"/>
      <c r="X1099" s="74"/>
      <c r="Y1099" s="74"/>
    </row>
    <row r="1100" spans="1:25" ht="33.6">
      <c r="A1100" s="74"/>
      <c r="B1100" s="91"/>
      <c r="C1100" s="116"/>
      <c r="D1100" s="307"/>
      <c r="E1100" s="101" t="s">
        <v>1221</v>
      </c>
      <c r="F1100" s="91"/>
      <c r="G1100" s="91"/>
      <c r="H1100" s="91"/>
      <c r="I1100" s="79">
        <f t="shared" si="216"/>
        <v>213</v>
      </c>
      <c r="J1100" s="74"/>
      <c r="K1100" s="74"/>
      <c r="L1100" s="75"/>
      <c r="M1100" s="74"/>
      <c r="N1100" s="74"/>
      <c r="O1100" s="74"/>
      <c r="P1100" s="74"/>
      <c r="Q1100" s="74"/>
      <c r="R1100" s="74"/>
      <c r="S1100" s="74"/>
      <c r="T1100" s="74"/>
      <c r="U1100" s="74"/>
      <c r="V1100" s="74"/>
      <c r="W1100" s="74"/>
      <c r="X1100" s="74"/>
      <c r="Y1100" s="74"/>
    </row>
    <row r="1101" spans="1:25" ht="50.45">
      <c r="A1101" s="74"/>
      <c r="B1101" s="91"/>
      <c r="C1101" s="116"/>
      <c r="D1101" s="307"/>
      <c r="E1101" s="101" t="s">
        <v>1222</v>
      </c>
      <c r="F1101" s="91"/>
      <c r="G1101" s="91"/>
      <c r="H1101" s="91"/>
      <c r="I1101" s="79">
        <f t="shared" si="216"/>
        <v>213</v>
      </c>
      <c r="J1101" s="74"/>
      <c r="K1101" s="74"/>
      <c r="L1101" s="75"/>
      <c r="M1101" s="74"/>
      <c r="N1101" s="74"/>
      <c r="O1101" s="74"/>
      <c r="P1101" s="74"/>
      <c r="Q1101" s="74"/>
      <c r="R1101" s="74"/>
      <c r="S1101" s="74"/>
      <c r="T1101" s="74"/>
      <c r="U1101" s="74"/>
      <c r="V1101" s="74"/>
      <c r="W1101" s="74"/>
      <c r="X1101" s="74"/>
      <c r="Y1101" s="74"/>
    </row>
    <row r="1102" spans="1:25" ht="33.6">
      <c r="A1102" s="74"/>
      <c r="B1102" s="91"/>
      <c r="C1102" s="116"/>
      <c r="D1102" s="307"/>
      <c r="E1102" s="101" t="s">
        <v>1217</v>
      </c>
      <c r="F1102" s="91"/>
      <c r="G1102" s="91"/>
      <c r="H1102" s="91"/>
      <c r="I1102" s="79">
        <f t="shared" si="216"/>
        <v>213</v>
      </c>
      <c r="J1102" s="74"/>
      <c r="K1102" s="74"/>
      <c r="L1102" s="75"/>
      <c r="M1102" s="74"/>
      <c r="N1102" s="74"/>
      <c r="O1102" s="74"/>
      <c r="P1102" s="74"/>
      <c r="Q1102" s="74"/>
      <c r="R1102" s="74"/>
      <c r="S1102" s="74"/>
      <c r="T1102" s="74"/>
      <c r="U1102" s="74"/>
      <c r="V1102" s="74"/>
      <c r="W1102" s="74"/>
      <c r="X1102" s="74"/>
      <c r="Y1102" s="74"/>
    </row>
    <row r="1103" spans="1:25" ht="33.6">
      <c r="A1103" s="74"/>
      <c r="B1103" s="91" t="str">
        <f>IF(C1103="","",IF(F1103="B",COUNTIF($F$6:F1103,"B"),""))</f>
        <v/>
      </c>
      <c r="C1103" s="116"/>
      <c r="D1103" s="307"/>
      <c r="E1103" s="101" t="s">
        <v>1223</v>
      </c>
      <c r="F1103" s="91" t="str">
        <f>IF(D1103="","","B")</f>
        <v/>
      </c>
      <c r="G1103" s="91" t="str">
        <f>IF(AND(B1103&lt;&gt;"",C1103&lt;&gt;"",D1103&lt;&gt;""),IF(H1103&lt;4,$K$1,IF(H1103&lt;8,$K$2,$K$3)),"")</f>
        <v/>
      </c>
      <c r="H1103" s="91" t="str">
        <f>IF(AND(B1103&lt;&gt;"",C1103&lt;&gt;"",D1103&lt;&gt;""),COUNTIF(I1103:I2018,B1103),"")</f>
        <v/>
      </c>
      <c r="I1103" s="79">
        <f t="shared" si="216"/>
        <v>213</v>
      </c>
      <c r="J1103" s="74"/>
      <c r="K1103" s="74"/>
      <c r="L1103" s="75"/>
      <c r="M1103" s="74"/>
      <c r="N1103" s="74"/>
      <c r="O1103" s="74"/>
      <c r="P1103" s="74"/>
      <c r="Q1103" s="74"/>
      <c r="R1103" s="74"/>
      <c r="S1103" s="74"/>
      <c r="T1103" s="74"/>
      <c r="U1103" s="74"/>
      <c r="V1103" s="74"/>
      <c r="W1103" s="74"/>
      <c r="X1103" s="74"/>
      <c r="Y1103" s="74"/>
    </row>
    <row r="1104" spans="1:25" ht="18">
      <c r="A1104" s="74"/>
      <c r="B1104" s="91" t="s">
        <v>1208</v>
      </c>
      <c r="C1104" s="126" t="s">
        <v>1224</v>
      </c>
      <c r="D1104" s="307"/>
      <c r="E1104" s="103"/>
      <c r="F1104" s="91"/>
      <c r="G1104" s="91"/>
      <c r="H1104" s="91" t="str">
        <f t="shared" ref="H1104:H1109" si="217">IF(AND(B1104&lt;&gt;"",C1104&lt;&gt;"",D1104&lt;&gt;""),COUNTIF(I1104:I2020,B1104),"")</f>
        <v/>
      </c>
      <c r="I1104" s="79" t="str">
        <f>IF(OR(E1104="",B1104&lt;&gt;""),"",IF(#REF!&lt;&gt;"",#REF!,#REF!))</f>
        <v/>
      </c>
      <c r="J1104" s="74"/>
      <c r="K1104" s="74"/>
      <c r="L1104" s="75"/>
      <c r="M1104" s="74"/>
      <c r="N1104" s="74"/>
      <c r="O1104" s="74"/>
      <c r="P1104" s="74"/>
      <c r="Q1104" s="74"/>
      <c r="R1104" s="74"/>
      <c r="S1104" s="74"/>
      <c r="T1104" s="74"/>
      <c r="U1104" s="74"/>
      <c r="V1104" s="74"/>
      <c r="W1104" s="74"/>
      <c r="X1104" s="74"/>
      <c r="Y1104" s="74"/>
    </row>
    <row r="1105" spans="1:25" ht="33.6">
      <c r="A1105" s="74"/>
      <c r="B1105" s="79">
        <f t="shared" ref="B1105:B1128" si="218">IF(C1105="","",IF(F1105="B",COUNTIF($F$6:F1105,"B"),""))</f>
        <v>214</v>
      </c>
      <c r="C1105" s="130" t="s">
        <v>1225</v>
      </c>
      <c r="D1105" s="131" t="s">
        <v>858</v>
      </c>
      <c r="E1105" s="132"/>
      <c r="F1105" s="91" t="str">
        <f t="shared" ref="F1105:F1201" si="219">IF(D1105="","","B")</f>
        <v>B</v>
      </c>
      <c r="G1105" s="91" t="str">
        <f t="shared" ref="G1105:G1116" si="220">IF(AND(B1105&lt;&gt;"",C1105&lt;&gt;"",D1105&lt;&gt;""),IF(H1105&lt;4,$K$1,IF(H1105&lt;8,$K$2,$K$3)),"")</f>
        <v>Đơn giản</v>
      </c>
      <c r="H1105" s="91">
        <f t="shared" si="217"/>
        <v>3</v>
      </c>
      <c r="I1105" s="133" t="str">
        <f t="shared" ref="I1105:I1128" si="221">IF(OR(E1105="",B1105&lt;&gt;""),"",IF(I1104&lt;&gt;"",I1104,B1104))</f>
        <v/>
      </c>
      <c r="J1105" s="74"/>
      <c r="K1105" s="74"/>
      <c r="L1105" s="75"/>
      <c r="M1105" s="74"/>
      <c r="N1105" s="74"/>
      <c r="O1105" s="74"/>
      <c r="P1105" s="74"/>
      <c r="Q1105" s="74"/>
      <c r="R1105" s="74"/>
      <c r="S1105" s="74"/>
      <c r="T1105" s="74"/>
      <c r="U1105" s="74"/>
      <c r="V1105" s="74"/>
      <c r="W1105" s="74"/>
      <c r="X1105" s="74"/>
      <c r="Y1105" s="74"/>
    </row>
    <row r="1106" spans="1:25" ht="67.150000000000006">
      <c r="A1106" s="74"/>
      <c r="B1106" s="134" t="str">
        <f t="shared" si="218"/>
        <v/>
      </c>
      <c r="C1106" s="315"/>
      <c r="D1106" s="316"/>
      <c r="E1106" s="111" t="s">
        <v>1226</v>
      </c>
      <c r="F1106" s="134" t="str">
        <f t="shared" si="219"/>
        <v/>
      </c>
      <c r="G1106" s="134" t="str">
        <f t="shared" si="220"/>
        <v/>
      </c>
      <c r="H1106" s="134" t="str">
        <f t="shared" si="217"/>
        <v/>
      </c>
      <c r="I1106" s="79">
        <f t="shared" si="221"/>
        <v>214</v>
      </c>
      <c r="J1106" s="74"/>
      <c r="K1106" s="74"/>
      <c r="L1106" s="75"/>
      <c r="M1106" s="74"/>
      <c r="N1106" s="74"/>
      <c r="O1106" s="74"/>
      <c r="P1106" s="74"/>
      <c r="Q1106" s="74"/>
      <c r="R1106" s="74"/>
      <c r="S1106" s="74"/>
      <c r="T1106" s="74"/>
      <c r="U1106" s="74"/>
      <c r="V1106" s="74"/>
      <c r="W1106" s="74"/>
      <c r="X1106" s="74"/>
      <c r="Y1106" s="74"/>
    </row>
    <row r="1107" spans="1:25" ht="67.150000000000006">
      <c r="A1107" s="74"/>
      <c r="B1107" s="134" t="str">
        <f t="shared" si="218"/>
        <v/>
      </c>
      <c r="C1107" s="135"/>
      <c r="D1107" s="316"/>
      <c r="E1107" s="111" t="s">
        <v>1227</v>
      </c>
      <c r="F1107" s="134" t="str">
        <f t="shared" si="219"/>
        <v/>
      </c>
      <c r="G1107" s="134" t="str">
        <f t="shared" si="220"/>
        <v/>
      </c>
      <c r="H1107" s="134" t="str">
        <f t="shared" si="217"/>
        <v/>
      </c>
      <c r="I1107" s="79">
        <f t="shared" si="221"/>
        <v>214</v>
      </c>
      <c r="J1107" s="74"/>
      <c r="K1107" s="74"/>
      <c r="L1107" s="75"/>
      <c r="M1107" s="74"/>
      <c r="N1107" s="74"/>
      <c r="O1107" s="74"/>
      <c r="P1107" s="74"/>
      <c r="Q1107" s="74"/>
      <c r="R1107" s="74"/>
      <c r="S1107" s="74"/>
      <c r="T1107" s="74"/>
      <c r="U1107" s="74"/>
      <c r="V1107" s="74"/>
      <c r="W1107" s="74"/>
      <c r="X1107" s="74"/>
      <c r="Y1107" s="74"/>
    </row>
    <row r="1108" spans="1:25" ht="84">
      <c r="A1108" s="74"/>
      <c r="B1108" s="134" t="str">
        <f t="shared" si="218"/>
        <v/>
      </c>
      <c r="C1108" s="135"/>
      <c r="D1108" s="316"/>
      <c r="E1108" s="111" t="s">
        <v>1228</v>
      </c>
      <c r="F1108" s="134" t="str">
        <f t="shared" si="219"/>
        <v/>
      </c>
      <c r="G1108" s="134" t="str">
        <f t="shared" si="220"/>
        <v/>
      </c>
      <c r="H1108" s="134" t="str">
        <f t="shared" si="217"/>
        <v/>
      </c>
      <c r="I1108" s="79">
        <f t="shared" si="221"/>
        <v>214</v>
      </c>
      <c r="J1108" s="74"/>
      <c r="K1108" s="74"/>
      <c r="L1108" s="75"/>
      <c r="M1108" s="74"/>
      <c r="N1108" s="74"/>
      <c r="O1108" s="74"/>
      <c r="P1108" s="74"/>
      <c r="Q1108" s="74"/>
      <c r="R1108" s="74"/>
      <c r="S1108" s="74"/>
      <c r="T1108" s="74"/>
      <c r="U1108" s="74"/>
      <c r="V1108" s="74"/>
      <c r="W1108" s="74"/>
      <c r="X1108" s="74"/>
      <c r="Y1108" s="74"/>
    </row>
    <row r="1109" spans="1:25" ht="33.6">
      <c r="A1109" s="74"/>
      <c r="B1109" s="79">
        <f t="shared" si="218"/>
        <v>215</v>
      </c>
      <c r="C1109" s="135" t="s">
        <v>1229</v>
      </c>
      <c r="D1109" s="131" t="s">
        <v>858</v>
      </c>
      <c r="E1109" s="132"/>
      <c r="F1109" s="91" t="str">
        <f t="shared" si="219"/>
        <v>B</v>
      </c>
      <c r="G1109" s="91" t="str">
        <f t="shared" si="220"/>
        <v>Đơn giản</v>
      </c>
      <c r="H1109" s="91">
        <f t="shared" si="217"/>
        <v>3</v>
      </c>
      <c r="I1109" s="133" t="str">
        <f t="shared" si="221"/>
        <v/>
      </c>
      <c r="J1109" s="74"/>
      <c r="K1109" s="74"/>
      <c r="L1109" s="75"/>
      <c r="M1109" s="74"/>
      <c r="N1109" s="74"/>
      <c r="O1109" s="74"/>
      <c r="P1109" s="74"/>
      <c r="Q1109" s="74"/>
      <c r="R1109" s="74"/>
      <c r="S1109" s="74"/>
      <c r="T1109" s="74"/>
      <c r="U1109" s="74"/>
      <c r="V1109" s="74"/>
      <c r="W1109" s="74"/>
      <c r="X1109" s="74"/>
      <c r="Y1109" s="74"/>
    </row>
    <row r="1110" spans="1:25" ht="67.150000000000006">
      <c r="A1110" s="74"/>
      <c r="B1110" s="134" t="str">
        <f t="shared" si="218"/>
        <v/>
      </c>
      <c r="C1110" s="135"/>
      <c r="D1110" s="316"/>
      <c r="E1110" s="111" t="s">
        <v>1230</v>
      </c>
      <c r="F1110" s="134" t="str">
        <f t="shared" si="219"/>
        <v/>
      </c>
      <c r="G1110" s="134" t="str">
        <f t="shared" si="220"/>
        <v/>
      </c>
      <c r="H1110" s="134" t="str">
        <f t="shared" ref="H1110:H1128" si="222">IF(AND(B1110&lt;&gt;"",C1110&lt;&gt;"",D1110&lt;&gt;""),COUNTIF(I1110:I1958,B1110),"")</f>
        <v/>
      </c>
      <c r="I1110" s="79">
        <f t="shared" si="221"/>
        <v>215</v>
      </c>
      <c r="J1110" s="74"/>
      <c r="K1110" s="74"/>
      <c r="L1110" s="75"/>
      <c r="M1110" s="74"/>
      <c r="N1110" s="74"/>
      <c r="O1110" s="74"/>
      <c r="P1110" s="74"/>
      <c r="Q1110" s="74"/>
      <c r="R1110" s="74"/>
      <c r="S1110" s="74"/>
      <c r="T1110" s="74"/>
      <c r="U1110" s="74"/>
      <c r="V1110" s="74"/>
      <c r="W1110" s="74"/>
      <c r="X1110" s="74"/>
      <c r="Y1110" s="74"/>
    </row>
    <row r="1111" spans="1:25" ht="67.150000000000006">
      <c r="A1111" s="74"/>
      <c r="B1111" s="134" t="str">
        <f t="shared" si="218"/>
        <v/>
      </c>
      <c r="C1111" s="136"/>
      <c r="D1111" s="316"/>
      <c r="E1111" s="111" t="s">
        <v>1231</v>
      </c>
      <c r="F1111" s="134" t="str">
        <f t="shared" si="219"/>
        <v/>
      </c>
      <c r="G1111" s="134" t="str">
        <f t="shared" si="220"/>
        <v/>
      </c>
      <c r="H1111" s="134" t="str">
        <f t="shared" si="222"/>
        <v/>
      </c>
      <c r="I1111" s="79">
        <f t="shared" si="221"/>
        <v>215</v>
      </c>
      <c r="J1111" s="74"/>
      <c r="K1111" s="74"/>
      <c r="L1111" s="75"/>
      <c r="M1111" s="74"/>
      <c r="N1111" s="74"/>
      <c r="O1111" s="74"/>
      <c r="P1111" s="74"/>
      <c r="Q1111" s="74"/>
      <c r="R1111" s="74"/>
      <c r="S1111" s="74"/>
      <c r="T1111" s="74"/>
      <c r="U1111" s="74"/>
      <c r="V1111" s="74"/>
      <c r="W1111" s="74"/>
      <c r="X1111" s="74"/>
      <c r="Y1111" s="74"/>
    </row>
    <row r="1112" spans="1:25" ht="84">
      <c r="A1112" s="74"/>
      <c r="B1112" s="134" t="str">
        <f t="shared" si="218"/>
        <v/>
      </c>
      <c r="C1112" s="132"/>
      <c r="D1112" s="316"/>
      <c r="E1112" s="111" t="s">
        <v>1232</v>
      </c>
      <c r="F1112" s="134" t="str">
        <f t="shared" si="219"/>
        <v/>
      </c>
      <c r="G1112" s="134" t="str">
        <f t="shared" si="220"/>
        <v/>
      </c>
      <c r="H1112" s="134" t="str">
        <f t="shared" si="222"/>
        <v/>
      </c>
      <c r="I1112" s="79">
        <f t="shared" si="221"/>
        <v>215</v>
      </c>
      <c r="J1112" s="74"/>
      <c r="K1112" s="74"/>
      <c r="L1112" s="75"/>
      <c r="M1112" s="74"/>
      <c r="N1112" s="74"/>
      <c r="O1112" s="74"/>
      <c r="P1112" s="74"/>
      <c r="Q1112" s="74"/>
      <c r="R1112" s="74"/>
      <c r="S1112" s="74"/>
      <c r="T1112" s="74"/>
      <c r="U1112" s="74"/>
      <c r="V1112" s="74"/>
      <c r="W1112" s="74"/>
      <c r="X1112" s="74"/>
      <c r="Y1112" s="74"/>
    </row>
    <row r="1113" spans="1:25" ht="18">
      <c r="A1113" s="74"/>
      <c r="B1113" s="79">
        <f t="shared" si="218"/>
        <v>216</v>
      </c>
      <c r="C1113" s="109" t="s">
        <v>1233</v>
      </c>
      <c r="D1113" s="314" t="s">
        <v>858</v>
      </c>
      <c r="E1113" s="128"/>
      <c r="F1113" s="91" t="str">
        <f t="shared" si="219"/>
        <v>B</v>
      </c>
      <c r="G1113" s="91" t="str">
        <f t="shared" si="220"/>
        <v>Đơn giản</v>
      </c>
      <c r="H1113" s="91">
        <f t="shared" si="222"/>
        <v>3</v>
      </c>
      <c r="I1113" s="79" t="str">
        <f t="shared" si="221"/>
        <v/>
      </c>
      <c r="J1113" s="74"/>
      <c r="K1113" s="74"/>
      <c r="L1113" s="75"/>
      <c r="M1113" s="74"/>
      <c r="N1113" s="74"/>
      <c r="O1113" s="74"/>
      <c r="P1113" s="74"/>
      <c r="Q1113" s="74"/>
      <c r="R1113" s="74"/>
      <c r="S1113" s="74"/>
      <c r="T1113" s="74"/>
      <c r="U1113" s="74"/>
      <c r="V1113" s="74"/>
      <c r="W1113" s="74"/>
      <c r="X1113" s="74"/>
      <c r="Y1113" s="74"/>
    </row>
    <row r="1114" spans="1:25" ht="84">
      <c r="A1114" s="74"/>
      <c r="B1114" s="91" t="str">
        <f t="shared" si="218"/>
        <v/>
      </c>
      <c r="C1114" s="109"/>
      <c r="D1114" s="314"/>
      <c r="E1114" s="111" t="s">
        <v>1234</v>
      </c>
      <c r="F1114" s="91" t="str">
        <f t="shared" si="219"/>
        <v/>
      </c>
      <c r="G1114" s="91" t="str">
        <f t="shared" si="220"/>
        <v/>
      </c>
      <c r="H1114" s="91" t="str">
        <f t="shared" si="222"/>
        <v/>
      </c>
      <c r="I1114" s="79">
        <f t="shared" si="221"/>
        <v>216</v>
      </c>
      <c r="J1114" s="74"/>
      <c r="K1114" s="74"/>
      <c r="L1114" s="75"/>
      <c r="M1114" s="74"/>
      <c r="N1114" s="74"/>
      <c r="O1114" s="74"/>
      <c r="P1114" s="74"/>
      <c r="Q1114" s="74"/>
      <c r="R1114" s="74"/>
      <c r="S1114" s="74"/>
      <c r="T1114" s="74"/>
      <c r="U1114" s="74"/>
      <c r="V1114" s="74"/>
      <c r="W1114" s="74"/>
      <c r="X1114" s="74"/>
      <c r="Y1114" s="74"/>
    </row>
    <row r="1115" spans="1:25" ht="67.150000000000006">
      <c r="A1115" s="74"/>
      <c r="B1115" s="91" t="str">
        <f t="shared" si="218"/>
        <v/>
      </c>
      <c r="C1115" s="109"/>
      <c r="D1115" s="314"/>
      <c r="E1115" s="111" t="s">
        <v>1235</v>
      </c>
      <c r="F1115" s="91" t="str">
        <f t="shared" si="219"/>
        <v/>
      </c>
      <c r="G1115" s="91" t="str">
        <f t="shared" si="220"/>
        <v/>
      </c>
      <c r="H1115" s="91" t="str">
        <f t="shared" si="222"/>
        <v/>
      </c>
      <c r="I1115" s="79">
        <f t="shared" si="221"/>
        <v>216</v>
      </c>
      <c r="J1115" s="74"/>
      <c r="K1115" s="74"/>
      <c r="L1115" s="75"/>
      <c r="M1115" s="74"/>
      <c r="N1115" s="74"/>
      <c r="O1115" s="74"/>
      <c r="P1115" s="74"/>
      <c r="Q1115" s="74"/>
      <c r="R1115" s="74"/>
      <c r="S1115" s="74"/>
      <c r="T1115" s="74"/>
      <c r="U1115" s="74"/>
      <c r="V1115" s="74"/>
      <c r="W1115" s="74"/>
      <c r="X1115" s="74"/>
      <c r="Y1115" s="74"/>
    </row>
    <row r="1116" spans="1:25" ht="84">
      <c r="A1116" s="74"/>
      <c r="B1116" s="91" t="str">
        <f t="shared" si="218"/>
        <v/>
      </c>
      <c r="C1116" s="128"/>
      <c r="D1116" s="314"/>
      <c r="E1116" s="111" t="s">
        <v>1236</v>
      </c>
      <c r="F1116" s="91" t="str">
        <f t="shared" si="219"/>
        <v/>
      </c>
      <c r="G1116" s="91" t="str">
        <f t="shared" si="220"/>
        <v/>
      </c>
      <c r="H1116" s="91" t="str">
        <f t="shared" si="222"/>
        <v/>
      </c>
      <c r="I1116" s="79">
        <f t="shared" si="221"/>
        <v>216</v>
      </c>
      <c r="J1116" s="74"/>
      <c r="K1116" s="74"/>
      <c r="L1116" s="75"/>
      <c r="M1116" s="74"/>
      <c r="N1116" s="74"/>
      <c r="O1116" s="74"/>
      <c r="P1116" s="74"/>
      <c r="Q1116" s="74"/>
      <c r="R1116" s="74"/>
      <c r="S1116" s="74"/>
      <c r="T1116" s="74"/>
      <c r="U1116" s="74"/>
      <c r="V1116" s="74"/>
      <c r="W1116" s="74"/>
      <c r="X1116" s="74"/>
      <c r="Y1116" s="74"/>
    </row>
    <row r="1117" spans="1:25" ht="18">
      <c r="A1117" s="7"/>
      <c r="B1117" s="41">
        <f t="shared" si="218"/>
        <v>217</v>
      </c>
      <c r="C1117" s="137" t="s">
        <v>1237</v>
      </c>
      <c r="D1117" s="317" t="s">
        <v>858</v>
      </c>
      <c r="E1117" s="138"/>
      <c r="F1117" s="42" t="str">
        <f t="shared" si="219"/>
        <v>B</v>
      </c>
      <c r="G1117" s="42" t="str">
        <f t="shared" ref="G1117:G1128" si="223">IF(AND(B1117&lt;&gt;"",C1117&lt;&gt;"",D1117&lt;&gt;""),IF(H1117&lt;4,$K$1,IF(H1117&lt;8,$K$2,$K$3)),"")</f>
        <v>Đơn giản</v>
      </c>
      <c r="H1117" s="42">
        <f t="shared" si="222"/>
        <v>3</v>
      </c>
      <c r="I1117" s="139" t="str">
        <f t="shared" si="221"/>
        <v/>
      </c>
      <c r="J1117" s="7"/>
      <c r="K1117" s="7"/>
      <c r="L1117" s="7"/>
      <c r="M1117" s="7"/>
      <c r="N1117" s="7"/>
      <c r="O1117" s="7"/>
      <c r="P1117" s="7"/>
      <c r="Q1117" s="7"/>
      <c r="R1117" s="7"/>
      <c r="S1117" s="7"/>
      <c r="T1117" s="7"/>
      <c r="U1117" s="7"/>
      <c r="V1117" s="7"/>
      <c r="W1117" s="7"/>
      <c r="X1117" s="7"/>
      <c r="Y1117" s="7"/>
    </row>
    <row r="1118" spans="1:25" ht="51">
      <c r="A1118" s="7"/>
      <c r="B1118" s="139" t="str">
        <f t="shared" si="218"/>
        <v/>
      </c>
      <c r="C1118" s="139"/>
      <c r="D1118" s="318"/>
      <c r="E1118" s="140" t="s">
        <v>1238</v>
      </c>
      <c r="F1118" s="139" t="str">
        <f t="shared" si="219"/>
        <v/>
      </c>
      <c r="G1118" s="139" t="str">
        <f t="shared" si="223"/>
        <v/>
      </c>
      <c r="H1118" s="139" t="str">
        <f t="shared" si="222"/>
        <v/>
      </c>
      <c r="I1118" s="41">
        <f t="shared" si="221"/>
        <v>217</v>
      </c>
      <c r="J1118" s="7"/>
      <c r="K1118" s="7"/>
      <c r="L1118" s="7"/>
      <c r="M1118" s="7"/>
      <c r="N1118" s="7"/>
      <c r="O1118" s="7"/>
      <c r="P1118" s="7"/>
      <c r="Q1118" s="7"/>
      <c r="R1118" s="7"/>
      <c r="S1118" s="7"/>
      <c r="T1118" s="7"/>
      <c r="U1118" s="7"/>
      <c r="V1118" s="7"/>
      <c r="W1118" s="7"/>
      <c r="X1118" s="7"/>
      <c r="Y1118" s="7"/>
    </row>
    <row r="1119" spans="1:25" ht="51">
      <c r="A1119" s="7"/>
      <c r="B1119" s="139" t="str">
        <f t="shared" si="218"/>
        <v/>
      </c>
      <c r="C1119" s="139"/>
      <c r="D1119" s="318"/>
      <c r="E1119" s="140" t="s">
        <v>1239</v>
      </c>
      <c r="F1119" s="139" t="str">
        <f t="shared" si="219"/>
        <v/>
      </c>
      <c r="G1119" s="139" t="str">
        <f t="shared" si="223"/>
        <v/>
      </c>
      <c r="H1119" s="139" t="str">
        <f t="shared" si="222"/>
        <v/>
      </c>
      <c r="I1119" s="41">
        <f t="shared" si="221"/>
        <v>217</v>
      </c>
      <c r="J1119" s="7"/>
      <c r="K1119" s="7"/>
      <c r="L1119" s="7"/>
      <c r="M1119" s="7"/>
      <c r="N1119" s="7"/>
      <c r="O1119" s="7"/>
      <c r="P1119" s="7"/>
      <c r="Q1119" s="7"/>
      <c r="R1119" s="7"/>
      <c r="S1119" s="7"/>
      <c r="T1119" s="7"/>
      <c r="U1119" s="7"/>
      <c r="V1119" s="7"/>
      <c r="W1119" s="7"/>
      <c r="X1119" s="7"/>
      <c r="Y1119" s="7"/>
    </row>
    <row r="1120" spans="1:25" ht="51">
      <c r="A1120" s="7"/>
      <c r="B1120" s="139" t="str">
        <f t="shared" si="218"/>
        <v/>
      </c>
      <c r="C1120" s="138"/>
      <c r="D1120" s="318"/>
      <c r="E1120" s="140" t="s">
        <v>1240</v>
      </c>
      <c r="F1120" s="139" t="str">
        <f t="shared" si="219"/>
        <v/>
      </c>
      <c r="G1120" s="139" t="str">
        <f t="shared" si="223"/>
        <v/>
      </c>
      <c r="H1120" s="139" t="str">
        <f t="shared" si="222"/>
        <v/>
      </c>
      <c r="I1120" s="41">
        <f t="shared" si="221"/>
        <v>217</v>
      </c>
      <c r="J1120" s="7"/>
      <c r="K1120" s="7"/>
      <c r="L1120" s="7"/>
      <c r="M1120" s="7"/>
      <c r="N1120" s="7"/>
      <c r="O1120" s="7"/>
      <c r="P1120" s="7"/>
      <c r="Q1120" s="7"/>
      <c r="R1120" s="7"/>
      <c r="S1120" s="7"/>
      <c r="T1120" s="7"/>
      <c r="U1120" s="7"/>
      <c r="V1120" s="7"/>
      <c r="W1120" s="7"/>
      <c r="X1120" s="7"/>
      <c r="Y1120" s="7"/>
    </row>
    <row r="1121" spans="1:25" ht="18">
      <c r="A1121" s="7"/>
      <c r="B1121" s="41">
        <f t="shared" si="218"/>
        <v>218</v>
      </c>
      <c r="C1121" s="137" t="s">
        <v>1241</v>
      </c>
      <c r="D1121" s="317" t="s">
        <v>858</v>
      </c>
      <c r="E1121" s="138"/>
      <c r="F1121" s="42" t="str">
        <f t="shared" si="219"/>
        <v>B</v>
      </c>
      <c r="G1121" s="42" t="str">
        <f t="shared" si="223"/>
        <v>Đơn giản</v>
      </c>
      <c r="H1121" s="42">
        <f t="shared" si="222"/>
        <v>3</v>
      </c>
      <c r="I1121" s="139" t="str">
        <f t="shared" si="221"/>
        <v/>
      </c>
      <c r="J1121" s="7"/>
      <c r="K1121" s="7"/>
      <c r="L1121" s="7"/>
      <c r="M1121" s="7"/>
      <c r="N1121" s="7"/>
      <c r="O1121" s="7"/>
      <c r="P1121" s="7"/>
      <c r="Q1121" s="7"/>
      <c r="R1121" s="7"/>
      <c r="S1121" s="7"/>
      <c r="T1121" s="7"/>
      <c r="U1121" s="7"/>
      <c r="V1121" s="7"/>
      <c r="W1121" s="7"/>
      <c r="X1121" s="7"/>
      <c r="Y1121" s="7"/>
    </row>
    <row r="1122" spans="1:25" ht="34.15">
      <c r="A1122" s="7"/>
      <c r="B1122" s="139" t="str">
        <f t="shared" si="218"/>
        <v/>
      </c>
      <c r="C1122" s="139"/>
      <c r="D1122" s="318"/>
      <c r="E1122" s="140" t="s">
        <v>1242</v>
      </c>
      <c r="F1122" s="139" t="str">
        <f t="shared" si="219"/>
        <v/>
      </c>
      <c r="G1122" s="139" t="str">
        <f t="shared" si="223"/>
        <v/>
      </c>
      <c r="H1122" s="139" t="str">
        <f t="shared" si="222"/>
        <v/>
      </c>
      <c r="I1122" s="41">
        <f t="shared" si="221"/>
        <v>218</v>
      </c>
      <c r="J1122" s="7"/>
      <c r="K1122" s="7"/>
      <c r="L1122" s="7"/>
      <c r="M1122" s="7"/>
      <c r="N1122" s="7"/>
      <c r="O1122" s="7"/>
      <c r="P1122" s="7"/>
      <c r="Q1122" s="7"/>
      <c r="R1122" s="7"/>
      <c r="S1122" s="7"/>
      <c r="T1122" s="7"/>
      <c r="U1122" s="7"/>
      <c r="V1122" s="7"/>
      <c r="W1122" s="7"/>
      <c r="X1122" s="7"/>
      <c r="Y1122" s="7"/>
    </row>
    <row r="1123" spans="1:25" ht="51">
      <c r="A1123" s="7"/>
      <c r="B1123" s="139" t="str">
        <f t="shared" si="218"/>
        <v/>
      </c>
      <c r="C1123" s="139"/>
      <c r="D1123" s="318"/>
      <c r="E1123" s="140" t="s">
        <v>1243</v>
      </c>
      <c r="F1123" s="139" t="str">
        <f t="shared" si="219"/>
        <v/>
      </c>
      <c r="G1123" s="139" t="str">
        <f t="shared" si="223"/>
        <v/>
      </c>
      <c r="H1123" s="139" t="str">
        <f t="shared" si="222"/>
        <v/>
      </c>
      <c r="I1123" s="41">
        <f t="shared" si="221"/>
        <v>218</v>
      </c>
      <c r="J1123" s="7"/>
      <c r="K1123" s="7"/>
      <c r="L1123" s="7"/>
      <c r="M1123" s="7"/>
      <c r="N1123" s="7"/>
      <c r="O1123" s="7"/>
      <c r="P1123" s="7"/>
      <c r="Q1123" s="7"/>
      <c r="R1123" s="7"/>
      <c r="S1123" s="7"/>
      <c r="T1123" s="7"/>
      <c r="U1123" s="7"/>
      <c r="V1123" s="7"/>
      <c r="W1123" s="7"/>
      <c r="X1123" s="7"/>
      <c r="Y1123" s="7"/>
    </row>
    <row r="1124" spans="1:25" ht="51">
      <c r="A1124" s="7"/>
      <c r="B1124" s="139" t="str">
        <f t="shared" si="218"/>
        <v/>
      </c>
      <c r="C1124" s="138"/>
      <c r="D1124" s="318"/>
      <c r="E1124" s="140" t="s">
        <v>1244</v>
      </c>
      <c r="F1124" s="139" t="str">
        <f t="shared" si="219"/>
        <v/>
      </c>
      <c r="G1124" s="139" t="str">
        <f t="shared" si="223"/>
        <v/>
      </c>
      <c r="H1124" s="139" t="str">
        <f t="shared" si="222"/>
        <v/>
      </c>
      <c r="I1124" s="41">
        <f t="shared" si="221"/>
        <v>218</v>
      </c>
      <c r="J1124" s="7"/>
      <c r="K1124" s="7"/>
      <c r="L1124" s="7"/>
      <c r="M1124" s="7"/>
      <c r="N1124" s="7"/>
      <c r="O1124" s="7"/>
      <c r="P1124" s="7"/>
      <c r="Q1124" s="7"/>
      <c r="R1124" s="7"/>
      <c r="S1124" s="7"/>
      <c r="T1124" s="7"/>
      <c r="U1124" s="7"/>
      <c r="V1124" s="7"/>
      <c r="W1124" s="7"/>
      <c r="X1124" s="7"/>
      <c r="Y1124" s="7"/>
    </row>
    <row r="1125" spans="1:25" ht="18">
      <c r="A1125" s="7"/>
      <c r="B1125" s="41">
        <f t="shared" si="218"/>
        <v>219</v>
      </c>
      <c r="C1125" s="137" t="s">
        <v>1245</v>
      </c>
      <c r="D1125" s="317" t="s">
        <v>858</v>
      </c>
      <c r="E1125" s="138"/>
      <c r="F1125" s="42" t="str">
        <f t="shared" si="219"/>
        <v>B</v>
      </c>
      <c r="G1125" s="42" t="str">
        <f t="shared" si="223"/>
        <v>Đơn giản</v>
      </c>
      <c r="H1125" s="42">
        <f t="shared" si="222"/>
        <v>3</v>
      </c>
      <c r="I1125" s="139" t="str">
        <f t="shared" si="221"/>
        <v/>
      </c>
      <c r="J1125" s="7"/>
      <c r="K1125" s="7"/>
      <c r="L1125" s="7"/>
      <c r="M1125" s="7"/>
      <c r="N1125" s="7"/>
      <c r="O1125" s="7"/>
      <c r="P1125" s="7"/>
      <c r="Q1125" s="7"/>
      <c r="R1125" s="7"/>
      <c r="S1125" s="7"/>
      <c r="T1125" s="7"/>
      <c r="U1125" s="7"/>
      <c r="V1125" s="7"/>
      <c r="W1125" s="7"/>
      <c r="X1125" s="7"/>
      <c r="Y1125" s="7"/>
    </row>
    <row r="1126" spans="1:25" ht="34.15">
      <c r="A1126" s="7"/>
      <c r="B1126" s="139" t="str">
        <f t="shared" si="218"/>
        <v/>
      </c>
      <c r="C1126" s="139"/>
      <c r="D1126" s="318"/>
      <c r="E1126" s="140" t="s">
        <v>1246</v>
      </c>
      <c r="F1126" s="139" t="str">
        <f t="shared" si="219"/>
        <v/>
      </c>
      <c r="G1126" s="139" t="str">
        <f t="shared" si="223"/>
        <v/>
      </c>
      <c r="H1126" s="139" t="str">
        <f t="shared" si="222"/>
        <v/>
      </c>
      <c r="I1126" s="41">
        <f t="shared" si="221"/>
        <v>219</v>
      </c>
      <c r="J1126" s="7"/>
      <c r="K1126" s="7"/>
      <c r="L1126" s="7"/>
      <c r="M1126" s="7"/>
      <c r="N1126" s="7"/>
      <c r="O1126" s="7"/>
      <c r="P1126" s="7"/>
      <c r="Q1126" s="7"/>
      <c r="R1126" s="7"/>
      <c r="S1126" s="7"/>
      <c r="T1126" s="7"/>
      <c r="U1126" s="7"/>
      <c r="V1126" s="7"/>
      <c r="W1126" s="7"/>
      <c r="X1126" s="7"/>
      <c r="Y1126" s="7"/>
    </row>
    <row r="1127" spans="1:25" ht="51">
      <c r="A1127" s="7"/>
      <c r="B1127" s="139" t="str">
        <f t="shared" si="218"/>
        <v/>
      </c>
      <c r="C1127" s="139"/>
      <c r="D1127" s="318"/>
      <c r="E1127" s="140" t="s">
        <v>1247</v>
      </c>
      <c r="F1127" s="139" t="str">
        <f t="shared" si="219"/>
        <v/>
      </c>
      <c r="G1127" s="139" t="str">
        <f t="shared" si="223"/>
        <v/>
      </c>
      <c r="H1127" s="139" t="str">
        <f t="shared" si="222"/>
        <v/>
      </c>
      <c r="I1127" s="41">
        <f t="shared" si="221"/>
        <v>219</v>
      </c>
      <c r="J1127" s="7"/>
      <c r="K1127" s="7"/>
      <c r="L1127" s="7"/>
      <c r="M1127" s="7"/>
      <c r="N1127" s="7"/>
      <c r="O1127" s="7"/>
      <c r="P1127" s="7"/>
      <c r="Q1127" s="7"/>
      <c r="R1127" s="7"/>
      <c r="S1127" s="7"/>
      <c r="T1127" s="7"/>
      <c r="U1127" s="7"/>
      <c r="V1127" s="7"/>
      <c r="W1127" s="7"/>
      <c r="X1127" s="7"/>
      <c r="Y1127" s="7"/>
    </row>
    <row r="1128" spans="1:25" ht="51">
      <c r="A1128" s="7"/>
      <c r="B1128" s="139" t="str">
        <f t="shared" si="218"/>
        <v/>
      </c>
      <c r="C1128" s="138"/>
      <c r="D1128" s="318"/>
      <c r="E1128" s="140" t="s">
        <v>1248</v>
      </c>
      <c r="F1128" s="139" t="str">
        <f t="shared" si="219"/>
        <v/>
      </c>
      <c r="G1128" s="139" t="str">
        <f t="shared" si="223"/>
        <v/>
      </c>
      <c r="H1128" s="139" t="str">
        <f t="shared" si="222"/>
        <v/>
      </c>
      <c r="I1128" s="41">
        <f t="shared" si="221"/>
        <v>219</v>
      </c>
      <c r="J1128" s="7"/>
      <c r="K1128" s="7"/>
      <c r="L1128" s="7"/>
      <c r="M1128" s="7"/>
      <c r="N1128" s="7"/>
      <c r="O1128" s="7"/>
      <c r="P1128" s="7"/>
      <c r="Q1128" s="7"/>
      <c r="R1128" s="7"/>
      <c r="S1128" s="7"/>
      <c r="T1128" s="7"/>
      <c r="U1128" s="7"/>
      <c r="V1128" s="7"/>
      <c r="W1128" s="7"/>
      <c r="X1128" s="7"/>
      <c r="Y1128" s="7"/>
    </row>
    <row r="1129" spans="1:25" ht="18">
      <c r="A1129" s="74"/>
      <c r="B1129" s="91" t="s">
        <v>95</v>
      </c>
      <c r="C1129" s="319" t="s">
        <v>1249</v>
      </c>
      <c r="D1129" s="13"/>
      <c r="E1129" s="103"/>
      <c r="F1129" s="91" t="str">
        <f t="shared" si="219"/>
        <v/>
      </c>
      <c r="G1129" s="91" t="str">
        <f t="shared" ref="G1129:G1201" si="224">IF(AND(B1129&lt;&gt;"",C1129&lt;&gt;"",D1129&lt;&gt;""),IF(H1129&lt;4,$K$1,IF(H1129&lt;8,$K$2,$K$3)),"")</f>
        <v/>
      </c>
      <c r="H1129" s="91" t="str">
        <f>IF(AND(B1129&lt;&gt;"",C1129&lt;&gt;"",D1129&lt;&gt;""),COUNTIF(I1129:I1957,B1129),"")</f>
        <v/>
      </c>
      <c r="I1129" s="79" t="str">
        <f>IF(OR(E1129="",B1129&lt;&gt;""),"",IF(I1116&lt;&gt;"",I1116,B1116))</f>
        <v/>
      </c>
      <c r="J1129" s="74"/>
      <c r="K1129" s="74"/>
      <c r="L1129" s="75"/>
      <c r="M1129" s="74"/>
      <c r="N1129" s="74"/>
      <c r="O1129" s="74"/>
      <c r="P1129" s="74"/>
      <c r="Q1129" s="74"/>
      <c r="R1129" s="74"/>
      <c r="S1129" s="74"/>
      <c r="T1129" s="74"/>
      <c r="U1129" s="74"/>
      <c r="V1129" s="74"/>
      <c r="W1129" s="74"/>
      <c r="X1129" s="74"/>
      <c r="Y1129" s="74"/>
    </row>
    <row r="1130" spans="1:25" ht="18">
      <c r="A1130" s="74"/>
      <c r="B1130" s="79">
        <f t="shared" ref="B1130:B1132" si="225">IF(C1130="","",IF(F1130="B",COUNTIF($F$6:F1130,"B"),""))</f>
        <v>220</v>
      </c>
      <c r="C1130" s="101" t="s">
        <v>173</v>
      </c>
      <c r="D1130" s="102" t="s">
        <v>858</v>
      </c>
      <c r="E1130" s="103"/>
      <c r="F1130" s="91" t="str">
        <f t="shared" si="219"/>
        <v>B</v>
      </c>
      <c r="G1130" s="91" t="str">
        <f t="shared" si="224"/>
        <v>Trung bình</v>
      </c>
      <c r="H1130" s="91">
        <f t="shared" ref="H1130:H1132" si="226">IF(AND(B1130&lt;&gt;"",C1130&lt;&gt;"",D1130&lt;&gt;""),COUNTIF(I1130:I1930,B1130),"")</f>
        <v>4</v>
      </c>
      <c r="I1130" s="79" t="str">
        <f t="shared" ref="I1130:I1132" si="227">IF(OR(E1130="",B1130&lt;&gt;""),"",IF(I1129&lt;&gt;"",I1129,B1129))</f>
        <v/>
      </c>
      <c r="J1130" s="74"/>
      <c r="K1130" s="74"/>
      <c r="L1130" s="75"/>
      <c r="M1130" s="74"/>
      <c r="N1130" s="74"/>
      <c r="O1130" s="74"/>
      <c r="P1130" s="74"/>
      <c r="Q1130" s="74"/>
      <c r="R1130" s="74"/>
      <c r="S1130" s="74"/>
      <c r="T1130" s="74"/>
      <c r="U1130" s="74"/>
      <c r="V1130" s="74"/>
      <c r="W1130" s="74"/>
      <c r="X1130" s="74"/>
      <c r="Y1130" s="74"/>
    </row>
    <row r="1131" spans="1:25" ht="50.45">
      <c r="A1131" s="74"/>
      <c r="B1131" s="91" t="str">
        <f t="shared" si="225"/>
        <v/>
      </c>
      <c r="C1131" s="103"/>
      <c r="D1131" s="102"/>
      <c r="E1131" s="101" t="s">
        <v>1250</v>
      </c>
      <c r="F1131" s="91" t="str">
        <f t="shared" si="219"/>
        <v/>
      </c>
      <c r="G1131" s="91" t="str">
        <f t="shared" si="224"/>
        <v/>
      </c>
      <c r="H1131" s="91" t="str">
        <f t="shared" si="226"/>
        <v/>
      </c>
      <c r="I1131" s="79">
        <f t="shared" si="227"/>
        <v>220</v>
      </c>
      <c r="J1131" s="74"/>
      <c r="K1131" s="74"/>
      <c r="L1131" s="75"/>
      <c r="M1131" s="74"/>
      <c r="N1131" s="74"/>
      <c r="O1131" s="74"/>
      <c r="P1131" s="74"/>
      <c r="Q1131" s="74"/>
      <c r="R1131" s="74"/>
      <c r="S1131" s="74"/>
      <c r="T1131" s="74"/>
      <c r="U1131" s="74"/>
      <c r="V1131" s="74"/>
      <c r="W1131" s="74"/>
      <c r="X1131" s="74"/>
      <c r="Y1131" s="74"/>
    </row>
    <row r="1132" spans="1:25" ht="50.45">
      <c r="A1132" s="74"/>
      <c r="B1132" s="91" t="str">
        <f t="shared" si="225"/>
        <v/>
      </c>
      <c r="C1132" s="103"/>
      <c r="D1132" s="102"/>
      <c r="E1132" s="101" t="s">
        <v>1251</v>
      </c>
      <c r="F1132" s="91" t="str">
        <f t="shared" si="219"/>
        <v/>
      </c>
      <c r="G1132" s="91" t="str">
        <f t="shared" si="224"/>
        <v/>
      </c>
      <c r="H1132" s="91" t="str">
        <f t="shared" si="226"/>
        <v/>
      </c>
      <c r="I1132" s="79">
        <f t="shared" si="227"/>
        <v>220</v>
      </c>
      <c r="J1132" s="74"/>
      <c r="K1132" s="74"/>
      <c r="L1132" s="75"/>
      <c r="M1132" s="74"/>
      <c r="N1132" s="74"/>
      <c r="O1132" s="74"/>
      <c r="P1132" s="74"/>
      <c r="Q1132" s="74"/>
      <c r="R1132" s="74"/>
      <c r="S1132" s="74"/>
      <c r="T1132" s="74"/>
      <c r="U1132" s="74"/>
      <c r="V1132" s="74"/>
      <c r="W1132" s="74"/>
      <c r="X1132" s="74"/>
      <c r="Y1132" s="74"/>
    </row>
    <row r="1133" spans="1:25" ht="33.6">
      <c r="A1133" s="74"/>
      <c r="B1133" s="91" t="str">
        <f>IF(C1133="","",IF(F1133="B",COUNTIF($F$6:F1134,"B"),""))</f>
        <v/>
      </c>
      <c r="C1133" s="103"/>
      <c r="D1133" s="102"/>
      <c r="E1133" s="101" t="s">
        <v>1252</v>
      </c>
      <c r="F1133" s="91" t="str">
        <f t="shared" si="219"/>
        <v/>
      </c>
      <c r="G1133" s="91" t="str">
        <f t="shared" si="224"/>
        <v/>
      </c>
      <c r="H1133" s="91" t="str">
        <f>IF(AND(B1133&lt;&gt;"",C1133&lt;&gt;"",D1133&lt;&gt;""),COUNTIF(I1133:I1934,B1133),"")</f>
        <v/>
      </c>
      <c r="I1133" s="79">
        <f>IF(OR(E1133="",B1133&lt;&gt;""),"",IF(I1134&lt;&gt;"",I1134,B1134))</f>
        <v>220</v>
      </c>
      <c r="J1133" s="74"/>
      <c r="K1133" s="74"/>
      <c r="L1133" s="75"/>
      <c r="M1133" s="74"/>
      <c r="N1133" s="74"/>
      <c r="O1133" s="74"/>
      <c r="P1133" s="74"/>
      <c r="Q1133" s="74"/>
      <c r="R1133" s="74"/>
      <c r="S1133" s="74"/>
      <c r="T1133" s="74"/>
      <c r="U1133" s="74"/>
      <c r="V1133" s="74"/>
      <c r="W1133" s="74"/>
      <c r="X1133" s="74"/>
      <c r="Y1133" s="74"/>
    </row>
    <row r="1134" spans="1:25" ht="33.6">
      <c r="A1134" s="74"/>
      <c r="B1134" s="91" t="str">
        <f t="shared" ref="B1134:B1201" si="228">IF(C1134="","",IF(F1134="B",COUNTIF($F$6:F1134,"B"),""))</f>
        <v/>
      </c>
      <c r="C1134" s="103"/>
      <c r="D1134" s="102"/>
      <c r="E1134" s="141" t="s">
        <v>1253</v>
      </c>
      <c r="F1134" s="91" t="str">
        <f t="shared" si="219"/>
        <v/>
      </c>
      <c r="G1134" s="91" t="str">
        <f t="shared" si="224"/>
        <v/>
      </c>
      <c r="H1134" s="91" t="str">
        <f>IF(AND(B1134&lt;&gt;"",C1134&lt;&gt;"",D1134&lt;&gt;""),COUNTIF(I1134:I1933,B1134),"")</f>
        <v/>
      </c>
      <c r="I1134" s="79">
        <f t="shared" ref="I1134:I1135" si="229">IF(OR(E1134="",B1134&lt;&gt;""),"",IF(I1132&lt;&gt;"",I1132,B1132))</f>
        <v>220</v>
      </c>
      <c r="J1134" s="74"/>
      <c r="K1134" s="74"/>
      <c r="L1134" s="75"/>
      <c r="M1134" s="74"/>
      <c r="N1134" s="74"/>
      <c r="O1134" s="74"/>
      <c r="P1134" s="74"/>
      <c r="Q1134" s="74"/>
      <c r="R1134" s="74"/>
      <c r="S1134" s="74"/>
      <c r="T1134" s="74"/>
      <c r="U1134" s="74"/>
      <c r="V1134" s="74"/>
      <c r="W1134" s="74"/>
      <c r="X1134" s="74"/>
      <c r="Y1134" s="74"/>
    </row>
    <row r="1135" spans="1:25" ht="18">
      <c r="A1135" s="74"/>
      <c r="B1135" s="79">
        <f t="shared" si="228"/>
        <v>221</v>
      </c>
      <c r="C1135" s="101" t="s">
        <v>176</v>
      </c>
      <c r="D1135" s="102" t="s">
        <v>858</v>
      </c>
      <c r="E1135" s="103"/>
      <c r="F1135" s="91" t="str">
        <f t="shared" si="219"/>
        <v>B</v>
      </c>
      <c r="G1135" s="91" t="str">
        <f t="shared" si="224"/>
        <v>Đơn giản</v>
      </c>
      <c r="H1135" s="91">
        <f t="shared" ref="H1135:H1138" si="230">IF(AND(B1135&lt;&gt;"",C1135&lt;&gt;"",D1135&lt;&gt;""),COUNTIF(I1135:I1935,B1135),"")</f>
        <v>3</v>
      </c>
      <c r="I1135" s="79" t="str">
        <f t="shared" si="229"/>
        <v/>
      </c>
      <c r="J1135" s="74"/>
      <c r="K1135" s="74"/>
      <c r="L1135" s="75"/>
      <c r="M1135" s="74"/>
      <c r="N1135" s="74"/>
      <c r="O1135" s="74"/>
      <c r="P1135" s="74"/>
      <c r="Q1135" s="74"/>
      <c r="R1135" s="74"/>
      <c r="S1135" s="74"/>
      <c r="T1135" s="74"/>
      <c r="U1135" s="74"/>
      <c r="V1135" s="74"/>
      <c r="W1135" s="74"/>
      <c r="X1135" s="74"/>
      <c r="Y1135" s="74"/>
    </row>
    <row r="1136" spans="1:25" ht="33.6">
      <c r="A1136" s="74"/>
      <c r="B1136" s="91" t="str">
        <f t="shared" si="228"/>
        <v/>
      </c>
      <c r="C1136" s="103"/>
      <c r="D1136" s="102"/>
      <c r="E1136" s="101" t="s">
        <v>1254</v>
      </c>
      <c r="F1136" s="91" t="str">
        <f t="shared" si="219"/>
        <v/>
      </c>
      <c r="G1136" s="91" t="str">
        <f t="shared" si="224"/>
        <v/>
      </c>
      <c r="H1136" s="91" t="str">
        <f t="shared" si="230"/>
        <v/>
      </c>
      <c r="I1136" s="79">
        <f t="shared" ref="I1136:I1161" si="231">IF(OR(E1136="",B1136&lt;&gt;""),"",IF(I1135&lt;&gt;"",I1135,B1135))</f>
        <v>221</v>
      </c>
      <c r="J1136" s="74"/>
      <c r="K1136" s="74"/>
      <c r="L1136" s="75"/>
      <c r="M1136" s="74"/>
      <c r="N1136" s="74"/>
      <c r="O1136" s="74"/>
      <c r="P1136" s="74"/>
      <c r="Q1136" s="74"/>
      <c r="R1136" s="74"/>
      <c r="S1136" s="74"/>
      <c r="T1136" s="74"/>
      <c r="U1136" s="74"/>
      <c r="V1136" s="74"/>
      <c r="W1136" s="74"/>
      <c r="X1136" s="74"/>
      <c r="Y1136" s="74"/>
    </row>
    <row r="1137" spans="1:25" ht="50.45">
      <c r="A1137" s="74"/>
      <c r="B1137" s="91" t="str">
        <f t="shared" si="228"/>
        <v/>
      </c>
      <c r="C1137" s="103"/>
      <c r="D1137" s="102"/>
      <c r="E1137" s="101" t="s">
        <v>1255</v>
      </c>
      <c r="F1137" s="91" t="str">
        <f t="shared" si="219"/>
        <v/>
      </c>
      <c r="G1137" s="91" t="str">
        <f t="shared" si="224"/>
        <v/>
      </c>
      <c r="H1137" s="91" t="str">
        <f t="shared" si="230"/>
        <v/>
      </c>
      <c r="I1137" s="79">
        <f t="shared" si="231"/>
        <v>221</v>
      </c>
      <c r="J1137" s="74"/>
      <c r="K1137" s="74"/>
      <c r="L1137" s="75"/>
      <c r="M1137" s="74"/>
      <c r="N1137" s="74"/>
      <c r="O1137" s="74"/>
      <c r="P1137" s="74"/>
      <c r="Q1137" s="74"/>
      <c r="R1137" s="74"/>
      <c r="S1137" s="74"/>
      <c r="T1137" s="74"/>
      <c r="U1137" s="74"/>
      <c r="V1137" s="74"/>
      <c r="W1137" s="74"/>
      <c r="X1137" s="74"/>
      <c r="Y1137" s="74"/>
    </row>
    <row r="1138" spans="1:25" ht="50.45">
      <c r="A1138" s="74"/>
      <c r="B1138" s="91" t="str">
        <f t="shared" si="228"/>
        <v/>
      </c>
      <c r="C1138" s="103"/>
      <c r="D1138" s="102"/>
      <c r="E1138" s="101" t="s">
        <v>1256</v>
      </c>
      <c r="F1138" s="91" t="str">
        <f t="shared" si="219"/>
        <v/>
      </c>
      <c r="G1138" s="91" t="str">
        <f t="shared" si="224"/>
        <v/>
      </c>
      <c r="H1138" s="91" t="str">
        <f t="shared" si="230"/>
        <v/>
      </c>
      <c r="I1138" s="79">
        <f t="shared" si="231"/>
        <v>221</v>
      </c>
      <c r="J1138" s="74"/>
      <c r="K1138" s="74"/>
      <c r="L1138" s="75"/>
      <c r="M1138" s="74"/>
      <c r="N1138" s="74"/>
      <c r="O1138" s="74"/>
      <c r="P1138" s="74"/>
      <c r="Q1138" s="74"/>
      <c r="R1138" s="74"/>
      <c r="S1138" s="74"/>
      <c r="T1138" s="74"/>
      <c r="U1138" s="74"/>
      <c r="V1138" s="74"/>
      <c r="W1138" s="74"/>
      <c r="X1138" s="74"/>
      <c r="Y1138" s="74"/>
    </row>
    <row r="1139" spans="1:25" ht="18">
      <c r="A1139" s="74"/>
      <c r="B1139" s="79">
        <f t="shared" si="228"/>
        <v>222</v>
      </c>
      <c r="C1139" s="101" t="s">
        <v>1257</v>
      </c>
      <c r="D1139" s="142" t="s">
        <v>858</v>
      </c>
      <c r="E1139" s="103"/>
      <c r="F1139" s="91" t="str">
        <f t="shared" si="219"/>
        <v>B</v>
      </c>
      <c r="G1139" s="91" t="str">
        <f t="shared" si="224"/>
        <v>Đơn giản</v>
      </c>
      <c r="H1139" s="91">
        <v>1</v>
      </c>
      <c r="I1139" s="79" t="str">
        <f t="shared" si="231"/>
        <v/>
      </c>
      <c r="J1139" s="74"/>
      <c r="K1139" s="74"/>
      <c r="L1139" s="75"/>
      <c r="M1139" s="74"/>
      <c r="N1139" s="74"/>
      <c r="O1139" s="74"/>
      <c r="P1139" s="74"/>
      <c r="Q1139" s="74"/>
      <c r="R1139" s="74"/>
      <c r="S1139" s="74"/>
      <c r="T1139" s="74"/>
      <c r="U1139" s="74"/>
      <c r="V1139" s="74"/>
      <c r="W1139" s="74"/>
      <c r="X1139" s="74"/>
      <c r="Y1139" s="74"/>
    </row>
    <row r="1140" spans="1:25" ht="67.150000000000006">
      <c r="A1140" s="74"/>
      <c r="B1140" s="91" t="str">
        <f t="shared" si="228"/>
        <v/>
      </c>
      <c r="C1140" s="94"/>
      <c r="D1140" s="95"/>
      <c r="E1140" s="101" t="s">
        <v>1258</v>
      </c>
      <c r="F1140" s="91" t="str">
        <f t="shared" si="219"/>
        <v/>
      </c>
      <c r="G1140" s="91" t="str">
        <f t="shared" si="224"/>
        <v/>
      </c>
      <c r="H1140" s="91" t="str">
        <f t="shared" ref="H1140:H1161" si="232">IF(AND(B1140&lt;&gt;"",C1140&lt;&gt;"",D1140&lt;&gt;""),COUNTIF(I1140:I1940,B1140),"")</f>
        <v/>
      </c>
      <c r="I1140" s="79">
        <f t="shared" si="231"/>
        <v>222</v>
      </c>
      <c r="J1140" s="74"/>
      <c r="K1140" s="74"/>
      <c r="L1140" s="75"/>
      <c r="M1140" s="74"/>
      <c r="N1140" s="74"/>
      <c r="O1140" s="74"/>
      <c r="P1140" s="74"/>
      <c r="Q1140" s="74"/>
      <c r="R1140" s="74"/>
      <c r="S1140" s="74"/>
      <c r="T1140" s="74"/>
      <c r="U1140" s="74"/>
      <c r="V1140" s="74"/>
      <c r="W1140" s="74"/>
      <c r="X1140" s="74"/>
      <c r="Y1140" s="74"/>
    </row>
    <row r="1141" spans="1:25" ht="33.6">
      <c r="A1141" s="74"/>
      <c r="B1141" s="91" t="str">
        <f t="shared" si="228"/>
        <v/>
      </c>
      <c r="C1141" s="94"/>
      <c r="D1141" s="95"/>
      <c r="E1141" s="111" t="s">
        <v>1259</v>
      </c>
      <c r="F1141" s="91" t="str">
        <f t="shared" si="219"/>
        <v/>
      </c>
      <c r="G1141" s="91" t="str">
        <f t="shared" si="224"/>
        <v/>
      </c>
      <c r="H1141" s="91" t="str">
        <f t="shared" si="232"/>
        <v/>
      </c>
      <c r="I1141" s="79">
        <f t="shared" si="231"/>
        <v>222</v>
      </c>
      <c r="J1141" s="74"/>
      <c r="K1141" s="74"/>
      <c r="L1141" s="75"/>
      <c r="M1141" s="74"/>
      <c r="N1141" s="74"/>
      <c r="O1141" s="74"/>
      <c r="P1141" s="74"/>
      <c r="Q1141" s="74"/>
      <c r="R1141" s="74"/>
      <c r="S1141" s="74"/>
      <c r="T1141" s="74"/>
      <c r="U1141" s="74"/>
      <c r="V1141" s="74"/>
      <c r="W1141" s="74"/>
      <c r="X1141" s="74"/>
      <c r="Y1141" s="74"/>
    </row>
    <row r="1142" spans="1:25" ht="18">
      <c r="A1142" s="74"/>
      <c r="B1142" s="79">
        <f t="shared" si="228"/>
        <v>223</v>
      </c>
      <c r="C1142" s="101" t="s">
        <v>1260</v>
      </c>
      <c r="D1142" s="142" t="s">
        <v>858</v>
      </c>
      <c r="E1142" s="103"/>
      <c r="F1142" s="91" t="str">
        <f t="shared" si="219"/>
        <v>B</v>
      </c>
      <c r="G1142" s="91" t="str">
        <f t="shared" si="224"/>
        <v>Đơn giản</v>
      </c>
      <c r="H1142" s="91">
        <f t="shared" si="232"/>
        <v>2</v>
      </c>
      <c r="I1142" s="79" t="str">
        <f t="shared" si="231"/>
        <v/>
      </c>
      <c r="J1142" s="74"/>
      <c r="K1142" s="74"/>
      <c r="L1142" s="75"/>
      <c r="M1142" s="74"/>
      <c r="N1142" s="74"/>
      <c r="O1142" s="74"/>
      <c r="P1142" s="74"/>
      <c r="Q1142" s="74"/>
      <c r="R1142" s="74"/>
      <c r="S1142" s="74"/>
      <c r="T1142" s="74"/>
      <c r="U1142" s="74"/>
      <c r="V1142" s="74"/>
      <c r="W1142" s="74"/>
      <c r="X1142" s="74"/>
      <c r="Y1142" s="74"/>
    </row>
    <row r="1143" spans="1:25" ht="33.6">
      <c r="A1143" s="74"/>
      <c r="B1143" s="91" t="str">
        <f t="shared" si="228"/>
        <v/>
      </c>
      <c r="C1143" s="94"/>
      <c r="D1143" s="95"/>
      <c r="E1143" s="101" t="s">
        <v>1261</v>
      </c>
      <c r="F1143" s="91" t="str">
        <f t="shared" si="219"/>
        <v/>
      </c>
      <c r="G1143" s="91" t="str">
        <f t="shared" si="224"/>
        <v/>
      </c>
      <c r="H1143" s="91" t="str">
        <f t="shared" si="232"/>
        <v/>
      </c>
      <c r="I1143" s="79">
        <f t="shared" si="231"/>
        <v>223</v>
      </c>
      <c r="J1143" s="74"/>
      <c r="K1143" s="74"/>
      <c r="L1143" s="75"/>
      <c r="M1143" s="74"/>
      <c r="N1143" s="74"/>
      <c r="O1143" s="74"/>
      <c r="P1143" s="74"/>
      <c r="Q1143" s="74"/>
      <c r="R1143" s="74"/>
      <c r="S1143" s="74"/>
      <c r="T1143" s="74"/>
      <c r="U1143" s="74"/>
      <c r="V1143" s="74"/>
      <c r="W1143" s="74"/>
      <c r="X1143" s="74"/>
      <c r="Y1143" s="74"/>
    </row>
    <row r="1144" spans="1:25" ht="33.6">
      <c r="A1144" s="74"/>
      <c r="B1144" s="91" t="str">
        <f t="shared" si="228"/>
        <v/>
      </c>
      <c r="C1144" s="94"/>
      <c r="D1144" s="95"/>
      <c r="E1144" s="101" t="s">
        <v>1262</v>
      </c>
      <c r="F1144" s="91" t="str">
        <f t="shared" si="219"/>
        <v/>
      </c>
      <c r="G1144" s="91" t="str">
        <f t="shared" si="224"/>
        <v/>
      </c>
      <c r="H1144" s="91" t="str">
        <f t="shared" si="232"/>
        <v/>
      </c>
      <c r="I1144" s="79">
        <f t="shared" si="231"/>
        <v>223</v>
      </c>
      <c r="J1144" s="74"/>
      <c r="K1144" s="74"/>
      <c r="L1144" s="75"/>
      <c r="M1144" s="74"/>
      <c r="N1144" s="74"/>
      <c r="O1144" s="74"/>
      <c r="P1144" s="74"/>
      <c r="Q1144" s="74"/>
      <c r="R1144" s="74"/>
      <c r="S1144" s="74"/>
      <c r="T1144" s="74"/>
      <c r="U1144" s="74"/>
      <c r="V1144" s="74"/>
      <c r="W1144" s="74"/>
      <c r="X1144" s="74"/>
      <c r="Y1144" s="74"/>
    </row>
    <row r="1145" spans="1:25" ht="18">
      <c r="A1145" s="74"/>
      <c r="B1145" s="79">
        <f t="shared" si="228"/>
        <v>224</v>
      </c>
      <c r="C1145" s="101" t="s">
        <v>1263</v>
      </c>
      <c r="D1145" s="142" t="s">
        <v>858</v>
      </c>
      <c r="E1145" s="103"/>
      <c r="F1145" s="91" t="str">
        <f t="shared" si="219"/>
        <v>B</v>
      </c>
      <c r="G1145" s="91" t="str">
        <f t="shared" si="224"/>
        <v>Đơn giản</v>
      </c>
      <c r="H1145" s="91">
        <f t="shared" si="232"/>
        <v>2</v>
      </c>
      <c r="I1145" s="79" t="str">
        <f t="shared" si="231"/>
        <v/>
      </c>
      <c r="J1145" s="74"/>
      <c r="K1145" s="74"/>
      <c r="L1145" s="75"/>
      <c r="M1145" s="74"/>
      <c r="N1145" s="74"/>
      <c r="O1145" s="74"/>
      <c r="P1145" s="74"/>
      <c r="Q1145" s="74"/>
      <c r="R1145" s="74"/>
      <c r="S1145" s="74"/>
      <c r="T1145" s="74"/>
      <c r="U1145" s="74"/>
      <c r="V1145" s="74"/>
      <c r="W1145" s="74"/>
      <c r="X1145" s="74"/>
      <c r="Y1145" s="74"/>
    </row>
    <row r="1146" spans="1:25" ht="50.45">
      <c r="A1146" s="74"/>
      <c r="B1146" s="91" t="str">
        <f t="shared" si="228"/>
        <v/>
      </c>
      <c r="C1146" s="94"/>
      <c r="D1146" s="95"/>
      <c r="E1146" s="101" t="s">
        <v>1264</v>
      </c>
      <c r="F1146" s="91" t="str">
        <f t="shared" si="219"/>
        <v/>
      </c>
      <c r="G1146" s="91" t="str">
        <f t="shared" si="224"/>
        <v/>
      </c>
      <c r="H1146" s="91" t="str">
        <f t="shared" si="232"/>
        <v/>
      </c>
      <c r="I1146" s="79">
        <f t="shared" si="231"/>
        <v>224</v>
      </c>
      <c r="J1146" s="74"/>
      <c r="K1146" s="74"/>
      <c r="L1146" s="75"/>
      <c r="M1146" s="74"/>
      <c r="N1146" s="74"/>
      <c r="O1146" s="74"/>
      <c r="P1146" s="74"/>
      <c r="Q1146" s="74"/>
      <c r="R1146" s="74"/>
      <c r="S1146" s="74"/>
      <c r="T1146" s="74"/>
      <c r="U1146" s="74"/>
      <c r="V1146" s="74"/>
      <c r="W1146" s="74"/>
      <c r="X1146" s="74"/>
      <c r="Y1146" s="74"/>
    </row>
    <row r="1147" spans="1:25" ht="33.6">
      <c r="A1147" s="74"/>
      <c r="B1147" s="91" t="str">
        <f t="shared" si="228"/>
        <v/>
      </c>
      <c r="C1147" s="143"/>
      <c r="D1147" s="95"/>
      <c r="E1147" s="101" t="s">
        <v>1265</v>
      </c>
      <c r="F1147" s="91" t="str">
        <f t="shared" si="219"/>
        <v/>
      </c>
      <c r="G1147" s="91" t="str">
        <f t="shared" si="224"/>
        <v/>
      </c>
      <c r="H1147" s="91" t="str">
        <f t="shared" si="232"/>
        <v/>
      </c>
      <c r="I1147" s="79">
        <f t="shared" si="231"/>
        <v>224</v>
      </c>
      <c r="J1147" s="74"/>
      <c r="K1147" s="74"/>
      <c r="L1147" s="75"/>
      <c r="M1147" s="74"/>
      <c r="N1147" s="74"/>
      <c r="O1147" s="74"/>
      <c r="P1147" s="74"/>
      <c r="Q1147" s="74"/>
      <c r="R1147" s="74"/>
      <c r="S1147" s="74"/>
      <c r="T1147" s="74"/>
      <c r="U1147" s="74"/>
      <c r="V1147" s="74"/>
      <c r="W1147" s="74"/>
      <c r="X1147" s="74"/>
      <c r="Y1147" s="74"/>
    </row>
    <row r="1148" spans="1:25" ht="33.6">
      <c r="A1148" s="74"/>
      <c r="B1148" s="79">
        <f t="shared" si="228"/>
        <v>225</v>
      </c>
      <c r="C1148" s="101" t="s">
        <v>1266</v>
      </c>
      <c r="D1148" s="142" t="s">
        <v>858</v>
      </c>
      <c r="E1148" s="103"/>
      <c r="F1148" s="91" t="str">
        <f t="shared" si="219"/>
        <v>B</v>
      </c>
      <c r="G1148" s="91" t="str">
        <f t="shared" si="224"/>
        <v>Đơn giản</v>
      </c>
      <c r="H1148" s="91">
        <f t="shared" si="232"/>
        <v>1</v>
      </c>
      <c r="I1148" s="79" t="str">
        <f t="shared" si="231"/>
        <v/>
      </c>
      <c r="J1148" s="74"/>
      <c r="K1148" s="74"/>
      <c r="L1148" s="75"/>
      <c r="M1148" s="74"/>
      <c r="N1148" s="74"/>
      <c r="O1148" s="74"/>
      <c r="P1148" s="74"/>
      <c r="Q1148" s="74"/>
      <c r="R1148" s="74"/>
      <c r="S1148" s="74"/>
      <c r="T1148" s="74"/>
      <c r="U1148" s="74"/>
      <c r="V1148" s="74"/>
      <c r="W1148" s="74"/>
      <c r="X1148" s="74"/>
      <c r="Y1148" s="74"/>
    </row>
    <row r="1149" spans="1:25" ht="50.45">
      <c r="A1149" s="74"/>
      <c r="B1149" s="91" t="str">
        <f t="shared" si="228"/>
        <v/>
      </c>
      <c r="C1149" s="94"/>
      <c r="D1149" s="95"/>
      <c r="E1149" s="101" t="s">
        <v>1267</v>
      </c>
      <c r="F1149" s="91" t="str">
        <f t="shared" si="219"/>
        <v/>
      </c>
      <c r="G1149" s="91" t="str">
        <f t="shared" si="224"/>
        <v/>
      </c>
      <c r="H1149" s="91" t="str">
        <f t="shared" si="232"/>
        <v/>
      </c>
      <c r="I1149" s="79">
        <f t="shared" si="231"/>
        <v>225</v>
      </c>
      <c r="J1149" s="74"/>
      <c r="K1149" s="74"/>
      <c r="L1149" s="75"/>
      <c r="M1149" s="74"/>
      <c r="N1149" s="74"/>
      <c r="O1149" s="74"/>
      <c r="P1149" s="74"/>
      <c r="Q1149" s="74"/>
      <c r="R1149" s="74"/>
      <c r="S1149" s="74"/>
      <c r="T1149" s="74"/>
      <c r="U1149" s="74"/>
      <c r="V1149" s="74"/>
      <c r="W1149" s="74"/>
      <c r="X1149" s="74"/>
      <c r="Y1149" s="74"/>
    </row>
    <row r="1150" spans="1:25" ht="33.6">
      <c r="A1150" s="74"/>
      <c r="B1150" s="79">
        <f t="shared" si="228"/>
        <v>226</v>
      </c>
      <c r="C1150" s="101" t="s">
        <v>1268</v>
      </c>
      <c r="D1150" s="142" t="s">
        <v>858</v>
      </c>
      <c r="E1150" s="103"/>
      <c r="F1150" s="91" t="str">
        <f t="shared" si="219"/>
        <v>B</v>
      </c>
      <c r="G1150" s="91" t="str">
        <f t="shared" si="224"/>
        <v>Đơn giản</v>
      </c>
      <c r="H1150" s="91">
        <f t="shared" si="232"/>
        <v>1</v>
      </c>
      <c r="I1150" s="79" t="str">
        <f t="shared" si="231"/>
        <v/>
      </c>
      <c r="J1150" s="74"/>
      <c r="K1150" s="74"/>
      <c r="L1150" s="75"/>
      <c r="M1150" s="74"/>
      <c r="N1150" s="74"/>
      <c r="O1150" s="74"/>
      <c r="P1150" s="74"/>
      <c r="Q1150" s="74"/>
      <c r="R1150" s="74"/>
      <c r="S1150" s="74"/>
      <c r="T1150" s="74"/>
      <c r="U1150" s="74"/>
      <c r="V1150" s="74"/>
      <c r="W1150" s="74"/>
      <c r="X1150" s="74"/>
      <c r="Y1150" s="74"/>
    </row>
    <row r="1151" spans="1:25" ht="50.45">
      <c r="A1151" s="74"/>
      <c r="B1151" s="91" t="str">
        <f t="shared" si="228"/>
        <v/>
      </c>
      <c r="C1151" s="143"/>
      <c r="D1151" s="95"/>
      <c r="E1151" s="101" t="s">
        <v>1269</v>
      </c>
      <c r="F1151" s="91" t="str">
        <f t="shared" si="219"/>
        <v/>
      </c>
      <c r="G1151" s="91" t="str">
        <f t="shared" si="224"/>
        <v/>
      </c>
      <c r="H1151" s="91" t="str">
        <f t="shared" si="232"/>
        <v/>
      </c>
      <c r="I1151" s="79">
        <f t="shared" si="231"/>
        <v>226</v>
      </c>
      <c r="J1151" s="74"/>
      <c r="K1151" s="74"/>
      <c r="L1151" s="75"/>
      <c r="M1151" s="74"/>
      <c r="N1151" s="74"/>
      <c r="O1151" s="74"/>
      <c r="P1151" s="74"/>
      <c r="Q1151" s="74"/>
      <c r="R1151" s="74"/>
      <c r="S1151" s="74"/>
      <c r="T1151" s="74"/>
      <c r="U1151" s="74"/>
      <c r="V1151" s="74"/>
      <c r="W1151" s="74"/>
      <c r="X1151" s="74"/>
      <c r="Y1151" s="74"/>
    </row>
    <row r="1152" spans="1:25" ht="18">
      <c r="A1152" s="74"/>
      <c r="B1152" s="79">
        <f t="shared" si="228"/>
        <v>227</v>
      </c>
      <c r="C1152" s="144" t="s">
        <v>1270</v>
      </c>
      <c r="D1152" s="142" t="s">
        <v>858</v>
      </c>
      <c r="E1152" s="103"/>
      <c r="F1152" s="91" t="str">
        <f t="shared" si="219"/>
        <v>B</v>
      </c>
      <c r="G1152" s="91" t="str">
        <f t="shared" si="224"/>
        <v>Đơn giản</v>
      </c>
      <c r="H1152" s="91">
        <f t="shared" si="232"/>
        <v>1</v>
      </c>
      <c r="I1152" s="79" t="str">
        <f t="shared" si="231"/>
        <v/>
      </c>
      <c r="J1152" s="74"/>
      <c r="K1152" s="74"/>
      <c r="L1152" s="75"/>
      <c r="M1152" s="74"/>
      <c r="N1152" s="74"/>
      <c r="O1152" s="74"/>
      <c r="P1152" s="74"/>
      <c r="Q1152" s="74"/>
      <c r="R1152" s="74"/>
      <c r="S1152" s="74"/>
      <c r="T1152" s="74"/>
      <c r="U1152" s="74"/>
      <c r="V1152" s="74"/>
      <c r="W1152" s="74"/>
      <c r="X1152" s="74"/>
      <c r="Y1152" s="74"/>
    </row>
    <row r="1153" spans="1:25" ht="50.45">
      <c r="A1153" s="74"/>
      <c r="B1153" s="91" t="str">
        <f t="shared" si="228"/>
        <v/>
      </c>
      <c r="C1153" s="143"/>
      <c r="D1153" s="95"/>
      <c r="E1153" s="101" t="s">
        <v>1271</v>
      </c>
      <c r="F1153" s="91" t="str">
        <f t="shared" si="219"/>
        <v/>
      </c>
      <c r="G1153" s="91" t="str">
        <f t="shared" si="224"/>
        <v/>
      </c>
      <c r="H1153" s="91" t="str">
        <f t="shared" si="232"/>
        <v/>
      </c>
      <c r="I1153" s="79">
        <f t="shared" si="231"/>
        <v>227</v>
      </c>
      <c r="J1153" s="74"/>
      <c r="K1153" s="74"/>
      <c r="L1153" s="75"/>
      <c r="M1153" s="74"/>
      <c r="N1153" s="74"/>
      <c r="O1153" s="74"/>
      <c r="P1153" s="74"/>
      <c r="Q1153" s="74"/>
      <c r="R1153" s="74"/>
      <c r="S1153" s="74"/>
      <c r="T1153" s="74"/>
      <c r="U1153" s="74"/>
      <c r="V1153" s="74"/>
      <c r="W1153" s="74"/>
      <c r="X1153" s="74"/>
      <c r="Y1153" s="74"/>
    </row>
    <row r="1154" spans="1:25" ht="18">
      <c r="A1154" s="74"/>
      <c r="B1154" s="79">
        <f t="shared" si="228"/>
        <v>228</v>
      </c>
      <c r="C1154" s="144" t="s">
        <v>1272</v>
      </c>
      <c r="D1154" s="142" t="s">
        <v>858</v>
      </c>
      <c r="E1154" s="103"/>
      <c r="F1154" s="91" t="str">
        <f t="shared" si="219"/>
        <v>B</v>
      </c>
      <c r="G1154" s="91" t="str">
        <f t="shared" si="224"/>
        <v>Đơn giản</v>
      </c>
      <c r="H1154" s="91">
        <f t="shared" si="232"/>
        <v>1</v>
      </c>
      <c r="I1154" s="79" t="str">
        <f t="shared" si="231"/>
        <v/>
      </c>
      <c r="J1154" s="74"/>
      <c r="K1154" s="74"/>
      <c r="L1154" s="75"/>
      <c r="M1154" s="74"/>
      <c r="N1154" s="74"/>
      <c r="O1154" s="74"/>
      <c r="P1154" s="74"/>
      <c r="Q1154" s="74"/>
      <c r="R1154" s="74"/>
      <c r="S1154" s="74"/>
      <c r="T1154" s="74"/>
      <c r="U1154" s="74"/>
      <c r="V1154" s="74"/>
      <c r="W1154" s="74"/>
      <c r="X1154" s="74"/>
      <c r="Y1154" s="74"/>
    </row>
    <row r="1155" spans="1:25" ht="50.45">
      <c r="A1155" s="74"/>
      <c r="B1155" s="91" t="str">
        <f t="shared" si="228"/>
        <v/>
      </c>
      <c r="C1155" s="143"/>
      <c r="D1155" s="95"/>
      <c r="E1155" s="101" t="s">
        <v>1264</v>
      </c>
      <c r="F1155" s="91" t="str">
        <f t="shared" si="219"/>
        <v/>
      </c>
      <c r="G1155" s="91" t="str">
        <f t="shared" si="224"/>
        <v/>
      </c>
      <c r="H1155" s="91" t="str">
        <f t="shared" si="232"/>
        <v/>
      </c>
      <c r="I1155" s="79">
        <f t="shared" si="231"/>
        <v>228</v>
      </c>
      <c r="J1155" s="74"/>
      <c r="K1155" s="74"/>
      <c r="L1155" s="75"/>
      <c r="M1155" s="74"/>
      <c r="N1155" s="74"/>
      <c r="O1155" s="74"/>
      <c r="P1155" s="74"/>
      <c r="Q1155" s="74"/>
      <c r="R1155" s="74"/>
      <c r="S1155" s="74"/>
      <c r="T1155" s="74"/>
      <c r="U1155" s="74"/>
      <c r="V1155" s="74"/>
      <c r="W1155" s="74"/>
      <c r="X1155" s="74"/>
      <c r="Y1155" s="74"/>
    </row>
    <row r="1156" spans="1:25" ht="18">
      <c r="A1156" s="74"/>
      <c r="B1156" s="79">
        <f t="shared" si="228"/>
        <v>229</v>
      </c>
      <c r="C1156" s="144" t="s">
        <v>1273</v>
      </c>
      <c r="D1156" s="142" t="s">
        <v>858</v>
      </c>
      <c r="E1156" s="103"/>
      <c r="F1156" s="91" t="str">
        <f t="shared" si="219"/>
        <v>B</v>
      </c>
      <c r="G1156" s="91" t="str">
        <f t="shared" si="224"/>
        <v>Đơn giản</v>
      </c>
      <c r="H1156" s="91">
        <f t="shared" si="232"/>
        <v>2</v>
      </c>
      <c r="I1156" s="79" t="str">
        <f t="shared" si="231"/>
        <v/>
      </c>
      <c r="J1156" s="74"/>
      <c r="K1156" s="74"/>
      <c r="L1156" s="75"/>
      <c r="M1156" s="74"/>
      <c r="N1156" s="74"/>
      <c r="O1156" s="74"/>
      <c r="P1156" s="74"/>
      <c r="Q1156" s="74"/>
      <c r="R1156" s="74"/>
      <c r="S1156" s="74"/>
      <c r="T1156" s="74"/>
      <c r="U1156" s="74"/>
      <c r="V1156" s="74"/>
      <c r="W1156" s="74"/>
      <c r="X1156" s="74"/>
      <c r="Y1156" s="74"/>
    </row>
    <row r="1157" spans="1:25" ht="33.6">
      <c r="A1157" s="74"/>
      <c r="B1157" s="91" t="str">
        <f t="shared" si="228"/>
        <v/>
      </c>
      <c r="C1157" s="143"/>
      <c r="D1157" s="95"/>
      <c r="E1157" s="101" t="s">
        <v>1274</v>
      </c>
      <c r="F1157" s="91" t="str">
        <f t="shared" si="219"/>
        <v/>
      </c>
      <c r="G1157" s="91" t="str">
        <f t="shared" si="224"/>
        <v/>
      </c>
      <c r="H1157" s="91" t="str">
        <f t="shared" si="232"/>
        <v/>
      </c>
      <c r="I1157" s="79">
        <f t="shared" si="231"/>
        <v>229</v>
      </c>
      <c r="J1157" s="74"/>
      <c r="K1157" s="74"/>
      <c r="L1157" s="75"/>
      <c r="M1157" s="74"/>
      <c r="N1157" s="74"/>
      <c r="O1157" s="74"/>
      <c r="P1157" s="74"/>
      <c r="Q1157" s="74"/>
      <c r="R1157" s="74"/>
      <c r="S1157" s="74"/>
      <c r="T1157" s="74"/>
      <c r="U1157" s="74"/>
      <c r="V1157" s="74"/>
      <c r="W1157" s="74"/>
      <c r="X1157" s="74"/>
      <c r="Y1157" s="74"/>
    </row>
    <row r="1158" spans="1:25" ht="33.6">
      <c r="A1158" s="74"/>
      <c r="B1158" s="91" t="str">
        <f t="shared" si="228"/>
        <v/>
      </c>
      <c r="C1158" s="143"/>
      <c r="D1158" s="95"/>
      <c r="E1158" s="101" t="s">
        <v>1275</v>
      </c>
      <c r="F1158" s="91" t="str">
        <f t="shared" si="219"/>
        <v/>
      </c>
      <c r="G1158" s="91" t="str">
        <f t="shared" si="224"/>
        <v/>
      </c>
      <c r="H1158" s="91" t="str">
        <f t="shared" si="232"/>
        <v/>
      </c>
      <c r="I1158" s="79">
        <f t="shared" si="231"/>
        <v>229</v>
      </c>
      <c r="J1158" s="74"/>
      <c r="K1158" s="74"/>
      <c r="L1158" s="75"/>
      <c r="M1158" s="74"/>
      <c r="N1158" s="74"/>
      <c r="O1158" s="74"/>
      <c r="P1158" s="74"/>
      <c r="Q1158" s="74"/>
      <c r="R1158" s="74"/>
      <c r="S1158" s="74"/>
      <c r="T1158" s="74"/>
      <c r="U1158" s="74"/>
      <c r="V1158" s="74"/>
      <c r="W1158" s="74"/>
      <c r="X1158" s="74"/>
      <c r="Y1158" s="74"/>
    </row>
    <row r="1159" spans="1:25" ht="18">
      <c r="A1159" s="74"/>
      <c r="B1159" s="79">
        <f t="shared" si="228"/>
        <v>230</v>
      </c>
      <c r="C1159" s="144" t="s">
        <v>1276</v>
      </c>
      <c r="D1159" s="142" t="s">
        <v>858</v>
      </c>
      <c r="E1159" s="103"/>
      <c r="F1159" s="91" t="str">
        <f t="shared" si="219"/>
        <v>B</v>
      </c>
      <c r="G1159" s="91" t="str">
        <f t="shared" si="224"/>
        <v>Đơn giản</v>
      </c>
      <c r="H1159" s="91">
        <f t="shared" si="232"/>
        <v>2</v>
      </c>
      <c r="I1159" s="79" t="str">
        <f t="shared" si="231"/>
        <v/>
      </c>
      <c r="J1159" s="74"/>
      <c r="K1159" s="74"/>
      <c r="L1159" s="75"/>
      <c r="M1159" s="74"/>
      <c r="N1159" s="74"/>
      <c r="O1159" s="74"/>
      <c r="P1159" s="74"/>
      <c r="Q1159" s="74"/>
      <c r="R1159" s="74"/>
      <c r="S1159" s="74"/>
      <c r="T1159" s="74"/>
      <c r="U1159" s="74"/>
      <c r="V1159" s="74"/>
      <c r="W1159" s="74"/>
      <c r="X1159" s="74"/>
      <c r="Y1159" s="74"/>
    </row>
    <row r="1160" spans="1:25" ht="33.6">
      <c r="A1160" s="74"/>
      <c r="B1160" s="91" t="str">
        <f t="shared" si="228"/>
        <v/>
      </c>
      <c r="C1160" s="143"/>
      <c r="D1160" s="95"/>
      <c r="E1160" s="101" t="s">
        <v>1277</v>
      </c>
      <c r="F1160" s="91" t="str">
        <f t="shared" si="219"/>
        <v/>
      </c>
      <c r="G1160" s="91" t="str">
        <f t="shared" si="224"/>
        <v/>
      </c>
      <c r="H1160" s="91" t="str">
        <f t="shared" si="232"/>
        <v/>
      </c>
      <c r="I1160" s="79">
        <f t="shared" si="231"/>
        <v>230</v>
      </c>
      <c r="J1160" s="74"/>
      <c r="K1160" s="74"/>
      <c r="L1160" s="75"/>
      <c r="M1160" s="74"/>
      <c r="N1160" s="74"/>
      <c r="O1160" s="74"/>
      <c r="P1160" s="74"/>
      <c r="Q1160" s="74"/>
      <c r="R1160" s="74"/>
      <c r="S1160" s="74"/>
      <c r="T1160" s="74"/>
      <c r="U1160" s="74"/>
      <c r="V1160" s="74"/>
      <c r="W1160" s="74"/>
      <c r="X1160" s="74"/>
      <c r="Y1160" s="74"/>
    </row>
    <row r="1161" spans="1:25" ht="33.6">
      <c r="A1161" s="74"/>
      <c r="B1161" s="91" t="str">
        <f t="shared" si="228"/>
        <v/>
      </c>
      <c r="C1161" s="143"/>
      <c r="D1161" s="95"/>
      <c r="E1161" s="101" t="s">
        <v>1278</v>
      </c>
      <c r="F1161" s="91" t="str">
        <f t="shared" si="219"/>
        <v/>
      </c>
      <c r="G1161" s="91" t="str">
        <f t="shared" si="224"/>
        <v/>
      </c>
      <c r="H1161" s="91" t="str">
        <f t="shared" si="232"/>
        <v/>
      </c>
      <c r="I1161" s="79">
        <f t="shared" si="231"/>
        <v>230</v>
      </c>
      <c r="J1161" s="74"/>
      <c r="K1161" s="74"/>
      <c r="L1161" s="75"/>
      <c r="M1161" s="74"/>
      <c r="N1161" s="74"/>
      <c r="O1161" s="74"/>
      <c r="P1161" s="74"/>
      <c r="Q1161" s="74"/>
      <c r="R1161" s="74"/>
      <c r="S1161" s="74"/>
      <c r="T1161" s="74"/>
      <c r="U1161" s="74"/>
      <c r="V1161" s="74"/>
      <c r="W1161" s="74"/>
      <c r="X1161" s="74"/>
      <c r="Y1161" s="74"/>
    </row>
    <row r="1162" spans="1:25" ht="18">
      <c r="A1162" s="74"/>
      <c r="B1162" s="79">
        <f t="shared" si="228"/>
        <v>231</v>
      </c>
      <c r="C1162" s="144" t="s">
        <v>1279</v>
      </c>
      <c r="D1162" s="142" t="s">
        <v>858</v>
      </c>
      <c r="E1162" s="103"/>
      <c r="F1162" s="91" t="str">
        <f t="shared" si="219"/>
        <v>B</v>
      </c>
      <c r="G1162" s="91" t="str">
        <f t="shared" si="224"/>
        <v>Đơn giản</v>
      </c>
      <c r="H1162" s="91">
        <f t="shared" ref="H1162:H1170" si="233">IF(AND(B1162&lt;&gt;"",C1162&lt;&gt;"",D1162&lt;&gt;""),COUNTIF(I1162:I1965,B1162),"")</f>
        <v>2</v>
      </c>
      <c r="I1162" s="79" t="str">
        <f>IF(OR(E1162="",B1162&lt;&gt;""),"",IF(#REF!&lt;&gt;"",#REF!,#REF!))</f>
        <v/>
      </c>
      <c r="J1162" s="74"/>
      <c r="K1162" s="74"/>
      <c r="L1162" s="75"/>
      <c r="M1162" s="74"/>
      <c r="N1162" s="74"/>
      <c r="O1162" s="74"/>
      <c r="P1162" s="74"/>
      <c r="Q1162" s="74"/>
      <c r="R1162" s="74"/>
      <c r="S1162" s="74"/>
      <c r="T1162" s="74"/>
      <c r="U1162" s="74"/>
      <c r="V1162" s="74"/>
      <c r="W1162" s="74"/>
      <c r="X1162" s="74"/>
      <c r="Y1162" s="74"/>
    </row>
    <row r="1163" spans="1:25" ht="33.6">
      <c r="A1163" s="74"/>
      <c r="B1163" s="91" t="str">
        <f t="shared" si="228"/>
        <v/>
      </c>
      <c r="C1163" s="143"/>
      <c r="D1163" s="95"/>
      <c r="E1163" s="101" t="s">
        <v>1277</v>
      </c>
      <c r="F1163" s="91" t="str">
        <f t="shared" si="219"/>
        <v/>
      </c>
      <c r="G1163" s="91" t="str">
        <f t="shared" si="224"/>
        <v/>
      </c>
      <c r="H1163" s="91" t="str">
        <f t="shared" si="233"/>
        <v/>
      </c>
      <c r="I1163" s="79">
        <f t="shared" ref="I1163:I1173" si="234">IF(OR(E1163="",B1163&lt;&gt;""),"",IF(I1162&lt;&gt;"",I1162,B1162))</f>
        <v>231</v>
      </c>
      <c r="J1163" s="74"/>
      <c r="K1163" s="74"/>
      <c r="L1163" s="75"/>
      <c r="M1163" s="74"/>
      <c r="N1163" s="74"/>
      <c r="O1163" s="74"/>
      <c r="P1163" s="74"/>
      <c r="Q1163" s="74"/>
      <c r="R1163" s="74"/>
      <c r="S1163" s="74"/>
      <c r="T1163" s="74"/>
      <c r="U1163" s="74"/>
      <c r="V1163" s="74"/>
      <c r="W1163" s="74"/>
      <c r="X1163" s="74"/>
      <c r="Y1163" s="74"/>
    </row>
    <row r="1164" spans="1:25" ht="33.6">
      <c r="A1164" s="74"/>
      <c r="B1164" s="91" t="str">
        <f t="shared" si="228"/>
        <v/>
      </c>
      <c r="C1164" s="143"/>
      <c r="D1164" s="95"/>
      <c r="E1164" s="101" t="s">
        <v>1280</v>
      </c>
      <c r="F1164" s="91" t="str">
        <f t="shared" si="219"/>
        <v/>
      </c>
      <c r="G1164" s="91" t="str">
        <f t="shared" si="224"/>
        <v/>
      </c>
      <c r="H1164" s="91" t="str">
        <f t="shared" si="233"/>
        <v/>
      </c>
      <c r="I1164" s="79">
        <f t="shared" si="234"/>
        <v>231</v>
      </c>
      <c r="J1164" s="74"/>
      <c r="K1164" s="74"/>
      <c r="L1164" s="75"/>
      <c r="M1164" s="74"/>
      <c r="N1164" s="74"/>
      <c r="O1164" s="74"/>
      <c r="P1164" s="74"/>
      <c r="Q1164" s="74"/>
      <c r="R1164" s="74"/>
      <c r="S1164" s="74"/>
      <c r="T1164" s="74"/>
      <c r="U1164" s="74"/>
      <c r="V1164" s="74"/>
      <c r="W1164" s="74"/>
      <c r="X1164" s="74"/>
      <c r="Y1164" s="74"/>
    </row>
    <row r="1165" spans="1:25" ht="33.6">
      <c r="A1165" s="74"/>
      <c r="B1165" s="79">
        <f t="shared" si="228"/>
        <v>232</v>
      </c>
      <c r="C1165" s="144" t="s">
        <v>1281</v>
      </c>
      <c r="D1165" s="142" t="s">
        <v>858</v>
      </c>
      <c r="E1165" s="103"/>
      <c r="F1165" s="91" t="str">
        <f t="shared" si="219"/>
        <v>B</v>
      </c>
      <c r="G1165" s="91" t="str">
        <f t="shared" si="224"/>
        <v>Đơn giản</v>
      </c>
      <c r="H1165" s="91">
        <f t="shared" si="233"/>
        <v>2</v>
      </c>
      <c r="I1165" s="79" t="str">
        <f t="shared" si="234"/>
        <v/>
      </c>
      <c r="J1165" s="74"/>
      <c r="K1165" s="74"/>
      <c r="L1165" s="75"/>
      <c r="M1165" s="74"/>
      <c r="N1165" s="74"/>
      <c r="O1165" s="74"/>
      <c r="P1165" s="74"/>
      <c r="Q1165" s="74"/>
      <c r="R1165" s="74"/>
      <c r="S1165" s="74"/>
      <c r="T1165" s="74"/>
      <c r="U1165" s="74"/>
      <c r="V1165" s="74"/>
      <c r="W1165" s="74"/>
      <c r="X1165" s="74"/>
      <c r="Y1165" s="74"/>
    </row>
    <row r="1166" spans="1:25" ht="33.6">
      <c r="A1166" s="74"/>
      <c r="B1166" s="91" t="str">
        <f t="shared" si="228"/>
        <v/>
      </c>
      <c r="C1166" s="143"/>
      <c r="D1166" s="95"/>
      <c r="E1166" s="101" t="s">
        <v>1282</v>
      </c>
      <c r="F1166" s="91" t="str">
        <f t="shared" si="219"/>
        <v/>
      </c>
      <c r="G1166" s="91" t="str">
        <f t="shared" si="224"/>
        <v/>
      </c>
      <c r="H1166" s="91" t="str">
        <f t="shared" si="233"/>
        <v/>
      </c>
      <c r="I1166" s="79">
        <f t="shared" si="234"/>
        <v>232</v>
      </c>
      <c r="J1166" s="74"/>
      <c r="K1166" s="74"/>
      <c r="L1166" s="75"/>
      <c r="M1166" s="74"/>
      <c r="N1166" s="74"/>
      <c r="O1166" s="74"/>
      <c r="P1166" s="74"/>
      <c r="Q1166" s="74"/>
      <c r="R1166" s="74"/>
      <c r="S1166" s="74"/>
      <c r="T1166" s="74"/>
      <c r="U1166" s="74"/>
      <c r="V1166" s="74"/>
      <c r="W1166" s="74"/>
      <c r="X1166" s="74"/>
      <c r="Y1166" s="74"/>
    </row>
    <row r="1167" spans="1:25" ht="50.45">
      <c r="A1167" s="74"/>
      <c r="B1167" s="91" t="str">
        <f t="shared" si="228"/>
        <v/>
      </c>
      <c r="C1167" s="143"/>
      <c r="D1167" s="95"/>
      <c r="E1167" s="101" t="s">
        <v>1283</v>
      </c>
      <c r="F1167" s="91" t="str">
        <f t="shared" si="219"/>
        <v/>
      </c>
      <c r="G1167" s="91" t="str">
        <f t="shared" si="224"/>
        <v/>
      </c>
      <c r="H1167" s="91" t="str">
        <f t="shared" si="233"/>
        <v/>
      </c>
      <c r="I1167" s="79">
        <f t="shared" si="234"/>
        <v>232</v>
      </c>
      <c r="J1167" s="74"/>
      <c r="K1167" s="74"/>
      <c r="L1167" s="75"/>
      <c r="M1167" s="74"/>
      <c r="N1167" s="74"/>
      <c r="O1167" s="74"/>
      <c r="P1167" s="74"/>
      <c r="Q1167" s="74"/>
      <c r="R1167" s="74"/>
      <c r="S1167" s="74"/>
      <c r="T1167" s="74"/>
      <c r="U1167" s="74"/>
      <c r="V1167" s="74"/>
      <c r="W1167" s="74"/>
      <c r="X1167" s="74"/>
      <c r="Y1167" s="74"/>
    </row>
    <row r="1168" spans="1:25" ht="18">
      <c r="A1168" s="74"/>
      <c r="B1168" s="79">
        <f t="shared" si="228"/>
        <v>233</v>
      </c>
      <c r="C1168" s="120" t="s">
        <v>1284</v>
      </c>
      <c r="D1168" s="142" t="s">
        <v>858</v>
      </c>
      <c r="E1168" s="103"/>
      <c r="F1168" s="91" t="str">
        <f t="shared" si="219"/>
        <v>B</v>
      </c>
      <c r="G1168" s="91" t="str">
        <f t="shared" si="224"/>
        <v>Đơn giản</v>
      </c>
      <c r="H1168" s="91">
        <f t="shared" si="233"/>
        <v>2</v>
      </c>
      <c r="I1168" s="79" t="str">
        <f t="shared" si="234"/>
        <v/>
      </c>
      <c r="J1168" s="74"/>
      <c r="K1168" s="74"/>
      <c r="L1168" s="75"/>
      <c r="M1168" s="74"/>
      <c r="N1168" s="74"/>
      <c r="O1168" s="74"/>
      <c r="P1168" s="74"/>
      <c r="Q1168" s="74"/>
      <c r="R1168" s="74"/>
      <c r="S1168" s="74"/>
      <c r="T1168" s="74"/>
      <c r="U1168" s="74"/>
      <c r="V1168" s="74"/>
      <c r="W1168" s="74"/>
      <c r="X1168" s="74"/>
      <c r="Y1168" s="74"/>
    </row>
    <row r="1169" spans="1:25" ht="67.150000000000006">
      <c r="A1169" s="74"/>
      <c r="B1169" s="91" t="str">
        <f t="shared" si="228"/>
        <v/>
      </c>
      <c r="C1169" s="94"/>
      <c r="D1169" s="95"/>
      <c r="E1169" s="101" t="s">
        <v>1285</v>
      </c>
      <c r="F1169" s="91" t="str">
        <f t="shared" si="219"/>
        <v/>
      </c>
      <c r="G1169" s="91" t="str">
        <f t="shared" si="224"/>
        <v/>
      </c>
      <c r="H1169" s="91" t="str">
        <f t="shared" si="233"/>
        <v/>
      </c>
      <c r="I1169" s="79">
        <f t="shared" si="234"/>
        <v>233</v>
      </c>
      <c r="J1169" s="74"/>
      <c r="K1169" s="74"/>
      <c r="L1169" s="75"/>
      <c r="M1169" s="74"/>
      <c r="N1169" s="74"/>
      <c r="O1169" s="74"/>
      <c r="P1169" s="74"/>
      <c r="Q1169" s="74"/>
      <c r="R1169" s="74"/>
      <c r="S1169" s="74"/>
      <c r="T1169" s="74"/>
      <c r="U1169" s="74"/>
      <c r="V1169" s="74"/>
      <c r="W1169" s="74"/>
      <c r="X1169" s="74"/>
      <c r="Y1169" s="74"/>
    </row>
    <row r="1170" spans="1:25" ht="67.150000000000006">
      <c r="A1170" s="74"/>
      <c r="B1170" s="91" t="str">
        <f t="shared" si="228"/>
        <v/>
      </c>
      <c r="C1170" s="94"/>
      <c r="D1170" s="95"/>
      <c r="E1170" s="111" t="s">
        <v>1286</v>
      </c>
      <c r="F1170" s="91" t="str">
        <f t="shared" si="219"/>
        <v/>
      </c>
      <c r="G1170" s="91" t="str">
        <f t="shared" si="224"/>
        <v/>
      </c>
      <c r="H1170" s="91" t="str">
        <f t="shared" si="233"/>
        <v/>
      </c>
      <c r="I1170" s="79">
        <f t="shared" si="234"/>
        <v>233</v>
      </c>
      <c r="J1170" s="74"/>
      <c r="K1170" s="74"/>
      <c r="L1170" s="75"/>
      <c r="M1170" s="74"/>
      <c r="N1170" s="74"/>
      <c r="O1170" s="74"/>
      <c r="P1170" s="74"/>
      <c r="Q1170" s="74"/>
      <c r="R1170" s="74"/>
      <c r="S1170" s="74"/>
      <c r="T1170" s="74"/>
      <c r="U1170" s="74"/>
      <c r="V1170" s="74"/>
      <c r="W1170" s="74"/>
      <c r="X1170" s="74"/>
      <c r="Y1170" s="74"/>
    </row>
    <row r="1171" spans="1:25" ht="18">
      <c r="A1171" s="74"/>
      <c r="B1171" s="79">
        <f t="shared" si="228"/>
        <v>234</v>
      </c>
      <c r="C1171" s="115" t="s">
        <v>1287</v>
      </c>
      <c r="D1171" s="112" t="s">
        <v>858</v>
      </c>
      <c r="E1171" s="103"/>
      <c r="F1171" s="91" t="str">
        <f t="shared" si="219"/>
        <v>B</v>
      </c>
      <c r="G1171" s="91" t="str">
        <f t="shared" si="224"/>
        <v>Đơn giản</v>
      </c>
      <c r="H1171" s="91">
        <v>2</v>
      </c>
      <c r="I1171" s="79" t="str">
        <f t="shared" si="234"/>
        <v/>
      </c>
      <c r="J1171" s="74"/>
      <c r="K1171" s="74"/>
      <c r="L1171" s="75"/>
      <c r="M1171" s="74"/>
      <c r="N1171" s="74"/>
      <c r="O1171" s="74"/>
      <c r="P1171" s="74"/>
      <c r="Q1171" s="74"/>
      <c r="R1171" s="74"/>
      <c r="S1171" s="74"/>
      <c r="T1171" s="74"/>
      <c r="U1171" s="74"/>
      <c r="V1171" s="74"/>
      <c r="W1171" s="74"/>
      <c r="X1171" s="74"/>
      <c r="Y1171" s="74"/>
    </row>
    <row r="1172" spans="1:25" ht="50.45">
      <c r="A1172" s="74"/>
      <c r="B1172" s="91" t="str">
        <f t="shared" si="228"/>
        <v/>
      </c>
      <c r="C1172" s="306"/>
      <c r="D1172" s="307"/>
      <c r="E1172" s="120" t="s">
        <v>1288</v>
      </c>
      <c r="F1172" s="91" t="str">
        <f t="shared" si="219"/>
        <v/>
      </c>
      <c r="G1172" s="91" t="str">
        <f t="shared" si="224"/>
        <v/>
      </c>
      <c r="H1172" s="91" t="str">
        <f t="shared" ref="H1172:H1173" si="235">IF(AND(B1172&lt;&gt;"",C1172&lt;&gt;"",D1172&lt;&gt;""),COUNTIF(I1172:I1975,B1172),"")</f>
        <v/>
      </c>
      <c r="I1172" s="79">
        <f t="shared" si="234"/>
        <v>234</v>
      </c>
      <c r="J1172" s="74"/>
      <c r="K1172" s="74"/>
      <c r="L1172" s="75"/>
      <c r="M1172" s="74"/>
      <c r="N1172" s="74"/>
      <c r="O1172" s="74"/>
      <c r="P1172" s="74"/>
      <c r="Q1172" s="74"/>
      <c r="R1172" s="74"/>
      <c r="S1172" s="74"/>
      <c r="T1172" s="74"/>
      <c r="U1172" s="74"/>
      <c r="V1172" s="74"/>
      <c r="W1172" s="74"/>
      <c r="X1172" s="74"/>
      <c r="Y1172" s="74"/>
    </row>
    <row r="1173" spans="1:25" ht="50.45">
      <c r="A1173" s="74"/>
      <c r="B1173" s="91" t="str">
        <f t="shared" si="228"/>
        <v/>
      </c>
      <c r="C1173" s="116"/>
      <c r="D1173" s="307"/>
      <c r="E1173" s="111" t="s">
        <v>1289</v>
      </c>
      <c r="F1173" s="91" t="str">
        <f t="shared" si="219"/>
        <v/>
      </c>
      <c r="G1173" s="91" t="str">
        <f t="shared" si="224"/>
        <v/>
      </c>
      <c r="H1173" s="91" t="str">
        <f t="shared" si="235"/>
        <v/>
      </c>
      <c r="I1173" s="79">
        <f t="shared" si="234"/>
        <v>234</v>
      </c>
      <c r="J1173" s="74"/>
      <c r="K1173" s="74"/>
      <c r="L1173" s="75"/>
      <c r="M1173" s="74"/>
      <c r="N1173" s="74"/>
      <c r="O1173" s="74"/>
      <c r="P1173" s="74"/>
      <c r="Q1173" s="74"/>
      <c r="R1173" s="74"/>
      <c r="S1173" s="74"/>
      <c r="T1173" s="74"/>
      <c r="U1173" s="74"/>
      <c r="V1173" s="74"/>
      <c r="W1173" s="74"/>
      <c r="X1173" s="74"/>
      <c r="Y1173" s="74"/>
    </row>
    <row r="1174" spans="1:25" ht="33.6">
      <c r="A1174" s="74"/>
      <c r="B1174" s="79">
        <f t="shared" si="228"/>
        <v>235</v>
      </c>
      <c r="C1174" s="115" t="s">
        <v>1290</v>
      </c>
      <c r="D1174" s="112" t="s">
        <v>858</v>
      </c>
      <c r="E1174" s="103"/>
      <c r="F1174" s="91" t="str">
        <f t="shared" si="219"/>
        <v>B</v>
      </c>
      <c r="G1174" s="91" t="str">
        <f t="shared" si="224"/>
        <v>Đơn giản</v>
      </c>
      <c r="H1174" s="91">
        <v>2</v>
      </c>
      <c r="I1174" s="79" t="str">
        <f>IF(OR(E1174="",B1174&lt;&gt;""),"",IF(#REF!&lt;&gt;"",#REF!,#REF!))</f>
        <v/>
      </c>
      <c r="J1174" s="74"/>
      <c r="K1174" s="74"/>
      <c r="L1174" s="75"/>
      <c r="M1174" s="74"/>
      <c r="N1174" s="74"/>
      <c r="O1174" s="74"/>
      <c r="P1174" s="74"/>
      <c r="Q1174" s="74"/>
      <c r="R1174" s="74"/>
      <c r="S1174" s="74"/>
      <c r="T1174" s="74"/>
      <c r="U1174" s="74"/>
      <c r="V1174" s="74"/>
      <c r="W1174" s="74"/>
      <c r="X1174" s="74"/>
      <c r="Y1174" s="74"/>
    </row>
    <row r="1175" spans="1:25" ht="67.150000000000006">
      <c r="A1175" s="74"/>
      <c r="B1175" s="91" t="str">
        <f t="shared" si="228"/>
        <v/>
      </c>
      <c r="C1175" s="306"/>
      <c r="D1175" s="307"/>
      <c r="E1175" s="101" t="s">
        <v>1291</v>
      </c>
      <c r="F1175" s="91" t="str">
        <f t="shared" si="219"/>
        <v/>
      </c>
      <c r="G1175" s="91" t="str">
        <f t="shared" si="224"/>
        <v/>
      </c>
      <c r="H1175" s="91" t="str">
        <f t="shared" ref="H1175:H1177" si="236">IF(AND(B1175&lt;&gt;"",C1175&lt;&gt;"",D1175&lt;&gt;""),COUNTIF(I1175:I1979,B1175),"")</f>
        <v/>
      </c>
      <c r="I1175" s="79">
        <f t="shared" ref="I1175:I1201" si="237">IF(OR(E1175="",B1175&lt;&gt;""),"",IF(I1174&lt;&gt;"",I1174,B1174))</f>
        <v>235</v>
      </c>
      <c r="J1175" s="74"/>
      <c r="K1175" s="74"/>
      <c r="L1175" s="75"/>
      <c r="M1175" s="74"/>
      <c r="N1175" s="74"/>
      <c r="O1175" s="74"/>
      <c r="P1175" s="74"/>
      <c r="Q1175" s="74"/>
      <c r="R1175" s="74"/>
      <c r="S1175" s="74"/>
      <c r="T1175" s="74"/>
      <c r="U1175" s="74"/>
      <c r="V1175" s="74"/>
      <c r="W1175" s="74"/>
      <c r="X1175" s="74"/>
      <c r="Y1175" s="74"/>
    </row>
    <row r="1176" spans="1:25" ht="84">
      <c r="A1176" s="74"/>
      <c r="B1176" s="91" t="str">
        <f t="shared" si="228"/>
        <v/>
      </c>
      <c r="C1176" s="116"/>
      <c r="D1176" s="307"/>
      <c r="E1176" s="111" t="s">
        <v>1292</v>
      </c>
      <c r="F1176" s="91" t="str">
        <f t="shared" si="219"/>
        <v/>
      </c>
      <c r="G1176" s="91" t="str">
        <f t="shared" si="224"/>
        <v/>
      </c>
      <c r="H1176" s="91" t="str">
        <f t="shared" si="236"/>
        <v/>
      </c>
      <c r="I1176" s="79">
        <f t="shared" si="237"/>
        <v>235</v>
      </c>
      <c r="J1176" s="74"/>
      <c r="K1176" s="74"/>
      <c r="L1176" s="75"/>
      <c r="M1176" s="74"/>
      <c r="N1176" s="74"/>
      <c r="O1176" s="74"/>
      <c r="P1176" s="74"/>
      <c r="Q1176" s="74"/>
      <c r="R1176" s="74"/>
      <c r="S1176" s="74"/>
      <c r="T1176" s="74"/>
      <c r="U1176" s="74"/>
      <c r="V1176" s="74"/>
      <c r="W1176" s="74"/>
      <c r="X1176" s="74"/>
      <c r="Y1176" s="74"/>
    </row>
    <row r="1177" spans="1:25" ht="33.6">
      <c r="A1177" s="74"/>
      <c r="B1177" s="91" t="str">
        <f t="shared" si="228"/>
        <v/>
      </c>
      <c r="C1177" s="116"/>
      <c r="D1177" s="307"/>
      <c r="E1177" s="111" t="s">
        <v>1293</v>
      </c>
      <c r="F1177" s="91" t="str">
        <f t="shared" si="219"/>
        <v/>
      </c>
      <c r="G1177" s="91" t="str">
        <f t="shared" si="224"/>
        <v/>
      </c>
      <c r="H1177" s="91" t="str">
        <f t="shared" si="236"/>
        <v/>
      </c>
      <c r="I1177" s="79">
        <f t="shared" si="237"/>
        <v>235</v>
      </c>
      <c r="J1177" s="74"/>
      <c r="K1177" s="74"/>
      <c r="L1177" s="75"/>
      <c r="M1177" s="74"/>
      <c r="N1177" s="74"/>
      <c r="O1177" s="74"/>
      <c r="P1177" s="74"/>
      <c r="Q1177" s="74"/>
      <c r="R1177" s="74"/>
      <c r="S1177" s="74"/>
      <c r="T1177" s="74"/>
      <c r="U1177" s="74"/>
      <c r="V1177" s="74"/>
      <c r="W1177" s="74"/>
      <c r="X1177" s="74"/>
      <c r="Y1177" s="74"/>
    </row>
    <row r="1178" spans="1:25" ht="18">
      <c r="A1178" s="74"/>
      <c r="B1178" s="79">
        <f t="shared" si="228"/>
        <v>236</v>
      </c>
      <c r="C1178" s="115" t="s">
        <v>1294</v>
      </c>
      <c r="D1178" s="112" t="s">
        <v>858</v>
      </c>
      <c r="E1178" s="103"/>
      <c r="F1178" s="91" t="str">
        <f t="shared" si="219"/>
        <v>B</v>
      </c>
      <c r="G1178" s="91" t="str">
        <f t="shared" si="224"/>
        <v>Đơn giản</v>
      </c>
      <c r="H1178" s="91">
        <v>2</v>
      </c>
      <c r="I1178" s="79" t="str">
        <f t="shared" si="237"/>
        <v/>
      </c>
      <c r="J1178" s="74"/>
      <c r="K1178" s="74"/>
      <c r="L1178" s="75"/>
      <c r="M1178" s="74"/>
      <c r="N1178" s="74"/>
      <c r="O1178" s="74"/>
      <c r="P1178" s="74"/>
      <c r="Q1178" s="74"/>
      <c r="R1178" s="74"/>
      <c r="S1178" s="74"/>
      <c r="T1178" s="74"/>
      <c r="U1178" s="74"/>
      <c r="V1178" s="74"/>
      <c r="W1178" s="74"/>
      <c r="X1178" s="74"/>
      <c r="Y1178" s="74"/>
    </row>
    <row r="1179" spans="1:25" ht="67.150000000000006">
      <c r="A1179" s="74"/>
      <c r="B1179" s="91" t="str">
        <f t="shared" si="228"/>
        <v/>
      </c>
      <c r="C1179" s="306"/>
      <c r="D1179" s="307"/>
      <c r="E1179" s="101" t="s">
        <v>1295</v>
      </c>
      <c r="F1179" s="91" t="str">
        <f t="shared" si="219"/>
        <v/>
      </c>
      <c r="G1179" s="91" t="str">
        <f t="shared" si="224"/>
        <v/>
      </c>
      <c r="H1179" s="91" t="str">
        <f t="shared" ref="H1179:H1181" si="238">IF(AND(B1179&lt;&gt;"",C1179&lt;&gt;"",D1179&lt;&gt;""),COUNTIF(I1179:I1983,B1179),"")</f>
        <v/>
      </c>
      <c r="I1179" s="79">
        <f t="shared" si="237"/>
        <v>236</v>
      </c>
      <c r="J1179" s="74"/>
      <c r="K1179" s="74"/>
      <c r="L1179" s="75"/>
      <c r="M1179" s="74"/>
      <c r="N1179" s="74"/>
      <c r="O1179" s="74"/>
      <c r="P1179" s="74"/>
      <c r="Q1179" s="74"/>
      <c r="R1179" s="74"/>
      <c r="S1179" s="74"/>
      <c r="T1179" s="74"/>
      <c r="U1179" s="74"/>
      <c r="V1179" s="74"/>
      <c r="W1179" s="74"/>
      <c r="X1179" s="74"/>
      <c r="Y1179" s="74"/>
    </row>
    <row r="1180" spans="1:25" ht="67.150000000000006">
      <c r="A1180" s="74"/>
      <c r="B1180" s="91" t="str">
        <f t="shared" si="228"/>
        <v/>
      </c>
      <c r="C1180" s="116"/>
      <c r="D1180" s="307"/>
      <c r="E1180" s="111" t="s">
        <v>1296</v>
      </c>
      <c r="F1180" s="91" t="str">
        <f t="shared" si="219"/>
        <v/>
      </c>
      <c r="G1180" s="91" t="str">
        <f t="shared" si="224"/>
        <v/>
      </c>
      <c r="H1180" s="91" t="str">
        <f t="shared" si="238"/>
        <v/>
      </c>
      <c r="I1180" s="79">
        <f t="shared" si="237"/>
        <v>236</v>
      </c>
      <c r="J1180" s="74"/>
      <c r="K1180" s="74"/>
      <c r="L1180" s="75"/>
      <c r="M1180" s="74"/>
      <c r="N1180" s="74"/>
      <c r="O1180" s="74"/>
      <c r="P1180" s="74"/>
      <c r="Q1180" s="74"/>
      <c r="R1180" s="74"/>
      <c r="S1180" s="74"/>
      <c r="T1180" s="74"/>
      <c r="U1180" s="74"/>
      <c r="V1180" s="74"/>
      <c r="W1180" s="74"/>
      <c r="X1180" s="74"/>
      <c r="Y1180" s="74"/>
    </row>
    <row r="1181" spans="1:25" ht="33.6">
      <c r="A1181" s="74"/>
      <c r="B1181" s="91" t="str">
        <f t="shared" si="228"/>
        <v/>
      </c>
      <c r="C1181" s="116"/>
      <c r="D1181" s="307"/>
      <c r="E1181" s="111" t="s">
        <v>1297</v>
      </c>
      <c r="F1181" s="91" t="str">
        <f t="shared" si="219"/>
        <v/>
      </c>
      <c r="G1181" s="91" t="str">
        <f t="shared" si="224"/>
        <v/>
      </c>
      <c r="H1181" s="91" t="str">
        <f t="shared" si="238"/>
        <v/>
      </c>
      <c r="I1181" s="79">
        <f t="shared" si="237"/>
        <v>236</v>
      </c>
      <c r="J1181" s="74"/>
      <c r="K1181" s="74"/>
      <c r="L1181" s="75"/>
      <c r="M1181" s="74"/>
      <c r="N1181" s="74"/>
      <c r="O1181" s="74"/>
      <c r="P1181" s="74"/>
      <c r="Q1181" s="74"/>
      <c r="R1181" s="74"/>
      <c r="S1181" s="74"/>
      <c r="T1181" s="74"/>
      <c r="U1181" s="74"/>
      <c r="V1181" s="74"/>
      <c r="W1181" s="74"/>
      <c r="X1181" s="74"/>
      <c r="Y1181" s="74"/>
    </row>
    <row r="1182" spans="1:25" ht="33.6">
      <c r="A1182" s="74"/>
      <c r="B1182" s="79">
        <f t="shared" si="228"/>
        <v>237</v>
      </c>
      <c r="C1182" s="115" t="s">
        <v>1298</v>
      </c>
      <c r="D1182" s="112" t="s">
        <v>858</v>
      </c>
      <c r="E1182" s="103"/>
      <c r="F1182" s="91" t="str">
        <f t="shared" si="219"/>
        <v>B</v>
      </c>
      <c r="G1182" s="91" t="str">
        <f t="shared" si="224"/>
        <v>Đơn giản</v>
      </c>
      <c r="H1182" s="91">
        <v>2</v>
      </c>
      <c r="I1182" s="79" t="str">
        <f t="shared" si="237"/>
        <v/>
      </c>
      <c r="J1182" s="74"/>
      <c r="K1182" s="74"/>
      <c r="L1182" s="75"/>
      <c r="M1182" s="74"/>
      <c r="N1182" s="74"/>
      <c r="O1182" s="74"/>
      <c r="P1182" s="74"/>
      <c r="Q1182" s="74"/>
      <c r="R1182" s="74"/>
      <c r="S1182" s="74"/>
      <c r="T1182" s="74"/>
      <c r="U1182" s="74"/>
      <c r="V1182" s="74"/>
      <c r="W1182" s="74"/>
      <c r="X1182" s="74"/>
      <c r="Y1182" s="74"/>
    </row>
    <row r="1183" spans="1:25" ht="67.150000000000006">
      <c r="A1183" s="74"/>
      <c r="B1183" s="91" t="str">
        <f t="shared" si="228"/>
        <v/>
      </c>
      <c r="C1183" s="306"/>
      <c r="D1183" s="307"/>
      <c r="E1183" s="101" t="s">
        <v>1299</v>
      </c>
      <c r="F1183" s="91" t="str">
        <f t="shared" si="219"/>
        <v/>
      </c>
      <c r="G1183" s="91" t="str">
        <f t="shared" si="224"/>
        <v/>
      </c>
      <c r="H1183" s="91" t="str">
        <f t="shared" ref="H1183:H1201" si="239">IF(AND(B1183&lt;&gt;"",C1183&lt;&gt;"",D1183&lt;&gt;""),COUNTIF(I1183:I1987,B1183),"")</f>
        <v/>
      </c>
      <c r="I1183" s="79">
        <f t="shared" si="237"/>
        <v>237</v>
      </c>
      <c r="J1183" s="74"/>
      <c r="K1183" s="74"/>
      <c r="L1183" s="75"/>
      <c r="M1183" s="74"/>
      <c r="N1183" s="74"/>
      <c r="O1183" s="74"/>
      <c r="P1183" s="74"/>
      <c r="Q1183" s="74"/>
      <c r="R1183" s="74"/>
      <c r="S1183" s="74"/>
      <c r="T1183" s="74"/>
      <c r="U1183" s="74"/>
      <c r="V1183" s="74"/>
      <c r="W1183" s="74"/>
      <c r="X1183" s="74"/>
      <c r="Y1183" s="74"/>
    </row>
    <row r="1184" spans="1:25" ht="84">
      <c r="A1184" s="74"/>
      <c r="B1184" s="91" t="str">
        <f t="shared" si="228"/>
        <v/>
      </c>
      <c r="C1184" s="116"/>
      <c r="D1184" s="307"/>
      <c r="E1184" s="111" t="s">
        <v>1300</v>
      </c>
      <c r="F1184" s="91" t="str">
        <f t="shared" si="219"/>
        <v/>
      </c>
      <c r="G1184" s="91" t="str">
        <f t="shared" si="224"/>
        <v/>
      </c>
      <c r="H1184" s="91" t="str">
        <f t="shared" si="239"/>
        <v/>
      </c>
      <c r="I1184" s="79">
        <f t="shared" si="237"/>
        <v>237</v>
      </c>
      <c r="J1184" s="74"/>
      <c r="K1184" s="74"/>
      <c r="L1184" s="75"/>
      <c r="M1184" s="74"/>
      <c r="N1184" s="74"/>
      <c r="O1184" s="74"/>
      <c r="P1184" s="74"/>
      <c r="Q1184" s="74"/>
      <c r="R1184" s="74"/>
      <c r="S1184" s="74"/>
      <c r="T1184" s="74"/>
      <c r="U1184" s="74"/>
      <c r="V1184" s="74"/>
      <c r="W1184" s="74"/>
      <c r="X1184" s="74"/>
      <c r="Y1184" s="74"/>
    </row>
    <row r="1185" spans="1:25" ht="33.6">
      <c r="A1185" s="74"/>
      <c r="B1185" s="91" t="str">
        <f t="shared" si="228"/>
        <v/>
      </c>
      <c r="C1185" s="116"/>
      <c r="D1185" s="307"/>
      <c r="E1185" s="111" t="s">
        <v>1301</v>
      </c>
      <c r="F1185" s="91" t="str">
        <f t="shared" si="219"/>
        <v/>
      </c>
      <c r="G1185" s="91" t="str">
        <f t="shared" si="224"/>
        <v/>
      </c>
      <c r="H1185" s="91" t="str">
        <f t="shared" si="239"/>
        <v/>
      </c>
      <c r="I1185" s="79">
        <f t="shared" si="237"/>
        <v>237</v>
      </c>
      <c r="J1185" s="74"/>
      <c r="K1185" s="74"/>
      <c r="L1185" s="75"/>
      <c r="M1185" s="74"/>
      <c r="N1185" s="74"/>
      <c r="O1185" s="74"/>
      <c r="P1185" s="74"/>
      <c r="Q1185" s="74"/>
      <c r="R1185" s="74"/>
      <c r="S1185" s="74"/>
      <c r="T1185" s="74"/>
      <c r="U1185" s="74"/>
      <c r="V1185" s="74"/>
      <c r="W1185" s="74"/>
      <c r="X1185" s="74"/>
      <c r="Y1185" s="74"/>
    </row>
    <row r="1186" spans="1:25" ht="18">
      <c r="A1186" s="74"/>
      <c r="B1186" s="79">
        <f t="shared" si="228"/>
        <v>238</v>
      </c>
      <c r="C1186" s="115" t="s">
        <v>1302</v>
      </c>
      <c r="D1186" s="112" t="s">
        <v>858</v>
      </c>
      <c r="E1186" s="103"/>
      <c r="F1186" s="91" t="str">
        <f t="shared" si="219"/>
        <v>B</v>
      </c>
      <c r="G1186" s="91" t="str">
        <f t="shared" si="224"/>
        <v>Đơn giản</v>
      </c>
      <c r="H1186" s="91">
        <f t="shared" si="239"/>
        <v>3</v>
      </c>
      <c r="I1186" s="79" t="str">
        <f t="shared" si="237"/>
        <v/>
      </c>
      <c r="J1186" s="74"/>
      <c r="K1186" s="74"/>
      <c r="L1186" s="75"/>
      <c r="M1186" s="74"/>
      <c r="N1186" s="74"/>
      <c r="O1186" s="74"/>
      <c r="P1186" s="74"/>
      <c r="Q1186" s="74"/>
      <c r="R1186" s="74"/>
      <c r="S1186" s="74"/>
      <c r="T1186" s="74"/>
      <c r="U1186" s="74"/>
      <c r="V1186" s="74"/>
      <c r="W1186" s="74"/>
      <c r="X1186" s="74"/>
      <c r="Y1186" s="74"/>
    </row>
    <row r="1187" spans="1:25" ht="67.150000000000006">
      <c r="A1187" s="74"/>
      <c r="B1187" s="91" t="str">
        <f t="shared" si="228"/>
        <v/>
      </c>
      <c r="C1187" s="306"/>
      <c r="D1187" s="307"/>
      <c r="E1187" s="101" t="s">
        <v>1303</v>
      </c>
      <c r="F1187" s="91" t="str">
        <f t="shared" si="219"/>
        <v/>
      </c>
      <c r="G1187" s="91" t="str">
        <f t="shared" si="224"/>
        <v/>
      </c>
      <c r="H1187" s="91" t="str">
        <f t="shared" si="239"/>
        <v/>
      </c>
      <c r="I1187" s="79">
        <f t="shared" si="237"/>
        <v>238</v>
      </c>
      <c r="J1187" s="74"/>
      <c r="K1187" s="74"/>
      <c r="L1187" s="75"/>
      <c r="M1187" s="74"/>
      <c r="N1187" s="74"/>
      <c r="O1187" s="74"/>
      <c r="P1187" s="74"/>
      <c r="Q1187" s="74"/>
      <c r="R1187" s="74"/>
      <c r="S1187" s="74"/>
      <c r="T1187" s="74"/>
      <c r="U1187" s="74"/>
      <c r="V1187" s="74"/>
      <c r="W1187" s="74"/>
      <c r="X1187" s="74"/>
      <c r="Y1187" s="74"/>
    </row>
    <row r="1188" spans="1:25" ht="67.150000000000006">
      <c r="A1188" s="74"/>
      <c r="B1188" s="91" t="str">
        <f t="shared" si="228"/>
        <v/>
      </c>
      <c r="C1188" s="116"/>
      <c r="D1188" s="307"/>
      <c r="E1188" s="111" t="s">
        <v>1304</v>
      </c>
      <c r="F1188" s="91" t="str">
        <f t="shared" si="219"/>
        <v/>
      </c>
      <c r="G1188" s="91" t="str">
        <f t="shared" si="224"/>
        <v/>
      </c>
      <c r="H1188" s="91" t="str">
        <f t="shared" si="239"/>
        <v/>
      </c>
      <c r="I1188" s="79">
        <f t="shared" si="237"/>
        <v>238</v>
      </c>
      <c r="J1188" s="74"/>
      <c r="K1188" s="74"/>
      <c r="L1188" s="75"/>
      <c r="M1188" s="74"/>
      <c r="N1188" s="74"/>
      <c r="O1188" s="74"/>
      <c r="P1188" s="74"/>
      <c r="Q1188" s="74"/>
      <c r="R1188" s="74"/>
      <c r="S1188" s="74"/>
      <c r="T1188" s="74"/>
      <c r="U1188" s="74"/>
      <c r="V1188" s="74"/>
      <c r="W1188" s="74"/>
      <c r="X1188" s="74"/>
      <c r="Y1188" s="74"/>
    </row>
    <row r="1189" spans="1:25" ht="33.6">
      <c r="A1189" s="74"/>
      <c r="B1189" s="91" t="str">
        <f t="shared" si="228"/>
        <v/>
      </c>
      <c r="C1189" s="116"/>
      <c r="D1189" s="307"/>
      <c r="E1189" s="111" t="s">
        <v>1301</v>
      </c>
      <c r="F1189" s="91" t="str">
        <f t="shared" si="219"/>
        <v/>
      </c>
      <c r="G1189" s="91" t="str">
        <f t="shared" si="224"/>
        <v/>
      </c>
      <c r="H1189" s="91" t="str">
        <f t="shared" si="239"/>
        <v/>
      </c>
      <c r="I1189" s="79">
        <f t="shared" si="237"/>
        <v>238</v>
      </c>
      <c r="J1189" s="74"/>
      <c r="K1189" s="74"/>
      <c r="L1189" s="75"/>
      <c r="M1189" s="74"/>
      <c r="N1189" s="74"/>
      <c r="O1189" s="74"/>
      <c r="P1189" s="74"/>
      <c r="Q1189" s="74"/>
      <c r="R1189" s="74"/>
      <c r="S1189" s="74"/>
      <c r="T1189" s="74"/>
      <c r="U1189" s="74"/>
      <c r="V1189" s="74"/>
      <c r="W1189" s="74"/>
      <c r="X1189" s="74"/>
      <c r="Y1189" s="74"/>
    </row>
    <row r="1190" spans="1:25" ht="18">
      <c r="A1190" s="74"/>
      <c r="B1190" s="79">
        <f t="shared" si="228"/>
        <v>239</v>
      </c>
      <c r="C1190" s="115" t="s">
        <v>1305</v>
      </c>
      <c r="D1190" s="112" t="s">
        <v>858</v>
      </c>
      <c r="E1190" s="103"/>
      <c r="F1190" s="91" t="str">
        <f t="shared" si="219"/>
        <v>B</v>
      </c>
      <c r="G1190" s="91" t="str">
        <f t="shared" si="224"/>
        <v>Đơn giản</v>
      </c>
      <c r="H1190" s="91">
        <f t="shared" si="239"/>
        <v>3</v>
      </c>
      <c r="I1190" s="79" t="str">
        <f t="shared" si="237"/>
        <v/>
      </c>
      <c r="J1190" s="74"/>
      <c r="K1190" s="74"/>
      <c r="L1190" s="75"/>
      <c r="M1190" s="74"/>
      <c r="N1190" s="74"/>
      <c r="O1190" s="74"/>
      <c r="P1190" s="74"/>
      <c r="Q1190" s="74"/>
      <c r="R1190" s="74"/>
      <c r="S1190" s="74"/>
      <c r="T1190" s="74"/>
      <c r="U1190" s="74"/>
      <c r="V1190" s="74"/>
      <c r="W1190" s="74"/>
      <c r="X1190" s="74"/>
      <c r="Y1190" s="74"/>
    </row>
    <row r="1191" spans="1:25" ht="84">
      <c r="A1191" s="74"/>
      <c r="B1191" s="91" t="str">
        <f t="shared" si="228"/>
        <v/>
      </c>
      <c r="C1191" s="306"/>
      <c r="D1191" s="307"/>
      <c r="E1191" s="101" t="s">
        <v>1306</v>
      </c>
      <c r="F1191" s="91" t="str">
        <f t="shared" si="219"/>
        <v/>
      </c>
      <c r="G1191" s="91" t="str">
        <f t="shared" si="224"/>
        <v/>
      </c>
      <c r="H1191" s="91" t="str">
        <f t="shared" si="239"/>
        <v/>
      </c>
      <c r="I1191" s="79">
        <f t="shared" si="237"/>
        <v>239</v>
      </c>
      <c r="J1191" s="74"/>
      <c r="K1191" s="74"/>
      <c r="L1191" s="75"/>
      <c r="M1191" s="74"/>
      <c r="N1191" s="74"/>
      <c r="O1191" s="74"/>
      <c r="P1191" s="74"/>
      <c r="Q1191" s="74"/>
      <c r="R1191" s="74"/>
      <c r="S1191" s="74"/>
      <c r="T1191" s="74"/>
      <c r="U1191" s="74"/>
      <c r="V1191" s="74"/>
      <c r="W1191" s="74"/>
      <c r="X1191" s="74"/>
      <c r="Y1191" s="74"/>
    </row>
    <row r="1192" spans="1:25" ht="84">
      <c r="A1192" s="74"/>
      <c r="B1192" s="91" t="str">
        <f t="shared" si="228"/>
        <v/>
      </c>
      <c r="C1192" s="116"/>
      <c r="D1192" s="307"/>
      <c r="E1192" s="111" t="s">
        <v>1307</v>
      </c>
      <c r="F1192" s="91" t="str">
        <f t="shared" si="219"/>
        <v/>
      </c>
      <c r="G1192" s="91" t="str">
        <f t="shared" si="224"/>
        <v/>
      </c>
      <c r="H1192" s="91" t="str">
        <f t="shared" si="239"/>
        <v/>
      </c>
      <c r="I1192" s="79">
        <f t="shared" si="237"/>
        <v>239</v>
      </c>
      <c r="J1192" s="74"/>
      <c r="K1192" s="74"/>
      <c r="L1192" s="75"/>
      <c r="M1192" s="74"/>
      <c r="N1192" s="74"/>
      <c r="O1192" s="74"/>
      <c r="P1192" s="74"/>
      <c r="Q1192" s="74"/>
      <c r="R1192" s="74"/>
      <c r="S1192" s="74"/>
      <c r="T1192" s="74"/>
      <c r="U1192" s="74"/>
      <c r="V1192" s="74"/>
      <c r="W1192" s="74"/>
      <c r="X1192" s="74"/>
      <c r="Y1192" s="74"/>
    </row>
    <row r="1193" spans="1:25" ht="84">
      <c r="A1193" s="74"/>
      <c r="B1193" s="91" t="str">
        <f t="shared" si="228"/>
        <v/>
      </c>
      <c r="C1193" s="116"/>
      <c r="D1193" s="307"/>
      <c r="E1193" s="111" t="s">
        <v>1308</v>
      </c>
      <c r="F1193" s="91" t="str">
        <f t="shared" si="219"/>
        <v/>
      </c>
      <c r="G1193" s="91" t="str">
        <f t="shared" si="224"/>
        <v/>
      </c>
      <c r="H1193" s="91" t="str">
        <f t="shared" si="239"/>
        <v/>
      </c>
      <c r="I1193" s="79">
        <f t="shared" si="237"/>
        <v>239</v>
      </c>
      <c r="J1193" s="74"/>
      <c r="K1193" s="74"/>
      <c r="L1193" s="75"/>
      <c r="M1193" s="74"/>
      <c r="N1193" s="74"/>
      <c r="O1193" s="74"/>
      <c r="P1193" s="74"/>
      <c r="Q1193" s="74"/>
      <c r="R1193" s="74"/>
      <c r="S1193" s="74"/>
      <c r="T1193" s="74"/>
      <c r="U1193" s="74"/>
      <c r="V1193" s="74"/>
      <c r="W1193" s="74"/>
      <c r="X1193" s="74"/>
      <c r="Y1193" s="74"/>
    </row>
    <row r="1194" spans="1:25" ht="33.6">
      <c r="A1194" s="74"/>
      <c r="B1194" s="79">
        <f t="shared" si="228"/>
        <v>240</v>
      </c>
      <c r="C1194" s="115" t="s">
        <v>1309</v>
      </c>
      <c r="D1194" s="112" t="s">
        <v>858</v>
      </c>
      <c r="E1194" s="103"/>
      <c r="F1194" s="91" t="str">
        <f t="shared" si="219"/>
        <v>B</v>
      </c>
      <c r="G1194" s="91" t="str">
        <f t="shared" si="224"/>
        <v>Đơn giản</v>
      </c>
      <c r="H1194" s="91">
        <f t="shared" si="239"/>
        <v>3</v>
      </c>
      <c r="I1194" s="79" t="str">
        <f t="shared" si="237"/>
        <v/>
      </c>
      <c r="J1194" s="74"/>
      <c r="K1194" s="74"/>
      <c r="L1194" s="75"/>
      <c r="M1194" s="74"/>
      <c r="N1194" s="74"/>
      <c r="O1194" s="74"/>
      <c r="P1194" s="74"/>
      <c r="Q1194" s="74"/>
      <c r="R1194" s="74"/>
      <c r="S1194" s="74"/>
      <c r="T1194" s="74"/>
      <c r="U1194" s="74"/>
      <c r="V1194" s="74"/>
      <c r="W1194" s="74"/>
      <c r="X1194" s="74"/>
      <c r="Y1194" s="74"/>
    </row>
    <row r="1195" spans="1:25" ht="67.150000000000006">
      <c r="A1195" s="74"/>
      <c r="B1195" s="91" t="str">
        <f t="shared" si="228"/>
        <v/>
      </c>
      <c r="C1195" s="306"/>
      <c r="D1195" s="307"/>
      <c r="E1195" s="101" t="s">
        <v>1310</v>
      </c>
      <c r="F1195" s="91" t="str">
        <f t="shared" si="219"/>
        <v/>
      </c>
      <c r="G1195" s="91" t="str">
        <f t="shared" si="224"/>
        <v/>
      </c>
      <c r="H1195" s="91" t="str">
        <f t="shared" si="239"/>
        <v/>
      </c>
      <c r="I1195" s="79">
        <f t="shared" si="237"/>
        <v>240</v>
      </c>
      <c r="J1195" s="74"/>
      <c r="K1195" s="74"/>
      <c r="L1195" s="75"/>
      <c r="M1195" s="74"/>
      <c r="N1195" s="74"/>
      <c r="O1195" s="74"/>
      <c r="P1195" s="74"/>
      <c r="Q1195" s="74"/>
      <c r="R1195" s="74"/>
      <c r="S1195" s="74"/>
      <c r="T1195" s="74"/>
      <c r="U1195" s="74"/>
      <c r="V1195" s="74"/>
      <c r="W1195" s="74"/>
      <c r="X1195" s="74"/>
      <c r="Y1195" s="74"/>
    </row>
    <row r="1196" spans="1:25" ht="67.150000000000006">
      <c r="A1196" s="74"/>
      <c r="B1196" s="91" t="str">
        <f t="shared" si="228"/>
        <v/>
      </c>
      <c r="C1196" s="116"/>
      <c r="D1196" s="307"/>
      <c r="E1196" s="111" t="s">
        <v>1311</v>
      </c>
      <c r="F1196" s="91" t="str">
        <f t="shared" si="219"/>
        <v/>
      </c>
      <c r="G1196" s="91" t="str">
        <f t="shared" si="224"/>
        <v/>
      </c>
      <c r="H1196" s="91" t="str">
        <f t="shared" si="239"/>
        <v/>
      </c>
      <c r="I1196" s="79">
        <f t="shared" si="237"/>
        <v>240</v>
      </c>
      <c r="J1196" s="74"/>
      <c r="K1196" s="74"/>
      <c r="L1196" s="75"/>
      <c r="M1196" s="74"/>
      <c r="N1196" s="74"/>
      <c r="O1196" s="74"/>
      <c r="P1196" s="74"/>
      <c r="Q1196" s="74"/>
      <c r="R1196" s="74"/>
      <c r="S1196" s="74"/>
      <c r="T1196" s="74"/>
      <c r="U1196" s="74"/>
      <c r="V1196" s="74"/>
      <c r="W1196" s="74"/>
      <c r="X1196" s="74"/>
      <c r="Y1196" s="74"/>
    </row>
    <row r="1197" spans="1:25" ht="67.150000000000006">
      <c r="A1197" s="74"/>
      <c r="B1197" s="91" t="str">
        <f t="shared" si="228"/>
        <v/>
      </c>
      <c r="C1197" s="116"/>
      <c r="D1197" s="307"/>
      <c r="E1197" s="111" t="s">
        <v>1312</v>
      </c>
      <c r="F1197" s="91" t="str">
        <f t="shared" si="219"/>
        <v/>
      </c>
      <c r="G1197" s="91" t="str">
        <f t="shared" si="224"/>
        <v/>
      </c>
      <c r="H1197" s="91" t="str">
        <f t="shared" si="239"/>
        <v/>
      </c>
      <c r="I1197" s="79">
        <f t="shared" si="237"/>
        <v>240</v>
      </c>
      <c r="J1197" s="74"/>
      <c r="K1197" s="74"/>
      <c r="L1197" s="75"/>
      <c r="M1197" s="74"/>
      <c r="N1197" s="74"/>
      <c r="O1197" s="74"/>
      <c r="P1197" s="74"/>
      <c r="Q1197" s="74"/>
      <c r="R1197" s="74"/>
      <c r="S1197" s="74"/>
      <c r="T1197" s="74"/>
      <c r="U1197" s="74"/>
      <c r="V1197" s="74"/>
      <c r="W1197" s="74"/>
      <c r="X1197" s="74"/>
      <c r="Y1197" s="74"/>
    </row>
    <row r="1198" spans="1:25" ht="33.6">
      <c r="A1198" s="74"/>
      <c r="B1198" s="79">
        <f t="shared" si="228"/>
        <v>241</v>
      </c>
      <c r="C1198" s="115" t="s">
        <v>1313</v>
      </c>
      <c r="D1198" s="112" t="s">
        <v>858</v>
      </c>
      <c r="E1198" s="103"/>
      <c r="F1198" s="91" t="str">
        <f t="shared" si="219"/>
        <v>B</v>
      </c>
      <c r="G1198" s="91" t="str">
        <f t="shared" si="224"/>
        <v>Đơn giản</v>
      </c>
      <c r="H1198" s="91">
        <f t="shared" si="239"/>
        <v>3</v>
      </c>
      <c r="I1198" s="79" t="str">
        <f t="shared" si="237"/>
        <v/>
      </c>
      <c r="J1198" s="74"/>
      <c r="K1198" s="74"/>
      <c r="L1198" s="75"/>
      <c r="M1198" s="74"/>
      <c r="N1198" s="74"/>
      <c r="O1198" s="74"/>
      <c r="P1198" s="74"/>
      <c r="Q1198" s="74"/>
      <c r="R1198" s="74"/>
      <c r="S1198" s="74"/>
      <c r="T1198" s="74"/>
      <c r="U1198" s="74"/>
      <c r="V1198" s="74"/>
      <c r="W1198" s="74"/>
      <c r="X1198" s="74"/>
      <c r="Y1198" s="74"/>
    </row>
    <row r="1199" spans="1:25" ht="67.150000000000006">
      <c r="A1199" s="74"/>
      <c r="B1199" s="91" t="str">
        <f t="shared" si="228"/>
        <v/>
      </c>
      <c r="C1199" s="306"/>
      <c r="D1199" s="307"/>
      <c r="E1199" s="101" t="s">
        <v>1314</v>
      </c>
      <c r="F1199" s="91" t="str">
        <f t="shared" si="219"/>
        <v/>
      </c>
      <c r="G1199" s="91" t="str">
        <f t="shared" si="224"/>
        <v/>
      </c>
      <c r="H1199" s="91" t="str">
        <f t="shared" si="239"/>
        <v/>
      </c>
      <c r="I1199" s="79">
        <f t="shared" si="237"/>
        <v>241</v>
      </c>
      <c r="J1199" s="74"/>
      <c r="K1199" s="74"/>
      <c r="L1199" s="75"/>
      <c r="M1199" s="74"/>
      <c r="N1199" s="74"/>
      <c r="O1199" s="74"/>
      <c r="P1199" s="74"/>
      <c r="Q1199" s="74"/>
      <c r="R1199" s="74"/>
      <c r="S1199" s="74"/>
      <c r="T1199" s="74"/>
      <c r="U1199" s="74"/>
      <c r="V1199" s="74"/>
      <c r="W1199" s="74"/>
      <c r="X1199" s="74"/>
      <c r="Y1199" s="74"/>
    </row>
    <row r="1200" spans="1:25" ht="67.150000000000006">
      <c r="A1200" s="74"/>
      <c r="B1200" s="91" t="str">
        <f t="shared" si="228"/>
        <v/>
      </c>
      <c r="C1200" s="116"/>
      <c r="D1200" s="307"/>
      <c r="E1200" s="111" t="s">
        <v>1315</v>
      </c>
      <c r="F1200" s="91" t="str">
        <f t="shared" si="219"/>
        <v/>
      </c>
      <c r="G1200" s="91" t="str">
        <f t="shared" si="224"/>
        <v/>
      </c>
      <c r="H1200" s="91" t="str">
        <f t="shared" si="239"/>
        <v/>
      </c>
      <c r="I1200" s="79">
        <f t="shared" si="237"/>
        <v>241</v>
      </c>
      <c r="J1200" s="74"/>
      <c r="K1200" s="74"/>
      <c r="L1200" s="75"/>
      <c r="M1200" s="74"/>
      <c r="N1200" s="74"/>
      <c r="O1200" s="74"/>
      <c r="P1200" s="74"/>
      <c r="Q1200" s="74"/>
      <c r="R1200" s="74"/>
      <c r="S1200" s="74"/>
      <c r="T1200" s="74"/>
      <c r="U1200" s="74"/>
      <c r="V1200" s="74"/>
      <c r="W1200" s="74"/>
      <c r="X1200" s="74"/>
      <c r="Y1200" s="74"/>
    </row>
    <row r="1201" spans="1:25" ht="67.150000000000006">
      <c r="A1201" s="74"/>
      <c r="B1201" s="91" t="str">
        <f t="shared" si="228"/>
        <v/>
      </c>
      <c r="C1201" s="116"/>
      <c r="D1201" s="307"/>
      <c r="E1201" s="145" t="s">
        <v>1316</v>
      </c>
      <c r="F1201" s="91" t="str">
        <f t="shared" si="219"/>
        <v/>
      </c>
      <c r="G1201" s="91" t="str">
        <f t="shared" si="224"/>
        <v/>
      </c>
      <c r="H1201" s="91" t="str">
        <f t="shared" si="239"/>
        <v/>
      </c>
      <c r="I1201" s="79">
        <f t="shared" si="237"/>
        <v>241</v>
      </c>
      <c r="J1201" s="74"/>
      <c r="K1201" s="74"/>
      <c r="L1201" s="75"/>
      <c r="M1201" s="74"/>
      <c r="N1201" s="74"/>
      <c r="O1201" s="74"/>
      <c r="P1201" s="74"/>
      <c r="Q1201" s="74"/>
      <c r="R1201" s="74"/>
      <c r="S1201" s="74"/>
      <c r="T1201" s="74"/>
      <c r="U1201" s="74"/>
      <c r="V1201" s="74"/>
      <c r="W1201" s="74"/>
      <c r="X1201" s="74"/>
      <c r="Y1201" s="74"/>
    </row>
    <row r="1202" spans="1:25" ht="18">
      <c r="A1202" s="74"/>
      <c r="B1202" s="75"/>
      <c r="C1202" s="76"/>
      <c r="D1202" s="75"/>
      <c r="E1202" s="146"/>
      <c r="F1202" s="75"/>
      <c r="G1202" s="75"/>
      <c r="H1202" s="75"/>
      <c r="I1202" s="75"/>
      <c r="J1202" s="74"/>
      <c r="K1202" s="74"/>
      <c r="L1202" s="75"/>
      <c r="M1202" s="74"/>
      <c r="N1202" s="74"/>
      <c r="O1202" s="74"/>
      <c r="P1202" s="74"/>
      <c r="Q1202" s="74"/>
      <c r="R1202" s="74"/>
      <c r="S1202" s="74"/>
      <c r="T1202" s="74"/>
      <c r="U1202" s="74"/>
      <c r="V1202" s="74"/>
      <c r="W1202" s="74"/>
      <c r="X1202" s="74"/>
      <c r="Y1202" s="74"/>
    </row>
    <row r="1203" spans="1:25" ht="18">
      <c r="A1203" s="74"/>
      <c r="B1203" s="75"/>
      <c r="C1203" s="76"/>
      <c r="D1203" s="75"/>
      <c r="E1203" s="146"/>
      <c r="F1203" s="75"/>
      <c r="G1203" s="75"/>
      <c r="H1203" s="75"/>
      <c r="I1203" s="75"/>
      <c r="J1203" s="74"/>
      <c r="K1203" s="74"/>
      <c r="L1203" s="75"/>
      <c r="M1203" s="74"/>
      <c r="N1203" s="74"/>
      <c r="O1203" s="74"/>
      <c r="P1203" s="74"/>
      <c r="Q1203" s="74"/>
      <c r="R1203" s="74"/>
      <c r="S1203" s="74"/>
      <c r="T1203" s="74"/>
      <c r="U1203" s="74"/>
      <c r="V1203" s="74"/>
      <c r="W1203" s="74"/>
      <c r="X1203" s="74"/>
      <c r="Y1203" s="74"/>
    </row>
    <row r="1204" spans="1:25" ht="18">
      <c r="A1204" s="74"/>
      <c r="B1204" s="75"/>
      <c r="C1204" s="76"/>
      <c r="D1204" s="75"/>
      <c r="E1204" s="74"/>
      <c r="F1204" s="75"/>
      <c r="G1204" s="75"/>
      <c r="H1204" s="75"/>
      <c r="I1204" s="75"/>
      <c r="J1204" s="74"/>
      <c r="K1204" s="74"/>
      <c r="L1204" s="75"/>
      <c r="M1204" s="74"/>
      <c r="N1204" s="74"/>
      <c r="O1204" s="74"/>
      <c r="P1204" s="74"/>
      <c r="Q1204" s="74"/>
      <c r="R1204" s="74"/>
      <c r="S1204" s="74"/>
      <c r="T1204" s="74"/>
      <c r="U1204" s="74"/>
      <c r="V1204" s="74"/>
      <c r="W1204" s="74"/>
      <c r="X1204" s="74"/>
      <c r="Y1204" s="74"/>
    </row>
    <row r="1205" spans="1:25" ht="18">
      <c r="A1205" s="74"/>
      <c r="B1205" s="75"/>
      <c r="C1205" s="76"/>
      <c r="D1205" s="75"/>
      <c r="E1205" s="74"/>
      <c r="F1205" s="75"/>
      <c r="G1205" s="75"/>
      <c r="H1205" s="75"/>
      <c r="I1205" s="75"/>
      <c r="J1205" s="74"/>
      <c r="K1205" s="74"/>
      <c r="L1205" s="75"/>
      <c r="M1205" s="74"/>
      <c r="N1205" s="74"/>
      <c r="O1205" s="74"/>
      <c r="P1205" s="74"/>
      <c r="Q1205" s="74"/>
      <c r="R1205" s="74"/>
      <c r="S1205" s="74"/>
      <c r="T1205" s="74"/>
      <c r="U1205" s="74"/>
      <c r="V1205" s="74"/>
      <c r="W1205" s="74"/>
      <c r="X1205" s="74"/>
      <c r="Y1205" s="74"/>
    </row>
    <row r="1206" spans="1:25" ht="18">
      <c r="A1206" s="74"/>
      <c r="B1206" s="75"/>
      <c r="C1206" s="76"/>
      <c r="D1206" s="75"/>
      <c r="E1206" s="74"/>
      <c r="F1206" s="75"/>
      <c r="G1206" s="75"/>
      <c r="H1206" s="75"/>
      <c r="I1206" s="75"/>
      <c r="J1206" s="74"/>
      <c r="K1206" s="74"/>
      <c r="L1206" s="75"/>
      <c r="M1206" s="74"/>
      <c r="N1206" s="74"/>
      <c r="O1206" s="74"/>
      <c r="P1206" s="74"/>
      <c r="Q1206" s="74"/>
      <c r="R1206" s="74"/>
      <c r="S1206" s="74"/>
      <c r="T1206" s="74"/>
      <c r="U1206" s="74"/>
      <c r="V1206" s="74"/>
      <c r="W1206" s="74"/>
      <c r="X1206" s="74"/>
      <c r="Y1206" s="74"/>
    </row>
    <row r="1207" spans="1:25" ht="18">
      <c r="A1207" s="74"/>
      <c r="B1207" s="75"/>
      <c r="C1207" s="76"/>
      <c r="D1207" s="75"/>
      <c r="E1207" s="74"/>
      <c r="F1207" s="75"/>
      <c r="G1207" s="75"/>
      <c r="H1207" s="75"/>
      <c r="I1207" s="75"/>
      <c r="J1207" s="74"/>
      <c r="K1207" s="74"/>
      <c r="L1207" s="75"/>
      <c r="M1207" s="74"/>
      <c r="N1207" s="74"/>
      <c r="O1207" s="74"/>
      <c r="P1207" s="74"/>
      <c r="Q1207" s="74"/>
      <c r="R1207" s="74"/>
      <c r="S1207" s="74"/>
      <c r="T1207" s="74"/>
      <c r="U1207" s="74"/>
      <c r="V1207" s="74"/>
      <c r="W1207" s="74"/>
      <c r="X1207" s="74"/>
      <c r="Y1207" s="74"/>
    </row>
    <row r="1208" spans="1:25" ht="18">
      <c r="A1208" s="74"/>
      <c r="B1208" s="75"/>
      <c r="C1208" s="76"/>
      <c r="D1208" s="75"/>
      <c r="E1208" s="74"/>
      <c r="F1208" s="75"/>
      <c r="G1208" s="75"/>
      <c r="H1208" s="75"/>
      <c r="I1208" s="75"/>
      <c r="J1208" s="74"/>
      <c r="K1208" s="74"/>
      <c r="L1208" s="75"/>
      <c r="M1208" s="74"/>
      <c r="N1208" s="74"/>
      <c r="O1208" s="74"/>
      <c r="P1208" s="74"/>
      <c r="Q1208" s="74"/>
      <c r="R1208" s="74"/>
      <c r="S1208" s="74"/>
      <c r="T1208" s="74"/>
      <c r="U1208" s="74"/>
      <c r="V1208" s="74"/>
      <c r="W1208" s="74"/>
      <c r="X1208" s="74"/>
      <c r="Y1208" s="74"/>
    </row>
    <row r="1209" spans="1:25" ht="18">
      <c r="A1209" s="74"/>
      <c r="B1209" s="75"/>
      <c r="C1209" s="76"/>
      <c r="D1209" s="75"/>
      <c r="E1209" s="74"/>
      <c r="F1209" s="75"/>
      <c r="G1209" s="75"/>
      <c r="H1209" s="75"/>
      <c r="I1209" s="75"/>
      <c r="J1209" s="74"/>
      <c r="K1209" s="74"/>
      <c r="L1209" s="75"/>
      <c r="M1209" s="74"/>
      <c r="N1209" s="74"/>
      <c r="O1209" s="74"/>
      <c r="P1209" s="74"/>
      <c r="Q1209" s="74"/>
      <c r="R1209" s="74"/>
      <c r="S1209" s="74"/>
      <c r="T1209" s="74"/>
      <c r="U1209" s="74"/>
      <c r="V1209" s="74"/>
      <c r="W1209" s="74"/>
      <c r="X1209" s="74"/>
      <c r="Y1209" s="74"/>
    </row>
    <row r="1210" spans="1:25" ht="18">
      <c r="A1210" s="74"/>
      <c r="B1210" s="75"/>
      <c r="C1210" s="76"/>
      <c r="D1210" s="75"/>
      <c r="E1210" s="74"/>
      <c r="F1210" s="75"/>
      <c r="G1210" s="75"/>
      <c r="H1210" s="75"/>
      <c r="I1210" s="75"/>
      <c r="J1210" s="74"/>
      <c r="K1210" s="74"/>
      <c r="L1210" s="75"/>
      <c r="M1210" s="74"/>
      <c r="N1210" s="74"/>
      <c r="O1210" s="74"/>
      <c r="P1210" s="74"/>
      <c r="Q1210" s="74"/>
      <c r="R1210" s="74"/>
      <c r="S1210" s="74"/>
      <c r="T1210" s="74"/>
      <c r="U1210" s="74"/>
      <c r="V1210" s="74"/>
      <c r="W1210" s="74"/>
      <c r="X1210" s="74"/>
      <c r="Y1210" s="74"/>
    </row>
    <row r="1211" spans="1:25" ht="18">
      <c r="A1211" s="74"/>
      <c r="B1211" s="75"/>
      <c r="C1211" s="76"/>
      <c r="D1211" s="75"/>
      <c r="E1211" s="74"/>
      <c r="F1211" s="75"/>
      <c r="G1211" s="75"/>
      <c r="H1211" s="75"/>
      <c r="I1211" s="75"/>
      <c r="J1211" s="74"/>
      <c r="K1211" s="74"/>
      <c r="L1211" s="75"/>
      <c r="M1211" s="74"/>
      <c r="N1211" s="74"/>
      <c r="O1211" s="74"/>
      <c r="P1211" s="74"/>
      <c r="Q1211" s="74"/>
      <c r="R1211" s="74"/>
      <c r="S1211" s="74"/>
      <c r="T1211" s="74"/>
      <c r="U1211" s="74"/>
      <c r="V1211" s="74"/>
      <c r="W1211" s="74"/>
      <c r="X1211" s="74"/>
      <c r="Y1211" s="74"/>
    </row>
    <row r="1212" spans="1:25" ht="18">
      <c r="A1212" s="74"/>
      <c r="B1212" s="75"/>
      <c r="C1212" s="76"/>
      <c r="D1212" s="75"/>
      <c r="E1212" s="74"/>
      <c r="F1212" s="75"/>
      <c r="G1212" s="75"/>
      <c r="H1212" s="75"/>
      <c r="I1212" s="75"/>
      <c r="J1212" s="74"/>
      <c r="K1212" s="74"/>
      <c r="L1212" s="75"/>
      <c r="M1212" s="74"/>
      <c r="N1212" s="74"/>
      <c r="O1212" s="74"/>
      <c r="P1212" s="74"/>
      <c r="Q1212" s="74"/>
      <c r="R1212" s="74"/>
      <c r="S1212" s="74"/>
      <c r="T1212" s="74"/>
      <c r="U1212" s="74"/>
      <c r="V1212" s="74"/>
      <c r="W1212" s="74"/>
      <c r="X1212" s="74"/>
      <c r="Y1212" s="74"/>
    </row>
    <row r="1213" spans="1:25" ht="18">
      <c r="A1213" s="74"/>
      <c r="B1213" s="75"/>
      <c r="C1213" s="76"/>
      <c r="D1213" s="75"/>
      <c r="E1213" s="74"/>
      <c r="F1213" s="75"/>
      <c r="G1213" s="75"/>
      <c r="H1213" s="75"/>
      <c r="I1213" s="75"/>
      <c r="J1213" s="74"/>
      <c r="K1213" s="74"/>
      <c r="L1213" s="75"/>
      <c r="M1213" s="74"/>
      <c r="N1213" s="74"/>
      <c r="O1213" s="74"/>
      <c r="P1213" s="74"/>
      <c r="Q1213" s="74"/>
      <c r="R1213" s="74"/>
      <c r="S1213" s="74"/>
      <c r="T1213" s="74"/>
      <c r="U1213" s="74"/>
      <c r="V1213" s="74"/>
      <c r="W1213" s="74"/>
      <c r="X1213" s="74"/>
      <c r="Y1213" s="74"/>
    </row>
    <row r="1214" spans="1:25" ht="18">
      <c r="A1214" s="74"/>
      <c r="B1214" s="75"/>
      <c r="C1214" s="76"/>
      <c r="D1214" s="75"/>
      <c r="E1214" s="74"/>
      <c r="F1214" s="75"/>
      <c r="G1214" s="75"/>
      <c r="H1214" s="75"/>
      <c r="I1214" s="75"/>
      <c r="J1214" s="74"/>
      <c r="K1214" s="74"/>
      <c r="L1214" s="75"/>
      <c r="M1214" s="74"/>
      <c r="N1214" s="74"/>
      <c r="O1214" s="74"/>
      <c r="P1214" s="74"/>
      <c r="Q1214" s="74"/>
      <c r="R1214" s="74"/>
      <c r="S1214" s="74"/>
      <c r="T1214" s="74"/>
      <c r="U1214" s="74"/>
      <c r="V1214" s="74"/>
      <c r="W1214" s="74"/>
      <c r="X1214" s="74"/>
      <c r="Y1214" s="74"/>
    </row>
    <row r="1215" spans="1:25" ht="18">
      <c r="A1215" s="74"/>
      <c r="B1215" s="75"/>
      <c r="C1215" s="76"/>
      <c r="D1215" s="75"/>
      <c r="E1215" s="74"/>
      <c r="F1215" s="75"/>
      <c r="G1215" s="75"/>
      <c r="H1215" s="75"/>
      <c r="I1215" s="75"/>
      <c r="J1215" s="74"/>
      <c r="K1215" s="74"/>
      <c r="L1215" s="75"/>
      <c r="M1215" s="74"/>
      <c r="N1215" s="74"/>
      <c r="O1215" s="74"/>
      <c r="P1215" s="74"/>
      <c r="Q1215" s="74"/>
      <c r="R1215" s="74"/>
      <c r="S1215" s="74"/>
      <c r="T1215" s="74"/>
      <c r="U1215" s="74"/>
      <c r="V1215" s="74"/>
      <c r="W1215" s="74"/>
      <c r="X1215" s="74"/>
      <c r="Y1215" s="74"/>
    </row>
    <row r="1216" spans="1:25" ht="18">
      <c r="A1216" s="74"/>
      <c r="B1216" s="75"/>
      <c r="C1216" s="76"/>
      <c r="D1216" s="75"/>
      <c r="E1216" s="74"/>
      <c r="F1216" s="75"/>
      <c r="G1216" s="75"/>
      <c r="H1216" s="75"/>
      <c r="I1216" s="75"/>
      <c r="J1216" s="74"/>
      <c r="K1216" s="74"/>
      <c r="L1216" s="75"/>
      <c r="M1216" s="74"/>
      <c r="N1216" s="74"/>
      <c r="O1216" s="74"/>
      <c r="P1216" s="74"/>
      <c r="Q1216" s="74"/>
      <c r="R1216" s="74"/>
      <c r="S1216" s="74"/>
      <c r="T1216" s="74"/>
      <c r="U1216" s="74"/>
      <c r="V1216" s="74"/>
      <c r="W1216" s="74"/>
      <c r="X1216" s="74"/>
      <c r="Y1216" s="74"/>
    </row>
    <row r="1217" spans="1:25" ht="18">
      <c r="A1217" s="74"/>
      <c r="B1217" s="75"/>
      <c r="C1217" s="76"/>
      <c r="D1217" s="75"/>
      <c r="E1217" s="74"/>
      <c r="F1217" s="75"/>
      <c r="G1217" s="75"/>
      <c r="H1217" s="75"/>
      <c r="I1217" s="75"/>
      <c r="J1217" s="74"/>
      <c r="K1217" s="74"/>
      <c r="L1217" s="75"/>
      <c r="M1217" s="74"/>
      <c r="N1217" s="74"/>
      <c r="O1217" s="74"/>
      <c r="P1217" s="74"/>
      <c r="Q1217" s="74"/>
      <c r="R1217" s="74"/>
      <c r="S1217" s="74"/>
      <c r="T1217" s="74"/>
      <c r="U1217" s="74"/>
      <c r="V1217" s="74"/>
      <c r="W1217" s="74"/>
      <c r="X1217" s="74"/>
      <c r="Y1217" s="74"/>
    </row>
    <row r="1218" spans="1:25" ht="18">
      <c r="A1218" s="74"/>
      <c r="B1218" s="75"/>
      <c r="C1218" s="76"/>
      <c r="D1218" s="75"/>
      <c r="E1218" s="74"/>
      <c r="F1218" s="75"/>
      <c r="G1218" s="75"/>
      <c r="H1218" s="75"/>
      <c r="I1218" s="75"/>
      <c r="J1218" s="74"/>
      <c r="K1218" s="74"/>
      <c r="L1218" s="75"/>
      <c r="M1218" s="74"/>
      <c r="N1218" s="74"/>
      <c r="O1218" s="74"/>
      <c r="P1218" s="74"/>
      <c r="Q1218" s="74"/>
      <c r="R1218" s="74"/>
      <c r="S1218" s="74"/>
      <c r="T1218" s="74"/>
      <c r="U1218" s="74"/>
      <c r="V1218" s="74"/>
      <c r="W1218" s="74"/>
      <c r="X1218" s="74"/>
      <c r="Y1218" s="74"/>
    </row>
    <row r="1219" spans="1:25" ht="18">
      <c r="A1219" s="74"/>
      <c r="B1219" s="75"/>
      <c r="C1219" s="76"/>
      <c r="D1219" s="75"/>
      <c r="E1219" s="74"/>
      <c r="F1219" s="75"/>
      <c r="G1219" s="75"/>
      <c r="H1219" s="75"/>
      <c r="I1219" s="75"/>
      <c r="J1219" s="74"/>
      <c r="K1219" s="74"/>
      <c r="L1219" s="75"/>
      <c r="M1219" s="74"/>
      <c r="N1219" s="74"/>
      <c r="O1219" s="74"/>
      <c r="P1219" s="74"/>
      <c r="Q1219" s="74"/>
      <c r="R1219" s="74"/>
      <c r="S1219" s="74"/>
      <c r="T1219" s="74"/>
      <c r="U1219" s="74"/>
      <c r="V1219" s="74"/>
      <c r="W1219" s="74"/>
      <c r="X1219" s="74"/>
      <c r="Y1219" s="74"/>
    </row>
    <row r="1220" spans="1:25" ht="18">
      <c r="A1220" s="74"/>
      <c r="B1220" s="75"/>
      <c r="C1220" s="76"/>
      <c r="D1220" s="75"/>
      <c r="E1220" s="74"/>
      <c r="F1220" s="75"/>
      <c r="G1220" s="75"/>
      <c r="H1220" s="75"/>
      <c r="I1220" s="75"/>
      <c r="J1220" s="74"/>
      <c r="K1220" s="74"/>
      <c r="L1220" s="75"/>
      <c r="M1220" s="74"/>
      <c r="N1220" s="74"/>
      <c r="O1220" s="74"/>
      <c r="P1220" s="74"/>
      <c r="Q1220" s="74"/>
      <c r="R1220" s="74"/>
      <c r="S1220" s="74"/>
      <c r="T1220" s="74"/>
      <c r="U1220" s="74"/>
      <c r="V1220" s="74"/>
      <c r="W1220" s="74"/>
      <c r="X1220" s="74"/>
      <c r="Y1220" s="74"/>
    </row>
    <row r="1221" spans="1:25" ht="18">
      <c r="A1221" s="74"/>
      <c r="B1221" s="75"/>
      <c r="C1221" s="76"/>
      <c r="D1221" s="75"/>
      <c r="E1221" s="74"/>
      <c r="F1221" s="75"/>
      <c r="G1221" s="75"/>
      <c r="H1221" s="75"/>
      <c r="I1221" s="75"/>
      <c r="J1221" s="74"/>
      <c r="K1221" s="74"/>
      <c r="L1221" s="75"/>
      <c r="M1221" s="74"/>
      <c r="N1221" s="74"/>
      <c r="O1221" s="74"/>
      <c r="P1221" s="74"/>
      <c r="Q1221" s="74"/>
      <c r="R1221" s="74"/>
      <c r="S1221" s="74"/>
      <c r="T1221" s="74"/>
      <c r="U1221" s="74"/>
      <c r="V1221" s="74"/>
      <c r="W1221" s="74"/>
      <c r="X1221" s="74"/>
      <c r="Y1221" s="74"/>
    </row>
    <row r="1222" spans="1:25" ht="18">
      <c r="A1222" s="74"/>
      <c r="B1222" s="75"/>
      <c r="C1222" s="76"/>
      <c r="D1222" s="75"/>
      <c r="E1222" s="74"/>
      <c r="F1222" s="75"/>
      <c r="G1222" s="75"/>
      <c r="H1222" s="75"/>
      <c r="I1222" s="75"/>
      <c r="J1222" s="74"/>
      <c r="K1222" s="74"/>
      <c r="L1222" s="75"/>
      <c r="M1222" s="74"/>
      <c r="N1222" s="74"/>
      <c r="O1222" s="74"/>
      <c r="P1222" s="74"/>
      <c r="Q1222" s="74"/>
      <c r="R1222" s="74"/>
      <c r="S1222" s="74"/>
      <c r="T1222" s="74"/>
      <c r="U1222" s="74"/>
      <c r="V1222" s="74"/>
      <c r="W1222" s="74"/>
      <c r="X1222" s="74"/>
      <c r="Y1222" s="74"/>
    </row>
    <row r="1223" spans="1:25" ht="18">
      <c r="A1223" s="74"/>
      <c r="B1223" s="75"/>
      <c r="C1223" s="76"/>
      <c r="D1223" s="75"/>
      <c r="E1223" s="74"/>
      <c r="F1223" s="75"/>
      <c r="G1223" s="75"/>
      <c r="H1223" s="75"/>
      <c r="I1223" s="75"/>
      <c r="J1223" s="74"/>
      <c r="K1223" s="74"/>
      <c r="L1223" s="75"/>
      <c r="M1223" s="74"/>
      <c r="N1223" s="74"/>
      <c r="O1223" s="74"/>
      <c r="P1223" s="74"/>
      <c r="Q1223" s="74"/>
      <c r="R1223" s="74"/>
      <c r="S1223" s="74"/>
      <c r="T1223" s="74"/>
      <c r="U1223" s="74"/>
      <c r="V1223" s="74"/>
      <c r="W1223" s="74"/>
      <c r="X1223" s="74"/>
      <c r="Y1223" s="74"/>
    </row>
    <row r="1224" spans="1:25" ht="18">
      <c r="A1224" s="74"/>
      <c r="B1224" s="75"/>
      <c r="C1224" s="76"/>
      <c r="D1224" s="75"/>
      <c r="E1224" s="74"/>
      <c r="F1224" s="75"/>
      <c r="G1224" s="75"/>
      <c r="H1224" s="75"/>
      <c r="I1224" s="75"/>
      <c r="J1224" s="74"/>
      <c r="K1224" s="74"/>
      <c r="L1224" s="75"/>
      <c r="M1224" s="74"/>
      <c r="N1224" s="74"/>
      <c r="O1224" s="74"/>
      <c r="P1224" s="74"/>
      <c r="Q1224" s="74"/>
      <c r="R1224" s="74"/>
      <c r="S1224" s="74"/>
      <c r="T1224" s="74"/>
      <c r="U1224" s="74"/>
      <c r="V1224" s="74"/>
      <c r="W1224" s="74"/>
      <c r="X1224" s="74"/>
      <c r="Y1224" s="74"/>
    </row>
    <row r="1225" spans="1:25" ht="18">
      <c r="A1225" s="74"/>
      <c r="B1225" s="75"/>
      <c r="C1225" s="76"/>
      <c r="D1225" s="75"/>
      <c r="E1225" s="74"/>
      <c r="F1225" s="75"/>
      <c r="G1225" s="75"/>
      <c r="H1225" s="75"/>
      <c r="I1225" s="75"/>
      <c r="J1225" s="74"/>
      <c r="K1225" s="74"/>
      <c r="L1225" s="75"/>
      <c r="M1225" s="74"/>
      <c r="N1225" s="74"/>
      <c r="O1225" s="74"/>
      <c r="P1225" s="74"/>
      <c r="Q1225" s="74"/>
      <c r="R1225" s="74"/>
      <c r="S1225" s="74"/>
      <c r="T1225" s="74"/>
      <c r="U1225" s="74"/>
      <c r="V1225" s="74"/>
      <c r="W1225" s="74"/>
      <c r="X1225" s="74"/>
      <c r="Y1225" s="74"/>
    </row>
    <row r="1226" spans="1:25" ht="18">
      <c r="A1226" s="74"/>
      <c r="B1226" s="75"/>
      <c r="C1226" s="76"/>
      <c r="D1226" s="75"/>
      <c r="E1226" s="74"/>
      <c r="F1226" s="75"/>
      <c r="G1226" s="75"/>
      <c r="H1226" s="75"/>
      <c r="I1226" s="75"/>
      <c r="J1226" s="74"/>
      <c r="K1226" s="74"/>
      <c r="L1226" s="75"/>
      <c r="M1226" s="74"/>
      <c r="N1226" s="74"/>
      <c r="O1226" s="74"/>
      <c r="P1226" s="74"/>
      <c r="Q1226" s="74"/>
      <c r="R1226" s="74"/>
      <c r="S1226" s="74"/>
      <c r="T1226" s="74"/>
      <c r="U1226" s="74"/>
      <c r="V1226" s="74"/>
      <c r="W1226" s="74"/>
      <c r="X1226" s="74"/>
      <c r="Y1226" s="74"/>
    </row>
    <row r="1227" spans="1:25" ht="18">
      <c r="A1227" s="74"/>
      <c r="B1227" s="75"/>
      <c r="C1227" s="76"/>
      <c r="D1227" s="75"/>
      <c r="E1227" s="74"/>
      <c r="F1227" s="75"/>
      <c r="G1227" s="75"/>
      <c r="H1227" s="75"/>
      <c r="I1227" s="75"/>
      <c r="J1227" s="74"/>
      <c r="K1227" s="74"/>
      <c r="L1227" s="75"/>
      <c r="M1227" s="74"/>
      <c r="N1227" s="74"/>
      <c r="O1227" s="74"/>
      <c r="P1227" s="74"/>
      <c r="Q1227" s="74"/>
      <c r="R1227" s="74"/>
      <c r="S1227" s="74"/>
      <c r="T1227" s="74"/>
      <c r="U1227" s="74"/>
      <c r="V1227" s="74"/>
      <c r="W1227" s="74"/>
      <c r="X1227" s="74"/>
      <c r="Y1227" s="74"/>
    </row>
    <row r="1228" spans="1:25" ht="18">
      <c r="A1228" s="74"/>
      <c r="B1228" s="75"/>
      <c r="C1228" s="76"/>
      <c r="D1228" s="75"/>
      <c r="E1228" s="74"/>
      <c r="F1228" s="75"/>
      <c r="G1228" s="75"/>
      <c r="H1228" s="75"/>
      <c r="I1228" s="75"/>
      <c r="J1228" s="74"/>
      <c r="K1228" s="74"/>
      <c r="L1228" s="75"/>
      <c r="M1228" s="74"/>
      <c r="N1228" s="74"/>
      <c r="O1228" s="74"/>
      <c r="P1228" s="74"/>
      <c r="Q1228" s="74"/>
      <c r="R1228" s="74"/>
      <c r="S1228" s="74"/>
      <c r="T1228" s="74"/>
      <c r="U1228" s="74"/>
      <c r="V1228" s="74"/>
      <c r="W1228" s="74"/>
      <c r="X1228" s="74"/>
      <c r="Y1228" s="74"/>
    </row>
    <row r="1229" spans="1:25" ht="18">
      <c r="A1229" s="74"/>
      <c r="B1229" s="75"/>
      <c r="C1229" s="76"/>
      <c r="D1229" s="75"/>
      <c r="E1229" s="74"/>
      <c r="F1229" s="75"/>
      <c r="G1229" s="75"/>
      <c r="H1229" s="75"/>
      <c r="I1229" s="75"/>
      <c r="J1229" s="74"/>
      <c r="K1229" s="74"/>
      <c r="L1229" s="75"/>
      <c r="M1229" s="74"/>
      <c r="N1229" s="74"/>
      <c r="O1229" s="74"/>
      <c r="P1229" s="74"/>
      <c r="Q1229" s="74"/>
      <c r="R1229" s="74"/>
      <c r="S1229" s="74"/>
      <c r="T1229" s="74"/>
      <c r="U1229" s="74"/>
      <c r="V1229" s="74"/>
      <c r="W1229" s="74"/>
      <c r="X1229" s="74"/>
      <c r="Y1229" s="74"/>
    </row>
    <row r="1230" spans="1:25" ht="18">
      <c r="A1230" s="74"/>
      <c r="B1230" s="75"/>
      <c r="C1230" s="76"/>
      <c r="D1230" s="75"/>
      <c r="E1230" s="74"/>
      <c r="F1230" s="75"/>
      <c r="G1230" s="75"/>
      <c r="H1230" s="75"/>
      <c r="I1230" s="75"/>
      <c r="J1230" s="74"/>
      <c r="K1230" s="74"/>
      <c r="L1230" s="75"/>
      <c r="M1230" s="74"/>
      <c r="N1230" s="74"/>
      <c r="O1230" s="74"/>
      <c r="P1230" s="74"/>
      <c r="Q1230" s="74"/>
      <c r="R1230" s="74"/>
      <c r="S1230" s="74"/>
      <c r="T1230" s="74"/>
      <c r="U1230" s="74"/>
      <c r="V1230" s="74"/>
      <c r="W1230" s="74"/>
      <c r="X1230" s="74"/>
      <c r="Y1230" s="74"/>
    </row>
    <row r="1231" spans="1:25" ht="18">
      <c r="A1231" s="74"/>
      <c r="B1231" s="75"/>
      <c r="C1231" s="76"/>
      <c r="D1231" s="75"/>
      <c r="E1231" s="74"/>
      <c r="F1231" s="75"/>
      <c r="G1231" s="75"/>
      <c r="H1231" s="75"/>
      <c r="I1231" s="75"/>
      <c r="J1231" s="74"/>
      <c r="K1231" s="74"/>
      <c r="L1231" s="75"/>
      <c r="M1231" s="74"/>
      <c r="N1231" s="74"/>
      <c r="O1231" s="74"/>
      <c r="P1231" s="74"/>
      <c r="Q1231" s="74"/>
      <c r="R1231" s="74"/>
      <c r="S1231" s="74"/>
      <c r="T1231" s="74"/>
      <c r="U1231" s="74"/>
      <c r="V1231" s="74"/>
      <c r="W1231" s="74"/>
      <c r="X1231" s="74"/>
      <c r="Y1231" s="74"/>
    </row>
    <row r="1232" spans="1:25" ht="18">
      <c r="A1232" s="74"/>
      <c r="B1232" s="75"/>
      <c r="C1232" s="76"/>
      <c r="D1232" s="75"/>
      <c r="E1232" s="74"/>
      <c r="F1232" s="75"/>
      <c r="G1232" s="75"/>
      <c r="H1232" s="75"/>
      <c r="I1232" s="75"/>
      <c r="J1232" s="74"/>
      <c r="K1232" s="74"/>
      <c r="L1232" s="75"/>
      <c r="M1232" s="74"/>
      <c r="N1232" s="74"/>
      <c r="O1232" s="74"/>
      <c r="P1232" s="74"/>
      <c r="Q1232" s="74"/>
      <c r="R1232" s="74"/>
      <c r="S1232" s="74"/>
      <c r="T1232" s="74"/>
      <c r="U1232" s="74"/>
      <c r="V1232" s="74"/>
      <c r="W1232" s="74"/>
      <c r="X1232" s="74"/>
      <c r="Y1232" s="74"/>
    </row>
    <row r="1233" spans="1:25" ht="18">
      <c r="A1233" s="74"/>
      <c r="B1233" s="75"/>
      <c r="C1233" s="76"/>
      <c r="D1233" s="75"/>
      <c r="E1233" s="74"/>
      <c r="F1233" s="75"/>
      <c r="G1233" s="75"/>
      <c r="H1233" s="75"/>
      <c r="I1233" s="75"/>
      <c r="J1233" s="74"/>
      <c r="K1233" s="74"/>
      <c r="L1233" s="75"/>
      <c r="M1233" s="74"/>
      <c r="N1233" s="74"/>
      <c r="O1233" s="74"/>
      <c r="P1233" s="74"/>
      <c r="Q1233" s="74"/>
      <c r="R1233" s="74"/>
      <c r="S1233" s="74"/>
      <c r="T1233" s="74"/>
      <c r="U1233" s="74"/>
      <c r="V1233" s="74"/>
      <c r="W1233" s="74"/>
      <c r="X1233" s="74"/>
      <c r="Y1233" s="74"/>
    </row>
    <row r="1234" spans="1:25" ht="18">
      <c r="A1234" s="74"/>
      <c r="B1234" s="75"/>
      <c r="C1234" s="76"/>
      <c r="D1234" s="75"/>
      <c r="E1234" s="74"/>
      <c r="F1234" s="75"/>
      <c r="G1234" s="75"/>
      <c r="H1234" s="75"/>
      <c r="I1234" s="75"/>
      <c r="J1234" s="74"/>
      <c r="K1234" s="74"/>
      <c r="L1234" s="75"/>
      <c r="M1234" s="74"/>
      <c r="N1234" s="74"/>
      <c r="O1234" s="74"/>
      <c r="P1234" s="74"/>
      <c r="Q1234" s="74"/>
      <c r="R1234" s="74"/>
      <c r="S1234" s="74"/>
      <c r="T1234" s="74"/>
      <c r="U1234" s="74"/>
      <c r="V1234" s="74"/>
      <c r="W1234" s="74"/>
      <c r="X1234" s="74"/>
      <c r="Y1234" s="74"/>
    </row>
    <row r="1235" spans="1:25" ht="18">
      <c r="A1235" s="74"/>
      <c r="B1235" s="75"/>
      <c r="C1235" s="76"/>
      <c r="D1235" s="75"/>
      <c r="E1235" s="74"/>
      <c r="F1235" s="75"/>
      <c r="G1235" s="75"/>
      <c r="H1235" s="75"/>
      <c r="I1235" s="75"/>
      <c r="J1235" s="74"/>
      <c r="K1235" s="74"/>
      <c r="L1235" s="75"/>
      <c r="M1235" s="74"/>
      <c r="N1235" s="74"/>
      <c r="O1235" s="74"/>
      <c r="P1235" s="74"/>
      <c r="Q1235" s="74"/>
      <c r="R1235" s="74"/>
      <c r="S1235" s="74"/>
      <c r="T1235" s="74"/>
      <c r="U1235" s="74"/>
      <c r="V1235" s="74"/>
      <c r="W1235" s="74"/>
      <c r="X1235" s="74"/>
      <c r="Y1235" s="74"/>
    </row>
    <row r="1236" spans="1:25" ht="18">
      <c r="A1236" s="74"/>
      <c r="B1236" s="75"/>
      <c r="C1236" s="76"/>
      <c r="D1236" s="75"/>
      <c r="E1236" s="74"/>
      <c r="F1236" s="75"/>
      <c r="G1236" s="75"/>
      <c r="H1236" s="75"/>
      <c r="I1236" s="75"/>
      <c r="J1236" s="74"/>
      <c r="K1236" s="74"/>
      <c r="L1236" s="75"/>
      <c r="M1236" s="74"/>
      <c r="N1236" s="74"/>
      <c r="O1236" s="74"/>
      <c r="P1236" s="74"/>
      <c r="Q1236" s="74"/>
      <c r="R1236" s="74"/>
      <c r="S1236" s="74"/>
      <c r="T1236" s="74"/>
      <c r="U1236" s="74"/>
      <c r="V1236" s="74"/>
      <c r="W1236" s="74"/>
      <c r="X1236" s="74"/>
      <c r="Y1236" s="74"/>
    </row>
    <row r="1237" spans="1:25" ht="18">
      <c r="A1237" s="74"/>
      <c r="B1237" s="75"/>
      <c r="C1237" s="76"/>
      <c r="D1237" s="75"/>
      <c r="E1237" s="74"/>
      <c r="F1237" s="75"/>
      <c r="G1237" s="75"/>
      <c r="H1237" s="75"/>
      <c r="I1237" s="75"/>
      <c r="J1237" s="74"/>
      <c r="K1237" s="74"/>
      <c r="L1237" s="75"/>
      <c r="M1237" s="74"/>
      <c r="N1237" s="74"/>
      <c r="O1237" s="74"/>
      <c r="P1237" s="74"/>
      <c r="Q1237" s="74"/>
      <c r="R1237" s="74"/>
      <c r="S1237" s="74"/>
      <c r="T1237" s="74"/>
      <c r="U1237" s="74"/>
      <c r="V1237" s="74"/>
      <c r="W1237" s="74"/>
      <c r="X1237" s="74"/>
      <c r="Y1237" s="74"/>
    </row>
    <row r="1238" spans="1:25" ht="18">
      <c r="A1238" s="74"/>
      <c r="B1238" s="75"/>
      <c r="C1238" s="76"/>
      <c r="D1238" s="75"/>
      <c r="E1238" s="74"/>
      <c r="F1238" s="75"/>
      <c r="G1238" s="75"/>
      <c r="H1238" s="75"/>
      <c r="I1238" s="75"/>
      <c r="J1238" s="74"/>
      <c r="K1238" s="74"/>
      <c r="L1238" s="75"/>
      <c r="M1238" s="74"/>
      <c r="N1238" s="74"/>
      <c r="O1238" s="74"/>
      <c r="P1238" s="74"/>
      <c r="Q1238" s="74"/>
      <c r="R1238" s="74"/>
      <c r="S1238" s="74"/>
      <c r="T1238" s="74"/>
      <c r="U1238" s="74"/>
      <c r="V1238" s="74"/>
      <c r="W1238" s="74"/>
      <c r="X1238" s="74"/>
      <c r="Y1238" s="74"/>
    </row>
    <row r="1239" spans="1:25" ht="18">
      <c r="A1239" s="74"/>
      <c r="B1239" s="75"/>
      <c r="C1239" s="76"/>
      <c r="D1239" s="75"/>
      <c r="E1239" s="74"/>
      <c r="F1239" s="75"/>
      <c r="G1239" s="75"/>
      <c r="H1239" s="75"/>
      <c r="I1239" s="75"/>
      <c r="J1239" s="74"/>
      <c r="K1239" s="74"/>
      <c r="L1239" s="75"/>
      <c r="M1239" s="74"/>
      <c r="N1239" s="74"/>
      <c r="O1239" s="74"/>
      <c r="P1239" s="74"/>
      <c r="Q1239" s="74"/>
      <c r="R1239" s="74"/>
      <c r="S1239" s="74"/>
      <c r="T1239" s="74"/>
      <c r="U1239" s="74"/>
      <c r="V1239" s="74"/>
      <c r="W1239" s="74"/>
      <c r="X1239" s="74"/>
      <c r="Y1239" s="74"/>
    </row>
    <row r="1240" spans="1:25" ht="18">
      <c r="A1240" s="74"/>
      <c r="B1240" s="75"/>
      <c r="C1240" s="76"/>
      <c r="D1240" s="75"/>
      <c r="E1240" s="74"/>
      <c r="F1240" s="75"/>
      <c r="G1240" s="75"/>
      <c r="H1240" s="75"/>
      <c r="I1240" s="75"/>
      <c r="J1240" s="74"/>
      <c r="K1240" s="74"/>
      <c r="L1240" s="75"/>
      <c r="M1240" s="74"/>
      <c r="N1240" s="74"/>
      <c r="O1240" s="74"/>
      <c r="P1240" s="74"/>
      <c r="Q1240" s="74"/>
      <c r="R1240" s="74"/>
      <c r="S1240" s="74"/>
      <c r="T1240" s="74"/>
      <c r="U1240" s="74"/>
      <c r="V1240" s="74"/>
      <c r="W1240" s="74"/>
      <c r="X1240" s="74"/>
      <c r="Y1240" s="74"/>
    </row>
    <row r="1241" spans="1:25" ht="18">
      <c r="A1241" s="74"/>
      <c r="B1241" s="75"/>
      <c r="C1241" s="76"/>
      <c r="D1241" s="75"/>
      <c r="E1241" s="74"/>
      <c r="F1241" s="75"/>
      <c r="G1241" s="75"/>
      <c r="H1241" s="75"/>
      <c r="I1241" s="75"/>
      <c r="J1241" s="74"/>
      <c r="K1241" s="74"/>
      <c r="L1241" s="75"/>
      <c r="M1241" s="74"/>
      <c r="N1241" s="74"/>
      <c r="O1241" s="74"/>
      <c r="P1241" s="74"/>
      <c r="Q1241" s="74"/>
      <c r="R1241" s="74"/>
      <c r="S1241" s="74"/>
      <c r="T1241" s="74"/>
      <c r="U1241" s="74"/>
      <c r="V1241" s="74"/>
      <c r="W1241" s="74"/>
      <c r="X1241" s="74"/>
      <c r="Y1241" s="74"/>
    </row>
    <row r="1242" spans="1:25" ht="18">
      <c r="A1242" s="74"/>
      <c r="B1242" s="75"/>
      <c r="C1242" s="76"/>
      <c r="D1242" s="75"/>
      <c r="E1242" s="74"/>
      <c r="F1242" s="75"/>
      <c r="G1242" s="75"/>
      <c r="H1242" s="75"/>
      <c r="I1242" s="75"/>
      <c r="J1242" s="74"/>
      <c r="K1242" s="74"/>
      <c r="L1242" s="75"/>
      <c r="M1242" s="74"/>
      <c r="N1242" s="74"/>
      <c r="O1242" s="74"/>
      <c r="P1242" s="74"/>
      <c r="Q1242" s="74"/>
      <c r="R1242" s="74"/>
      <c r="S1242" s="74"/>
      <c r="T1242" s="74"/>
      <c r="U1242" s="74"/>
      <c r="V1242" s="74"/>
      <c r="W1242" s="74"/>
      <c r="X1242" s="74"/>
      <c r="Y1242" s="74"/>
    </row>
    <row r="1243" spans="1:25" ht="18">
      <c r="A1243" s="74"/>
      <c r="B1243" s="75"/>
      <c r="C1243" s="76"/>
      <c r="D1243" s="75"/>
      <c r="E1243" s="74"/>
      <c r="F1243" s="75"/>
      <c r="G1243" s="75"/>
      <c r="H1243" s="75"/>
      <c r="I1243" s="75"/>
      <c r="J1243" s="74"/>
      <c r="K1243" s="74"/>
      <c r="L1243" s="75"/>
      <c r="M1243" s="74"/>
      <c r="N1243" s="74"/>
      <c r="O1243" s="74"/>
      <c r="P1243" s="74"/>
      <c r="Q1243" s="74"/>
      <c r="R1243" s="74"/>
      <c r="S1243" s="74"/>
      <c r="T1243" s="74"/>
      <c r="U1243" s="74"/>
      <c r="V1243" s="74"/>
      <c r="W1243" s="74"/>
      <c r="X1243" s="74"/>
      <c r="Y1243" s="74"/>
    </row>
    <row r="1244" spans="1:25" ht="18">
      <c r="A1244" s="74"/>
      <c r="B1244" s="75"/>
      <c r="C1244" s="76"/>
      <c r="D1244" s="75"/>
      <c r="E1244" s="74"/>
      <c r="F1244" s="75"/>
      <c r="G1244" s="75"/>
      <c r="H1244" s="75"/>
      <c r="I1244" s="75"/>
      <c r="J1244" s="74"/>
      <c r="K1244" s="74"/>
      <c r="L1244" s="75"/>
      <c r="M1244" s="74"/>
      <c r="N1244" s="74"/>
      <c r="O1244" s="74"/>
      <c r="P1244" s="74"/>
      <c r="Q1244" s="74"/>
      <c r="R1244" s="74"/>
      <c r="S1244" s="74"/>
      <c r="T1244" s="74"/>
      <c r="U1244" s="74"/>
      <c r="V1244" s="74"/>
      <c r="W1244" s="74"/>
      <c r="X1244" s="74"/>
      <c r="Y1244" s="74"/>
    </row>
    <row r="1245" spans="1:25" ht="18">
      <c r="A1245" s="74"/>
      <c r="B1245" s="75"/>
      <c r="C1245" s="76"/>
      <c r="D1245" s="75"/>
      <c r="E1245" s="74"/>
      <c r="F1245" s="75"/>
      <c r="G1245" s="75"/>
      <c r="H1245" s="75"/>
      <c r="I1245" s="75"/>
      <c r="J1245" s="74"/>
      <c r="K1245" s="74"/>
      <c r="L1245" s="75"/>
      <c r="M1245" s="74"/>
      <c r="N1245" s="74"/>
      <c r="O1245" s="74"/>
      <c r="P1245" s="74"/>
      <c r="Q1245" s="74"/>
      <c r="R1245" s="74"/>
      <c r="S1245" s="74"/>
      <c r="T1245" s="74"/>
      <c r="U1245" s="74"/>
      <c r="V1245" s="74"/>
      <c r="W1245" s="74"/>
      <c r="X1245" s="74"/>
      <c r="Y1245" s="74"/>
    </row>
    <row r="1246" spans="1:25" ht="18">
      <c r="A1246" s="74"/>
      <c r="B1246" s="75"/>
      <c r="C1246" s="76"/>
      <c r="D1246" s="75"/>
      <c r="E1246" s="74"/>
      <c r="F1246" s="75"/>
      <c r="G1246" s="75"/>
      <c r="H1246" s="75"/>
      <c r="I1246" s="75"/>
      <c r="J1246" s="74"/>
      <c r="K1246" s="74"/>
      <c r="L1246" s="75"/>
      <c r="M1246" s="74"/>
      <c r="N1246" s="74"/>
      <c r="O1246" s="74"/>
      <c r="P1246" s="74"/>
      <c r="Q1246" s="74"/>
      <c r="R1246" s="74"/>
      <c r="S1246" s="74"/>
      <c r="T1246" s="74"/>
      <c r="U1246" s="74"/>
      <c r="V1246" s="74"/>
      <c r="W1246" s="74"/>
      <c r="X1246" s="74"/>
      <c r="Y1246" s="74"/>
    </row>
    <row r="1247" spans="1:25" ht="18">
      <c r="A1247" s="74"/>
      <c r="B1247" s="75"/>
      <c r="C1247" s="76"/>
      <c r="D1247" s="75"/>
      <c r="E1247" s="74"/>
      <c r="F1247" s="75"/>
      <c r="G1247" s="75"/>
      <c r="H1247" s="75"/>
      <c r="I1247" s="75"/>
      <c r="J1247" s="74"/>
      <c r="K1247" s="74"/>
      <c r="L1247" s="75"/>
      <c r="M1247" s="74"/>
      <c r="N1247" s="74"/>
      <c r="O1247" s="74"/>
      <c r="P1247" s="74"/>
      <c r="Q1247" s="74"/>
      <c r="R1247" s="74"/>
      <c r="S1247" s="74"/>
      <c r="T1247" s="74"/>
      <c r="U1247" s="74"/>
      <c r="V1247" s="74"/>
      <c r="W1247" s="74"/>
      <c r="X1247" s="74"/>
      <c r="Y1247" s="74"/>
    </row>
    <row r="1248" spans="1:25" ht="18">
      <c r="A1248" s="74"/>
      <c r="B1248" s="75"/>
      <c r="C1248" s="76"/>
      <c r="D1248" s="75"/>
      <c r="E1248" s="74"/>
      <c r="F1248" s="75"/>
      <c r="G1248" s="75"/>
      <c r="H1248" s="75"/>
      <c r="I1248" s="75"/>
      <c r="J1248" s="74"/>
      <c r="K1248" s="74"/>
      <c r="L1248" s="75"/>
      <c r="M1248" s="74"/>
      <c r="N1248" s="74"/>
      <c r="O1248" s="74"/>
      <c r="P1248" s="74"/>
      <c r="Q1248" s="74"/>
      <c r="R1248" s="74"/>
      <c r="S1248" s="74"/>
      <c r="T1248" s="74"/>
      <c r="U1248" s="74"/>
      <c r="V1248" s="74"/>
      <c r="W1248" s="74"/>
      <c r="X1248" s="74"/>
      <c r="Y1248" s="74"/>
    </row>
    <row r="1249" spans="1:25" ht="18">
      <c r="A1249" s="74"/>
      <c r="B1249" s="75"/>
      <c r="C1249" s="76"/>
      <c r="D1249" s="75"/>
      <c r="E1249" s="74"/>
      <c r="F1249" s="75"/>
      <c r="G1249" s="75"/>
      <c r="H1249" s="75"/>
      <c r="I1249" s="75"/>
      <c r="J1249" s="74"/>
      <c r="K1249" s="74"/>
      <c r="L1249" s="75"/>
      <c r="M1249" s="74"/>
      <c r="N1249" s="74"/>
      <c r="O1249" s="74"/>
      <c r="P1249" s="74"/>
      <c r="Q1249" s="74"/>
      <c r="R1249" s="74"/>
      <c r="S1249" s="74"/>
      <c r="T1249" s="74"/>
      <c r="U1249" s="74"/>
      <c r="V1249" s="74"/>
      <c r="W1249" s="74"/>
      <c r="X1249" s="74"/>
      <c r="Y1249" s="74"/>
    </row>
    <row r="1250" spans="1:25" ht="18">
      <c r="A1250" s="74"/>
      <c r="B1250" s="75"/>
      <c r="C1250" s="76"/>
      <c r="D1250" s="75"/>
      <c r="E1250" s="74"/>
      <c r="F1250" s="75"/>
      <c r="G1250" s="75"/>
      <c r="H1250" s="75"/>
      <c r="I1250" s="75"/>
      <c r="J1250" s="74"/>
      <c r="K1250" s="74"/>
      <c r="L1250" s="75"/>
      <c r="M1250" s="74"/>
      <c r="N1250" s="74"/>
      <c r="O1250" s="74"/>
      <c r="P1250" s="74"/>
      <c r="Q1250" s="74"/>
      <c r="R1250" s="74"/>
      <c r="S1250" s="74"/>
      <c r="T1250" s="74"/>
      <c r="U1250" s="74"/>
      <c r="V1250" s="74"/>
      <c r="W1250" s="74"/>
      <c r="X1250" s="74"/>
      <c r="Y1250" s="74"/>
    </row>
    <row r="1251" spans="1:25" ht="18">
      <c r="A1251" s="74"/>
      <c r="B1251" s="75"/>
      <c r="C1251" s="76"/>
      <c r="D1251" s="75"/>
      <c r="E1251" s="74"/>
      <c r="F1251" s="75"/>
      <c r="G1251" s="75"/>
      <c r="H1251" s="75"/>
      <c r="I1251" s="75"/>
      <c r="J1251" s="74"/>
      <c r="K1251" s="74"/>
      <c r="L1251" s="75"/>
      <c r="M1251" s="74"/>
      <c r="N1251" s="74"/>
      <c r="O1251" s="74"/>
      <c r="P1251" s="74"/>
      <c r="Q1251" s="74"/>
      <c r="R1251" s="74"/>
      <c r="S1251" s="74"/>
      <c r="T1251" s="74"/>
      <c r="U1251" s="74"/>
      <c r="V1251" s="74"/>
      <c r="W1251" s="74"/>
      <c r="X1251" s="74"/>
      <c r="Y1251" s="74"/>
    </row>
    <row r="1252" spans="1:25" ht="18">
      <c r="A1252" s="74"/>
      <c r="B1252" s="75"/>
      <c r="C1252" s="76"/>
      <c r="D1252" s="75"/>
      <c r="E1252" s="74"/>
      <c r="F1252" s="75"/>
      <c r="G1252" s="75"/>
      <c r="H1252" s="75"/>
      <c r="I1252" s="75"/>
      <c r="J1252" s="74"/>
      <c r="K1252" s="74"/>
      <c r="L1252" s="75"/>
      <c r="M1252" s="74"/>
      <c r="N1252" s="74"/>
      <c r="O1252" s="74"/>
      <c r="P1252" s="74"/>
      <c r="Q1252" s="74"/>
      <c r="R1252" s="74"/>
      <c r="S1252" s="74"/>
      <c r="T1252" s="74"/>
      <c r="U1252" s="74"/>
      <c r="V1252" s="74"/>
      <c r="W1252" s="74"/>
      <c r="X1252" s="74"/>
      <c r="Y1252" s="74"/>
    </row>
    <row r="1253" spans="1:25" ht="18">
      <c r="A1253" s="74"/>
      <c r="B1253" s="75"/>
      <c r="C1253" s="76"/>
      <c r="D1253" s="75"/>
      <c r="E1253" s="74"/>
      <c r="F1253" s="75"/>
      <c r="G1253" s="75"/>
      <c r="H1253" s="75"/>
      <c r="I1253" s="75"/>
      <c r="J1253" s="74"/>
      <c r="K1253" s="74"/>
      <c r="L1253" s="75"/>
      <c r="M1253" s="74"/>
      <c r="N1253" s="74"/>
      <c r="O1253" s="74"/>
      <c r="P1253" s="74"/>
      <c r="Q1253" s="74"/>
      <c r="R1253" s="74"/>
      <c r="S1253" s="74"/>
      <c r="T1253" s="74"/>
      <c r="U1253" s="74"/>
      <c r="V1253" s="74"/>
      <c r="W1253" s="74"/>
      <c r="X1253" s="74"/>
      <c r="Y1253" s="74"/>
    </row>
    <row r="1254" spans="1:25" ht="18">
      <c r="A1254" s="74"/>
      <c r="B1254" s="75"/>
      <c r="C1254" s="76"/>
      <c r="D1254" s="75"/>
      <c r="E1254" s="74"/>
      <c r="F1254" s="75"/>
      <c r="G1254" s="75"/>
      <c r="H1254" s="75"/>
      <c r="I1254" s="75"/>
      <c r="J1254" s="74"/>
      <c r="K1254" s="74"/>
      <c r="L1254" s="75"/>
      <c r="M1254" s="74"/>
      <c r="N1254" s="74"/>
      <c r="O1254" s="74"/>
      <c r="P1254" s="74"/>
      <c r="Q1254" s="74"/>
      <c r="R1254" s="74"/>
      <c r="S1254" s="74"/>
      <c r="T1254" s="74"/>
      <c r="U1254" s="74"/>
      <c r="V1254" s="74"/>
      <c r="W1254" s="74"/>
      <c r="X1254" s="74"/>
      <c r="Y1254" s="74"/>
    </row>
    <row r="1255" spans="1:25" ht="18">
      <c r="A1255" s="74"/>
      <c r="B1255" s="75"/>
      <c r="C1255" s="76"/>
      <c r="D1255" s="75"/>
      <c r="E1255" s="74"/>
      <c r="F1255" s="75"/>
      <c r="G1255" s="75"/>
      <c r="H1255" s="75"/>
      <c r="I1255" s="75"/>
      <c r="J1255" s="74"/>
      <c r="K1255" s="74"/>
      <c r="L1255" s="75"/>
      <c r="M1255" s="74"/>
      <c r="N1255" s="74"/>
      <c r="O1255" s="74"/>
      <c r="P1255" s="74"/>
      <c r="Q1255" s="74"/>
      <c r="R1255" s="74"/>
      <c r="S1255" s="74"/>
      <c r="T1255" s="74"/>
      <c r="U1255" s="74"/>
      <c r="V1255" s="74"/>
      <c r="W1255" s="74"/>
      <c r="X1255" s="74"/>
      <c r="Y1255" s="74"/>
    </row>
    <row r="1256" spans="1:25" ht="18">
      <c r="A1256" s="74"/>
      <c r="B1256" s="75"/>
      <c r="C1256" s="76"/>
      <c r="D1256" s="75"/>
      <c r="E1256" s="74"/>
      <c r="F1256" s="75"/>
      <c r="G1256" s="75"/>
      <c r="H1256" s="75"/>
      <c r="I1256" s="75"/>
      <c r="J1256" s="74"/>
      <c r="K1256" s="74"/>
      <c r="L1256" s="75"/>
      <c r="M1256" s="74"/>
      <c r="N1256" s="74"/>
      <c r="O1256" s="74"/>
      <c r="P1256" s="74"/>
      <c r="Q1256" s="74"/>
      <c r="R1256" s="74"/>
      <c r="S1256" s="74"/>
      <c r="T1256" s="74"/>
      <c r="U1256" s="74"/>
      <c r="V1256" s="74"/>
      <c r="W1256" s="74"/>
      <c r="X1256" s="74"/>
      <c r="Y1256" s="74"/>
    </row>
    <row r="1257" spans="1:25" ht="18">
      <c r="A1257" s="74"/>
      <c r="B1257" s="75"/>
      <c r="C1257" s="76"/>
      <c r="D1257" s="75"/>
      <c r="E1257" s="74"/>
      <c r="F1257" s="75"/>
      <c r="G1257" s="75"/>
      <c r="H1257" s="75"/>
      <c r="I1257" s="75"/>
      <c r="J1257" s="74"/>
      <c r="K1257" s="74"/>
      <c r="L1257" s="75"/>
      <c r="M1257" s="74"/>
      <c r="N1257" s="74"/>
      <c r="O1257" s="74"/>
      <c r="P1257" s="74"/>
      <c r="Q1257" s="74"/>
      <c r="R1257" s="74"/>
      <c r="S1257" s="74"/>
      <c r="T1257" s="74"/>
      <c r="U1257" s="74"/>
      <c r="V1257" s="74"/>
      <c r="W1257" s="74"/>
      <c r="X1257" s="74"/>
      <c r="Y1257" s="74"/>
    </row>
    <row r="1258" spans="1:25" ht="18">
      <c r="A1258" s="74"/>
      <c r="B1258" s="75"/>
      <c r="C1258" s="76"/>
      <c r="D1258" s="75"/>
      <c r="E1258" s="74"/>
      <c r="F1258" s="75"/>
      <c r="G1258" s="75"/>
      <c r="H1258" s="75"/>
      <c r="I1258" s="75"/>
      <c r="J1258" s="74"/>
      <c r="K1258" s="74"/>
      <c r="L1258" s="75"/>
      <c r="M1258" s="74"/>
      <c r="N1258" s="74"/>
      <c r="O1258" s="74"/>
      <c r="P1258" s="74"/>
      <c r="Q1258" s="74"/>
      <c r="R1258" s="74"/>
      <c r="S1258" s="74"/>
      <c r="T1258" s="74"/>
      <c r="U1258" s="74"/>
      <c r="V1258" s="74"/>
      <c r="W1258" s="74"/>
      <c r="X1258" s="74"/>
      <c r="Y1258" s="74"/>
    </row>
    <row r="1259" spans="1:25" ht="18">
      <c r="A1259" s="74"/>
      <c r="B1259" s="75"/>
      <c r="C1259" s="76"/>
      <c r="D1259" s="75"/>
      <c r="E1259" s="74"/>
      <c r="F1259" s="75"/>
      <c r="G1259" s="75"/>
      <c r="H1259" s="75"/>
      <c r="I1259" s="75"/>
      <c r="J1259" s="74"/>
      <c r="K1259" s="74"/>
      <c r="L1259" s="75"/>
      <c r="M1259" s="74"/>
      <c r="N1259" s="74"/>
      <c r="O1259" s="74"/>
      <c r="P1259" s="74"/>
      <c r="Q1259" s="74"/>
      <c r="R1259" s="74"/>
      <c r="S1259" s="74"/>
      <c r="T1259" s="74"/>
      <c r="U1259" s="74"/>
      <c r="V1259" s="74"/>
      <c r="W1259" s="74"/>
      <c r="X1259" s="74"/>
      <c r="Y1259" s="74"/>
    </row>
    <row r="1260" spans="1:25" ht="18">
      <c r="A1260" s="74"/>
      <c r="B1260" s="75"/>
      <c r="C1260" s="76"/>
      <c r="D1260" s="75"/>
      <c r="E1260" s="74"/>
      <c r="F1260" s="75"/>
      <c r="G1260" s="75"/>
      <c r="H1260" s="75"/>
      <c r="I1260" s="75"/>
      <c r="J1260" s="74"/>
      <c r="K1260" s="74"/>
      <c r="L1260" s="75"/>
      <c r="M1260" s="74"/>
      <c r="N1260" s="74"/>
      <c r="O1260" s="74"/>
      <c r="P1260" s="74"/>
      <c r="Q1260" s="74"/>
      <c r="R1260" s="74"/>
      <c r="S1260" s="74"/>
      <c r="T1260" s="74"/>
      <c r="U1260" s="74"/>
      <c r="V1260" s="74"/>
      <c r="W1260" s="74"/>
      <c r="X1260" s="74"/>
      <c r="Y1260" s="74"/>
    </row>
    <row r="1261" spans="1:25" ht="18">
      <c r="A1261" s="74"/>
      <c r="B1261" s="75"/>
      <c r="C1261" s="76"/>
      <c r="D1261" s="75"/>
      <c r="E1261" s="74"/>
      <c r="F1261" s="75"/>
      <c r="G1261" s="75"/>
      <c r="H1261" s="75"/>
      <c r="I1261" s="75"/>
      <c r="J1261" s="74"/>
      <c r="K1261" s="74"/>
      <c r="L1261" s="75"/>
      <c r="M1261" s="74"/>
      <c r="N1261" s="74"/>
      <c r="O1261" s="74"/>
      <c r="P1261" s="74"/>
      <c r="Q1261" s="74"/>
      <c r="R1261" s="74"/>
      <c r="S1261" s="74"/>
      <c r="T1261" s="74"/>
      <c r="U1261" s="74"/>
      <c r="V1261" s="74"/>
      <c r="W1261" s="74"/>
      <c r="X1261" s="74"/>
      <c r="Y1261" s="74"/>
    </row>
    <row r="1262" spans="1:25" ht="18">
      <c r="A1262" s="74"/>
      <c r="B1262" s="75"/>
      <c r="C1262" s="76"/>
      <c r="D1262" s="75"/>
      <c r="E1262" s="74"/>
      <c r="F1262" s="75"/>
      <c r="G1262" s="75"/>
      <c r="H1262" s="75"/>
      <c r="I1262" s="75"/>
      <c r="J1262" s="74"/>
      <c r="K1262" s="74"/>
      <c r="L1262" s="75"/>
      <c r="M1262" s="74"/>
      <c r="N1262" s="74"/>
      <c r="O1262" s="74"/>
      <c r="P1262" s="74"/>
      <c r="Q1262" s="74"/>
      <c r="R1262" s="74"/>
      <c r="S1262" s="74"/>
      <c r="T1262" s="74"/>
      <c r="U1262" s="74"/>
      <c r="V1262" s="74"/>
      <c r="W1262" s="74"/>
      <c r="X1262" s="74"/>
      <c r="Y1262" s="74"/>
    </row>
    <row r="1263" spans="1:25" ht="18">
      <c r="A1263" s="74"/>
      <c r="B1263" s="75"/>
      <c r="C1263" s="76"/>
      <c r="D1263" s="75"/>
      <c r="E1263" s="74"/>
      <c r="F1263" s="75"/>
      <c r="G1263" s="75"/>
      <c r="H1263" s="75"/>
      <c r="I1263" s="75"/>
      <c r="J1263" s="74"/>
      <c r="K1263" s="74"/>
      <c r="L1263" s="75"/>
      <c r="M1263" s="74"/>
      <c r="N1263" s="74"/>
      <c r="O1263" s="74"/>
      <c r="P1263" s="74"/>
      <c r="Q1263" s="74"/>
      <c r="R1263" s="74"/>
      <c r="S1263" s="74"/>
      <c r="T1263" s="74"/>
      <c r="U1263" s="74"/>
      <c r="V1263" s="74"/>
      <c r="W1263" s="74"/>
      <c r="X1263" s="74"/>
      <c r="Y1263" s="74"/>
    </row>
    <row r="1264" spans="1:25" ht="18">
      <c r="A1264" s="74"/>
      <c r="B1264" s="75"/>
      <c r="C1264" s="76"/>
      <c r="D1264" s="75"/>
      <c r="E1264" s="74"/>
      <c r="F1264" s="75"/>
      <c r="G1264" s="75"/>
      <c r="H1264" s="75"/>
      <c r="I1264" s="75"/>
      <c r="J1264" s="74"/>
      <c r="K1264" s="74"/>
      <c r="L1264" s="75"/>
      <c r="M1264" s="74"/>
      <c r="N1264" s="74"/>
      <c r="O1264" s="74"/>
      <c r="P1264" s="74"/>
      <c r="Q1264" s="74"/>
      <c r="R1264" s="74"/>
      <c r="S1264" s="74"/>
      <c r="T1264" s="74"/>
      <c r="U1264" s="74"/>
      <c r="V1264" s="74"/>
      <c r="W1264" s="74"/>
      <c r="X1264" s="74"/>
      <c r="Y1264" s="74"/>
    </row>
    <row r="1265" spans="1:25" ht="18">
      <c r="A1265" s="74"/>
      <c r="B1265" s="75"/>
      <c r="C1265" s="76"/>
      <c r="D1265" s="75"/>
      <c r="E1265" s="74"/>
      <c r="F1265" s="75"/>
      <c r="G1265" s="75"/>
      <c r="H1265" s="75"/>
      <c r="I1265" s="75"/>
      <c r="J1265" s="74"/>
      <c r="K1265" s="74"/>
      <c r="L1265" s="75"/>
      <c r="M1265" s="74"/>
      <c r="N1265" s="74"/>
      <c r="O1265" s="74"/>
      <c r="P1265" s="74"/>
      <c r="Q1265" s="74"/>
      <c r="R1265" s="74"/>
      <c r="S1265" s="74"/>
      <c r="T1265" s="74"/>
      <c r="U1265" s="74"/>
      <c r="V1265" s="74"/>
      <c r="W1265" s="74"/>
      <c r="X1265" s="74"/>
      <c r="Y1265" s="74"/>
    </row>
    <row r="1266" spans="1:25" ht="18">
      <c r="A1266" s="74"/>
      <c r="B1266" s="75"/>
      <c r="C1266" s="76"/>
      <c r="D1266" s="75"/>
      <c r="E1266" s="74"/>
      <c r="F1266" s="75"/>
      <c r="G1266" s="75"/>
      <c r="H1266" s="75"/>
      <c r="I1266" s="75"/>
      <c r="J1266" s="74"/>
      <c r="K1266" s="74"/>
      <c r="L1266" s="75"/>
      <c r="M1266" s="74"/>
      <c r="N1266" s="74"/>
      <c r="O1266" s="74"/>
      <c r="P1266" s="74"/>
      <c r="Q1266" s="74"/>
      <c r="R1266" s="74"/>
      <c r="S1266" s="74"/>
      <c r="T1266" s="74"/>
      <c r="U1266" s="74"/>
      <c r="V1266" s="74"/>
      <c r="W1266" s="74"/>
      <c r="X1266" s="74"/>
      <c r="Y1266" s="74"/>
    </row>
    <row r="1267" spans="1:25" ht="18">
      <c r="A1267" s="74"/>
      <c r="B1267" s="75"/>
      <c r="C1267" s="76"/>
      <c r="D1267" s="75"/>
      <c r="E1267" s="74"/>
      <c r="F1267" s="75"/>
      <c r="G1267" s="75"/>
      <c r="H1267" s="75"/>
      <c r="I1267" s="75"/>
      <c r="J1267" s="74"/>
      <c r="K1267" s="74"/>
      <c r="L1267" s="75"/>
      <c r="M1267" s="74"/>
      <c r="N1267" s="74"/>
      <c r="O1267" s="74"/>
      <c r="P1267" s="74"/>
      <c r="Q1267" s="74"/>
      <c r="R1267" s="74"/>
      <c r="S1267" s="74"/>
      <c r="T1267" s="74"/>
      <c r="U1267" s="74"/>
      <c r="V1267" s="74"/>
      <c r="W1267" s="74"/>
      <c r="X1267" s="74"/>
      <c r="Y1267" s="74"/>
    </row>
    <row r="1268" spans="1:25" ht="18">
      <c r="A1268" s="74"/>
      <c r="B1268" s="75"/>
      <c r="C1268" s="76"/>
      <c r="D1268" s="75"/>
      <c r="E1268" s="74"/>
      <c r="F1268" s="75"/>
      <c r="G1268" s="75"/>
      <c r="H1268" s="75"/>
      <c r="I1268" s="75"/>
      <c r="J1268" s="74"/>
      <c r="K1268" s="74"/>
      <c r="L1268" s="75"/>
      <c r="M1268" s="74"/>
      <c r="N1268" s="74"/>
      <c r="O1268" s="74"/>
      <c r="P1268" s="74"/>
      <c r="Q1268" s="74"/>
      <c r="R1268" s="74"/>
      <c r="S1268" s="74"/>
      <c r="T1268" s="74"/>
      <c r="U1268" s="74"/>
      <c r="V1268" s="74"/>
      <c r="W1268" s="74"/>
      <c r="X1268" s="74"/>
      <c r="Y1268" s="74"/>
    </row>
    <row r="1269" spans="1:25" ht="18">
      <c r="A1269" s="74"/>
      <c r="B1269" s="75"/>
      <c r="C1269" s="76"/>
      <c r="D1269" s="75"/>
      <c r="E1269" s="74"/>
      <c r="F1269" s="75"/>
      <c r="G1269" s="75"/>
      <c r="H1269" s="75"/>
      <c r="I1269" s="75"/>
      <c r="J1269" s="74"/>
      <c r="K1269" s="74"/>
      <c r="L1269" s="75"/>
      <c r="M1269" s="74"/>
      <c r="N1269" s="74"/>
      <c r="O1269" s="74"/>
      <c r="P1269" s="74"/>
      <c r="Q1269" s="74"/>
      <c r="R1269" s="74"/>
      <c r="S1269" s="74"/>
      <c r="T1269" s="74"/>
      <c r="U1269" s="74"/>
      <c r="V1269" s="74"/>
      <c r="W1269" s="74"/>
      <c r="X1269" s="74"/>
      <c r="Y1269" s="74"/>
    </row>
    <row r="1270" spans="1:25" ht="18">
      <c r="A1270" s="74"/>
      <c r="B1270" s="75"/>
      <c r="C1270" s="76"/>
      <c r="D1270" s="75"/>
      <c r="E1270" s="74"/>
      <c r="F1270" s="75"/>
      <c r="G1270" s="75"/>
      <c r="H1270" s="75"/>
      <c r="I1270" s="75"/>
      <c r="J1270" s="74"/>
      <c r="K1270" s="74"/>
      <c r="L1270" s="75"/>
      <c r="M1270" s="74"/>
      <c r="N1270" s="74"/>
      <c r="O1270" s="74"/>
      <c r="P1270" s="74"/>
      <c r="Q1270" s="74"/>
      <c r="R1270" s="74"/>
      <c r="S1270" s="74"/>
      <c r="T1270" s="74"/>
      <c r="U1270" s="74"/>
      <c r="V1270" s="74"/>
      <c r="W1270" s="74"/>
      <c r="X1270" s="74"/>
      <c r="Y1270" s="74"/>
    </row>
    <row r="1271" spans="1:25" ht="18">
      <c r="A1271" s="108"/>
      <c r="B1271" s="108"/>
      <c r="C1271" s="147"/>
      <c r="D1271" s="148"/>
      <c r="E1271" s="149"/>
      <c r="F1271" s="108"/>
      <c r="G1271" s="108"/>
      <c r="H1271" s="108"/>
      <c r="I1271" s="108"/>
      <c r="J1271" s="108"/>
      <c r="K1271" s="108"/>
      <c r="L1271" s="108"/>
      <c r="M1271" s="108"/>
      <c r="N1271" s="108"/>
      <c r="O1271" s="108"/>
      <c r="P1271" s="108"/>
      <c r="Q1271" s="108"/>
      <c r="R1271" s="108"/>
      <c r="S1271" s="108"/>
      <c r="T1271" s="108"/>
      <c r="U1271" s="108"/>
      <c r="V1271" s="108"/>
      <c r="W1271" s="108"/>
      <c r="X1271" s="108"/>
      <c r="Y1271" s="108"/>
    </row>
  </sheetData>
  <autoFilter ref="C1:C1271" xr:uid="{00000000-0009-0000-0000-000003000000}"/>
  <mergeCells count="3">
    <mergeCell ref="J366:J367"/>
    <mergeCell ref="J455:J458"/>
    <mergeCell ref="J461:J462"/>
  </mergeCells>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0.109375" defaultRowHeight="15" customHeight="1"/>
  <cols>
    <col min="1" max="1" width="7.109375" customWidth="1"/>
    <col min="2" max="2" width="36.6640625" customWidth="1"/>
    <col min="3" max="3" width="26.77734375" customWidth="1"/>
    <col min="4" max="4" width="6.44140625" customWidth="1"/>
    <col min="5" max="5" width="10.6640625" customWidth="1"/>
    <col min="6" max="6" width="7.33203125" customWidth="1"/>
    <col min="7" max="7" width="13.21875" customWidth="1"/>
    <col min="8" max="8" width="8.44140625" customWidth="1"/>
    <col min="9" max="9" width="4.21875" customWidth="1"/>
    <col min="10" max="10" width="4.109375" customWidth="1"/>
    <col min="11" max="11" width="4.44140625" customWidth="1"/>
    <col min="12" max="12" width="16.88671875" customWidth="1"/>
    <col min="13" max="18" width="7.109375" customWidth="1"/>
    <col min="19" max="19" width="25.44140625" customWidth="1"/>
    <col min="20" max="26" width="7.109375" customWidth="1"/>
  </cols>
  <sheetData>
    <row r="1" spans="1:26" ht="18" customHeight="1">
      <c r="A1" s="349" t="s">
        <v>1317</v>
      </c>
      <c r="B1" s="380"/>
      <c r="C1" s="380"/>
      <c r="D1" s="380"/>
      <c r="E1" s="380"/>
      <c r="F1" s="380"/>
      <c r="G1" s="380"/>
      <c r="H1" s="380"/>
      <c r="I1" s="150"/>
      <c r="J1" s="150"/>
      <c r="K1" s="150"/>
      <c r="L1" s="150"/>
      <c r="M1" s="150"/>
      <c r="N1" s="150"/>
      <c r="O1" s="150"/>
      <c r="P1" s="150"/>
      <c r="Q1" s="150"/>
      <c r="R1" s="150"/>
      <c r="S1" s="150"/>
      <c r="T1" s="150"/>
      <c r="U1" s="150"/>
      <c r="V1" s="150"/>
      <c r="W1" s="150"/>
      <c r="X1" s="150"/>
      <c r="Y1" s="150"/>
      <c r="Z1" s="150"/>
    </row>
    <row r="2" spans="1:26" ht="18" customHeight="1">
      <c r="A2" s="150"/>
      <c r="B2" s="150"/>
      <c r="C2" s="150"/>
      <c r="D2" s="150"/>
      <c r="E2" s="150"/>
      <c r="F2" s="150"/>
      <c r="G2" s="151"/>
      <c r="H2" s="150"/>
      <c r="I2" s="150"/>
      <c r="J2" s="150"/>
      <c r="K2" s="150"/>
      <c r="L2" s="150"/>
      <c r="M2" s="150"/>
      <c r="N2" s="150"/>
      <c r="O2" s="150"/>
      <c r="P2" s="150"/>
      <c r="Q2" s="150"/>
      <c r="R2" s="150"/>
      <c r="S2" s="150"/>
      <c r="T2" s="150"/>
      <c r="U2" s="150"/>
      <c r="V2" s="150"/>
      <c r="W2" s="150"/>
      <c r="X2" s="150"/>
      <c r="Y2" s="150"/>
      <c r="Z2" s="150"/>
    </row>
    <row r="3" spans="1:26" ht="18" customHeight="1">
      <c r="A3" s="296" t="s">
        <v>1</v>
      </c>
      <c r="B3" s="47" t="s">
        <v>1318</v>
      </c>
      <c r="C3" s="47" t="s">
        <v>1319</v>
      </c>
      <c r="D3" s="296" t="s">
        <v>1320</v>
      </c>
      <c r="E3" s="296" t="s">
        <v>1321</v>
      </c>
      <c r="F3" s="47" t="s">
        <v>1322</v>
      </c>
      <c r="G3" s="47" t="s">
        <v>1323</v>
      </c>
      <c r="H3" s="296" t="s">
        <v>1324</v>
      </c>
      <c r="I3" s="150"/>
      <c r="J3" s="150"/>
      <c r="K3" s="150"/>
      <c r="L3" s="150"/>
      <c r="M3" s="150"/>
      <c r="N3" s="150"/>
      <c r="O3" s="150"/>
      <c r="P3" s="150"/>
      <c r="Q3" s="150"/>
      <c r="R3" s="150"/>
      <c r="S3" s="150"/>
      <c r="T3" s="150"/>
      <c r="U3" s="150"/>
      <c r="V3" s="150"/>
      <c r="W3" s="150"/>
      <c r="X3" s="150"/>
      <c r="Y3" s="150"/>
      <c r="Z3" s="150"/>
    </row>
    <row r="4" spans="1:26" ht="18" customHeight="1">
      <c r="A4" s="52" t="s">
        <v>6</v>
      </c>
      <c r="B4" s="51" t="s">
        <v>1325</v>
      </c>
      <c r="C4" s="152"/>
      <c r="D4" s="153"/>
      <c r="E4" s="153"/>
      <c r="F4" s="5"/>
      <c r="G4" s="4"/>
      <c r="H4" s="154"/>
      <c r="I4" s="150"/>
      <c r="J4" s="150"/>
      <c r="K4" s="150"/>
      <c r="L4" s="150"/>
      <c r="M4" s="150"/>
      <c r="N4" s="150"/>
      <c r="O4" s="150"/>
      <c r="P4" s="150"/>
      <c r="Q4" s="150"/>
      <c r="R4" s="150"/>
      <c r="S4" s="150"/>
      <c r="T4" s="150"/>
      <c r="U4" s="150"/>
      <c r="V4" s="150"/>
      <c r="W4" s="150"/>
      <c r="X4" s="150"/>
      <c r="Y4" s="150"/>
      <c r="Z4" s="150"/>
    </row>
    <row r="5" spans="1:26" ht="18" customHeight="1">
      <c r="A5" s="49"/>
      <c r="B5" s="51" t="s">
        <v>1326</v>
      </c>
      <c r="C5" s="65"/>
      <c r="D5" s="56"/>
      <c r="E5" s="56"/>
      <c r="F5" s="3"/>
      <c r="G5" s="6"/>
      <c r="H5" s="155"/>
      <c r="I5" s="150"/>
      <c r="J5" s="156"/>
      <c r="K5" s="157"/>
      <c r="L5" s="158" t="s">
        <v>4</v>
      </c>
      <c r="M5" s="150"/>
      <c r="N5" s="150"/>
      <c r="O5" s="150"/>
      <c r="P5" s="150"/>
      <c r="Q5" s="150"/>
      <c r="R5" s="150"/>
      <c r="S5" s="150"/>
      <c r="T5" s="150"/>
      <c r="U5" s="150"/>
      <c r="V5" s="150"/>
      <c r="W5" s="150"/>
      <c r="X5" s="150"/>
      <c r="Y5" s="150"/>
      <c r="Z5" s="150"/>
    </row>
    <row r="6" spans="1:26" ht="50.25" customHeight="1">
      <c r="A6" s="352" t="s">
        <v>1327</v>
      </c>
      <c r="B6" s="354" t="s">
        <v>1328</v>
      </c>
      <c r="C6" s="65" t="s">
        <v>1329</v>
      </c>
      <c r="D6" s="355">
        <v>1.5</v>
      </c>
      <c r="E6" s="355">
        <v>2</v>
      </c>
      <c r="F6" s="355">
        <f>D6*E6</f>
        <v>3</v>
      </c>
      <c r="G6" s="352">
        <f>IF(F6&gt;3,1,IF(F6&gt;2,0.6,IF(F6&gt;1,0.1,IF(F6&gt;0,0.05,0))))</f>
        <v>0.6</v>
      </c>
      <c r="H6" s="353"/>
      <c r="I6" s="320"/>
      <c r="J6" s="159"/>
      <c r="K6" s="7"/>
      <c r="L6" s="160">
        <f>'1. GTPM'!D22</f>
        <v>12589720490.333073</v>
      </c>
      <c r="M6" s="161"/>
      <c r="N6" s="161"/>
      <c r="O6" s="161"/>
      <c r="P6" s="150"/>
      <c r="Q6" s="150"/>
      <c r="R6" s="150"/>
      <c r="S6" s="162">
        <v>3634729628.2799039</v>
      </c>
      <c r="T6" s="150"/>
      <c r="U6" s="150"/>
      <c r="V6" s="150"/>
      <c r="W6" s="150"/>
      <c r="X6" s="150"/>
      <c r="Y6" s="150"/>
      <c r="Z6" s="150"/>
    </row>
    <row r="7" spans="1:26" ht="18" customHeight="1">
      <c r="A7" s="384"/>
      <c r="B7" s="384"/>
      <c r="C7" s="65" t="s">
        <v>1330</v>
      </c>
      <c r="D7" s="384"/>
      <c r="E7" s="384"/>
      <c r="F7" s="384"/>
      <c r="G7" s="384"/>
      <c r="H7" s="384"/>
      <c r="I7" s="321"/>
      <c r="J7" s="151"/>
      <c r="K7" s="151"/>
      <c r="L7" s="151"/>
      <c r="M7" s="151"/>
      <c r="N7" s="150"/>
      <c r="O7" s="150"/>
      <c r="P7" s="150"/>
      <c r="Q7" s="150"/>
      <c r="R7" s="150"/>
      <c r="S7" s="150"/>
      <c r="T7" s="150"/>
      <c r="U7" s="150"/>
      <c r="V7" s="150"/>
      <c r="W7" s="150"/>
      <c r="X7" s="150"/>
      <c r="Y7" s="150"/>
      <c r="Z7" s="150"/>
    </row>
    <row r="8" spans="1:26" ht="18" customHeight="1">
      <c r="A8" s="385"/>
      <c r="B8" s="385"/>
      <c r="C8" s="65" t="s">
        <v>1331</v>
      </c>
      <c r="D8" s="385"/>
      <c r="E8" s="385"/>
      <c r="F8" s="385"/>
      <c r="G8" s="385"/>
      <c r="H8" s="385"/>
      <c r="I8" s="321"/>
      <c r="J8" s="151"/>
      <c r="K8" s="151"/>
      <c r="L8" s="151"/>
      <c r="M8" s="151"/>
      <c r="N8" s="150"/>
      <c r="O8" s="150"/>
      <c r="P8" s="150"/>
      <c r="Q8" s="150"/>
      <c r="R8" s="150"/>
      <c r="S8" s="150"/>
      <c r="T8" s="150"/>
      <c r="U8" s="150"/>
      <c r="V8" s="150"/>
      <c r="W8" s="150"/>
      <c r="X8" s="150"/>
      <c r="Y8" s="150"/>
      <c r="Z8" s="150"/>
    </row>
    <row r="9" spans="1:26" ht="18" customHeight="1">
      <c r="A9" s="352" t="s">
        <v>1332</v>
      </c>
      <c r="B9" s="354" t="s">
        <v>1333</v>
      </c>
      <c r="C9" s="65" t="s">
        <v>1329</v>
      </c>
      <c r="D9" s="355">
        <v>0.5</v>
      </c>
      <c r="E9" s="355">
        <v>3</v>
      </c>
      <c r="F9" s="356">
        <f>D9*E9</f>
        <v>1.5</v>
      </c>
      <c r="G9" s="352">
        <f>IF(F9&gt;3,1,IF(F9&gt;2,0.6,IF(F9&gt;1,0.1,IF(F9&gt;0,0.05,0))))</f>
        <v>0.1</v>
      </c>
      <c r="H9" s="353"/>
      <c r="I9" s="321"/>
      <c r="J9" s="151"/>
      <c r="K9" s="151"/>
      <c r="L9" s="151"/>
      <c r="M9" s="151"/>
      <c r="N9" s="150"/>
      <c r="O9" s="150"/>
      <c r="P9" s="150"/>
      <c r="Q9" s="150"/>
      <c r="R9" s="150"/>
      <c r="S9" s="150" t="s">
        <v>1334</v>
      </c>
      <c r="T9" s="150"/>
      <c r="U9" s="150"/>
      <c r="V9" s="150"/>
      <c r="W9" s="150"/>
      <c r="X9" s="150"/>
      <c r="Y9" s="150"/>
      <c r="Z9" s="150"/>
    </row>
    <row r="10" spans="1:26" ht="18" customHeight="1">
      <c r="A10" s="384"/>
      <c r="B10" s="384"/>
      <c r="C10" s="65" t="s">
        <v>1330</v>
      </c>
      <c r="D10" s="384"/>
      <c r="E10" s="384"/>
      <c r="F10" s="384"/>
      <c r="G10" s="384"/>
      <c r="H10" s="384"/>
      <c r="I10" s="321"/>
      <c r="J10" s="151"/>
      <c r="K10" s="151"/>
      <c r="L10" s="151"/>
      <c r="M10" s="151"/>
      <c r="N10" s="150"/>
      <c r="O10" s="150"/>
      <c r="P10" s="150"/>
      <c r="Q10" s="150"/>
      <c r="R10" s="150"/>
      <c r="S10" s="150"/>
      <c r="T10" s="150"/>
      <c r="U10" s="150"/>
      <c r="V10" s="150"/>
      <c r="W10" s="150"/>
      <c r="X10" s="150"/>
      <c r="Y10" s="150"/>
      <c r="Z10" s="150"/>
    </row>
    <row r="11" spans="1:26" ht="50.25" customHeight="1">
      <c r="A11" s="385"/>
      <c r="B11" s="385"/>
      <c r="C11" s="65" t="s">
        <v>1331</v>
      </c>
      <c r="D11" s="385"/>
      <c r="E11" s="385"/>
      <c r="F11" s="385"/>
      <c r="G11" s="385"/>
      <c r="H11" s="385"/>
      <c r="I11" s="321"/>
      <c r="J11" s="151"/>
      <c r="K11" s="151"/>
      <c r="L11" s="151"/>
      <c r="M11" s="151"/>
      <c r="N11" s="150"/>
      <c r="O11" s="150"/>
      <c r="P11" s="150"/>
      <c r="Q11" s="150"/>
      <c r="R11" s="150"/>
      <c r="S11" s="150"/>
      <c r="T11" s="150"/>
      <c r="U11" s="150"/>
      <c r="V11" s="150"/>
      <c r="W11" s="150"/>
      <c r="X11" s="150"/>
      <c r="Y11" s="150"/>
      <c r="Z11" s="150"/>
    </row>
    <row r="12" spans="1:26" ht="18" customHeight="1">
      <c r="A12" s="352" t="s">
        <v>1335</v>
      </c>
      <c r="B12" s="354" t="s">
        <v>1336</v>
      </c>
      <c r="C12" s="65" t="s">
        <v>1329</v>
      </c>
      <c r="D12" s="355">
        <v>1</v>
      </c>
      <c r="E12" s="355">
        <v>3</v>
      </c>
      <c r="F12" s="355">
        <f>D12*E12</f>
        <v>3</v>
      </c>
      <c r="G12" s="352">
        <f>IF(F12&gt;3,1,IF(F12&gt;2,0.6,IF(F12&gt;1,0.1,IF(F12&gt;0,0.05,0))))</f>
        <v>0.6</v>
      </c>
      <c r="H12" s="353"/>
      <c r="I12" s="321"/>
      <c r="J12" s="151"/>
      <c r="K12" s="151"/>
      <c r="L12" s="151"/>
      <c r="M12" s="151"/>
      <c r="N12" s="150"/>
      <c r="O12" s="150"/>
      <c r="P12" s="150"/>
      <c r="Q12" s="150"/>
      <c r="R12" s="150"/>
      <c r="S12" s="150"/>
      <c r="T12" s="150"/>
      <c r="U12" s="150"/>
      <c r="V12" s="150"/>
      <c r="W12" s="150"/>
      <c r="X12" s="150"/>
      <c r="Y12" s="150"/>
      <c r="Z12" s="150"/>
    </row>
    <row r="13" spans="1:26" ht="18" customHeight="1">
      <c r="A13" s="384"/>
      <c r="B13" s="384"/>
      <c r="C13" s="65" t="s">
        <v>1330</v>
      </c>
      <c r="D13" s="384"/>
      <c r="E13" s="384"/>
      <c r="F13" s="384"/>
      <c r="G13" s="384"/>
      <c r="H13" s="384"/>
      <c r="I13" s="321"/>
      <c r="J13" s="151"/>
      <c r="K13" s="151"/>
      <c r="L13" s="151"/>
      <c r="M13" s="151"/>
      <c r="N13" s="150"/>
      <c r="O13" s="150"/>
      <c r="P13" s="150"/>
      <c r="Q13" s="150"/>
      <c r="R13" s="150"/>
      <c r="S13" s="150"/>
      <c r="T13" s="150"/>
      <c r="U13" s="150"/>
      <c r="V13" s="150"/>
      <c r="W13" s="150"/>
      <c r="X13" s="150"/>
      <c r="Y13" s="150"/>
      <c r="Z13" s="150"/>
    </row>
    <row r="14" spans="1:26" ht="18" customHeight="1">
      <c r="A14" s="385"/>
      <c r="B14" s="385"/>
      <c r="C14" s="65" t="s">
        <v>1331</v>
      </c>
      <c r="D14" s="385"/>
      <c r="E14" s="385"/>
      <c r="F14" s="385"/>
      <c r="G14" s="385"/>
      <c r="H14" s="385"/>
      <c r="I14" s="321"/>
      <c r="J14" s="151"/>
      <c r="K14" s="151"/>
      <c r="L14" s="151"/>
      <c r="M14" s="151"/>
      <c r="N14" s="150"/>
      <c r="O14" s="150"/>
      <c r="P14" s="150"/>
      <c r="Q14" s="150"/>
      <c r="R14" s="150"/>
      <c r="S14" s="150"/>
      <c r="T14" s="150"/>
      <c r="U14" s="150"/>
      <c r="V14" s="150"/>
      <c r="W14" s="150"/>
      <c r="X14" s="150"/>
      <c r="Y14" s="150"/>
      <c r="Z14" s="150"/>
    </row>
    <row r="15" spans="1:26" ht="18" customHeight="1">
      <c r="A15" s="352" t="s">
        <v>1337</v>
      </c>
      <c r="B15" s="354" t="s">
        <v>1338</v>
      </c>
      <c r="C15" s="65" t="s">
        <v>1329</v>
      </c>
      <c r="D15" s="355">
        <v>0.5</v>
      </c>
      <c r="E15" s="355">
        <v>3</v>
      </c>
      <c r="F15" s="355">
        <f>D15*E15</f>
        <v>1.5</v>
      </c>
      <c r="G15" s="352">
        <f>IF(F15&gt;3,1,IF(F15&gt;2,0.6,IF(F15&gt;1,0.1,IF(F15&gt;0,0.05,0))))</f>
        <v>0.1</v>
      </c>
      <c r="H15" s="353"/>
      <c r="I15" s="321"/>
      <c r="J15" s="151"/>
      <c r="K15" s="151"/>
      <c r="L15" s="151"/>
      <c r="M15" s="151"/>
      <c r="N15" s="150"/>
      <c r="O15" s="150"/>
      <c r="P15" s="150"/>
      <c r="Q15" s="150"/>
      <c r="R15" s="150"/>
      <c r="S15" s="150"/>
      <c r="T15" s="150"/>
      <c r="U15" s="150"/>
      <c r="V15" s="150"/>
      <c r="W15" s="150"/>
      <c r="X15" s="150"/>
      <c r="Y15" s="150"/>
      <c r="Z15" s="150"/>
    </row>
    <row r="16" spans="1:26" ht="15.75" customHeight="1">
      <c r="A16" s="384"/>
      <c r="B16" s="384"/>
      <c r="C16" s="65" t="s">
        <v>1330</v>
      </c>
      <c r="D16" s="384"/>
      <c r="E16" s="384"/>
      <c r="F16" s="384"/>
      <c r="G16" s="384"/>
      <c r="H16" s="384"/>
      <c r="I16" s="150"/>
      <c r="J16" s="151"/>
      <c r="K16" s="151"/>
      <c r="L16" s="151"/>
      <c r="M16" s="151"/>
      <c r="N16" s="150"/>
      <c r="O16" s="150"/>
      <c r="P16" s="150"/>
      <c r="Q16" s="150"/>
      <c r="R16" s="150"/>
      <c r="S16" s="150"/>
      <c r="T16" s="150"/>
      <c r="U16" s="150"/>
      <c r="V16" s="150"/>
      <c r="W16" s="150"/>
      <c r="X16" s="150"/>
      <c r="Y16" s="150"/>
      <c r="Z16" s="150"/>
    </row>
    <row r="17" spans="1:26" ht="18" customHeight="1">
      <c r="A17" s="385"/>
      <c r="B17" s="385"/>
      <c r="C17" s="65" t="s">
        <v>1331</v>
      </c>
      <c r="D17" s="385"/>
      <c r="E17" s="385"/>
      <c r="F17" s="385"/>
      <c r="G17" s="385"/>
      <c r="H17" s="385"/>
      <c r="I17" s="150"/>
      <c r="J17" s="151"/>
      <c r="K17" s="151"/>
      <c r="L17" s="151"/>
      <c r="M17" s="151"/>
      <c r="N17" s="150"/>
      <c r="O17" s="150"/>
      <c r="P17" s="150"/>
      <c r="Q17" s="150"/>
      <c r="R17" s="150"/>
      <c r="S17" s="150"/>
      <c r="T17" s="150"/>
      <c r="U17" s="150"/>
      <c r="V17" s="150"/>
      <c r="W17" s="150"/>
      <c r="X17" s="150"/>
      <c r="Y17" s="150"/>
      <c r="Z17" s="150"/>
    </row>
    <row r="18" spans="1:26" ht="18" customHeight="1">
      <c r="A18" s="352" t="s">
        <v>1339</v>
      </c>
      <c r="B18" s="354" t="s">
        <v>1340</v>
      </c>
      <c r="C18" s="65" t="s">
        <v>1341</v>
      </c>
      <c r="D18" s="355">
        <v>1</v>
      </c>
      <c r="E18" s="355">
        <v>2</v>
      </c>
      <c r="F18" s="356">
        <f>D18*E18</f>
        <v>2</v>
      </c>
      <c r="G18" s="352">
        <f>IF(F18&gt;3,1,IF(F18&gt;2,0.6,IF(F18&gt;1,0.1,IF(F18&gt;0,0.05,0))))</f>
        <v>0.1</v>
      </c>
      <c r="H18" s="155"/>
      <c r="I18" s="150"/>
      <c r="J18" s="151"/>
      <c r="K18" s="151"/>
      <c r="L18" s="151"/>
      <c r="M18" s="151"/>
      <c r="N18" s="150"/>
      <c r="O18" s="150"/>
      <c r="P18" s="150"/>
      <c r="Q18" s="150"/>
      <c r="R18" s="150"/>
      <c r="S18" s="150"/>
      <c r="T18" s="150"/>
      <c r="U18" s="150"/>
      <c r="V18" s="150"/>
      <c r="W18" s="150"/>
      <c r="X18" s="150"/>
      <c r="Y18" s="150"/>
      <c r="Z18" s="150"/>
    </row>
    <row r="19" spans="1:26" ht="18" customHeight="1">
      <c r="A19" s="384"/>
      <c r="B19" s="384"/>
      <c r="C19" s="65" t="s">
        <v>1330</v>
      </c>
      <c r="D19" s="384"/>
      <c r="E19" s="384"/>
      <c r="F19" s="384"/>
      <c r="G19" s="384"/>
      <c r="H19" s="155"/>
      <c r="I19" s="150"/>
      <c r="J19" s="151"/>
      <c r="K19" s="151"/>
      <c r="L19" s="151"/>
      <c r="M19" s="151"/>
      <c r="N19" s="150"/>
      <c r="O19" s="150"/>
      <c r="P19" s="150"/>
      <c r="Q19" s="150"/>
      <c r="R19" s="150"/>
      <c r="S19" s="150"/>
      <c r="T19" s="150"/>
      <c r="U19" s="150"/>
      <c r="V19" s="150"/>
      <c r="W19" s="150"/>
      <c r="X19" s="150"/>
      <c r="Y19" s="150"/>
      <c r="Z19" s="150"/>
    </row>
    <row r="20" spans="1:26" ht="18" customHeight="1">
      <c r="A20" s="385"/>
      <c r="B20" s="385"/>
      <c r="C20" s="65" t="s">
        <v>1342</v>
      </c>
      <c r="D20" s="385"/>
      <c r="E20" s="385"/>
      <c r="F20" s="385"/>
      <c r="G20" s="385"/>
      <c r="H20" s="155"/>
      <c r="I20" s="150"/>
      <c r="J20" s="151"/>
      <c r="K20" s="151"/>
      <c r="L20" s="151"/>
      <c r="M20" s="151"/>
      <c r="N20" s="150"/>
      <c r="O20" s="150"/>
      <c r="P20" s="150"/>
      <c r="Q20" s="150"/>
      <c r="R20" s="150"/>
      <c r="S20" s="150"/>
      <c r="T20" s="150"/>
      <c r="U20" s="150"/>
      <c r="V20" s="150"/>
      <c r="W20" s="150"/>
      <c r="X20" s="150"/>
      <c r="Y20" s="150"/>
      <c r="Z20" s="150"/>
    </row>
    <row r="21" spans="1:26" ht="15.75" customHeight="1">
      <c r="A21" s="49"/>
      <c r="B21" s="51" t="s">
        <v>1343</v>
      </c>
      <c r="C21" s="65"/>
      <c r="D21" s="49"/>
      <c r="E21" s="49"/>
      <c r="F21" s="49"/>
      <c r="G21" s="64"/>
      <c r="H21" s="155"/>
      <c r="I21" s="150"/>
      <c r="J21" s="151"/>
      <c r="K21" s="151"/>
      <c r="L21" s="151"/>
      <c r="M21" s="151"/>
      <c r="N21" s="150"/>
      <c r="O21" s="150"/>
      <c r="P21" s="150"/>
      <c r="Q21" s="150"/>
      <c r="R21" s="150"/>
      <c r="S21" s="150"/>
      <c r="T21" s="150"/>
      <c r="U21" s="150"/>
      <c r="V21" s="150"/>
      <c r="W21" s="150"/>
      <c r="X21" s="150"/>
      <c r="Y21" s="150"/>
      <c r="Z21" s="150"/>
    </row>
    <row r="22" spans="1:26" ht="22.5" customHeight="1">
      <c r="A22" s="352" t="s">
        <v>1344</v>
      </c>
      <c r="B22" s="354" t="s">
        <v>1345</v>
      </c>
      <c r="C22" s="65" t="s">
        <v>1346</v>
      </c>
      <c r="D22" s="355">
        <v>2</v>
      </c>
      <c r="E22" s="355">
        <v>4</v>
      </c>
      <c r="F22" s="355">
        <f>D22*E22</f>
        <v>8</v>
      </c>
      <c r="G22" s="352">
        <f>IF(F22&gt;3,1,IF(F22&gt;2,0.6,IF(F22&gt;1,0.1,IF(F22&gt;0,0.05,0))))</f>
        <v>1</v>
      </c>
      <c r="H22" s="353"/>
      <c r="I22" s="150"/>
      <c r="J22" s="151"/>
      <c r="K22" s="151"/>
      <c r="L22" s="151"/>
      <c r="M22" s="151"/>
      <c r="N22" s="150"/>
      <c r="O22" s="150"/>
      <c r="P22" s="150"/>
      <c r="Q22" s="150"/>
      <c r="R22" s="150"/>
      <c r="S22" s="150"/>
      <c r="T22" s="150"/>
      <c r="U22" s="150"/>
      <c r="V22" s="150"/>
      <c r="W22" s="150"/>
      <c r="X22" s="150"/>
      <c r="Y22" s="150"/>
      <c r="Z22" s="150"/>
    </row>
    <row r="23" spans="1:26" ht="15.75" customHeight="1">
      <c r="A23" s="385"/>
      <c r="B23" s="385"/>
      <c r="C23" s="65" t="s">
        <v>1347</v>
      </c>
      <c r="D23" s="385"/>
      <c r="E23" s="385"/>
      <c r="F23" s="385"/>
      <c r="G23" s="385"/>
      <c r="H23" s="385"/>
      <c r="I23" s="150"/>
      <c r="J23" s="151"/>
      <c r="K23" s="151"/>
      <c r="L23" s="151"/>
      <c r="M23" s="151"/>
      <c r="N23" s="150"/>
      <c r="O23" s="150"/>
      <c r="P23" s="150"/>
      <c r="Q23" s="150"/>
      <c r="R23" s="150"/>
      <c r="S23" s="150"/>
      <c r="T23" s="150"/>
      <c r="U23" s="150"/>
      <c r="V23" s="150"/>
      <c r="W23" s="150"/>
      <c r="X23" s="150"/>
      <c r="Y23" s="150"/>
      <c r="Z23" s="150"/>
    </row>
    <row r="24" spans="1:26" ht="15.75" customHeight="1">
      <c r="A24" s="352" t="s">
        <v>1348</v>
      </c>
      <c r="B24" s="50" t="s">
        <v>1349</v>
      </c>
      <c r="C24" s="65" t="s">
        <v>1350</v>
      </c>
      <c r="D24" s="355">
        <v>-1</v>
      </c>
      <c r="E24" s="355">
        <v>0</v>
      </c>
      <c r="F24" s="355">
        <f>D24*E24</f>
        <v>0</v>
      </c>
      <c r="G24" s="352">
        <f>IF(F24&gt;3,1,IF(F24&gt;2,0.6,IF(F24&gt;1,0.1,IF(F24&gt;0,0.05,0))))</f>
        <v>0</v>
      </c>
      <c r="H24" s="353"/>
      <c r="I24" s="150"/>
      <c r="J24" s="151"/>
      <c r="K24" s="151"/>
      <c r="L24" s="151"/>
      <c r="M24" s="151"/>
      <c r="N24" s="150"/>
      <c r="O24" s="150"/>
      <c r="P24" s="150"/>
      <c r="Q24" s="150"/>
      <c r="R24" s="150"/>
      <c r="S24" s="150"/>
      <c r="T24" s="150"/>
      <c r="U24" s="150"/>
      <c r="V24" s="150"/>
      <c r="W24" s="150"/>
      <c r="X24" s="150"/>
      <c r="Y24" s="150"/>
      <c r="Z24" s="150"/>
    </row>
    <row r="25" spans="1:26" ht="15.75" customHeight="1">
      <c r="A25" s="384"/>
      <c r="B25" s="50" t="s">
        <v>1351</v>
      </c>
      <c r="C25" s="65" t="s">
        <v>1352</v>
      </c>
      <c r="D25" s="384"/>
      <c r="E25" s="384"/>
      <c r="F25" s="384"/>
      <c r="G25" s="384"/>
      <c r="H25" s="384"/>
      <c r="I25" s="150"/>
      <c r="J25" s="151"/>
      <c r="K25" s="151"/>
      <c r="L25" s="151"/>
      <c r="M25" s="151"/>
      <c r="N25" s="150"/>
      <c r="O25" s="150"/>
      <c r="P25" s="150"/>
      <c r="Q25" s="150"/>
      <c r="R25" s="150"/>
      <c r="S25" s="150"/>
      <c r="T25" s="150"/>
      <c r="U25" s="150"/>
      <c r="V25" s="150"/>
      <c r="W25" s="150"/>
      <c r="X25" s="150"/>
      <c r="Y25" s="150"/>
      <c r="Z25" s="150"/>
    </row>
    <row r="26" spans="1:26" ht="15.75" customHeight="1">
      <c r="A26" s="385"/>
      <c r="B26" s="163"/>
      <c r="C26" s="65" t="s">
        <v>1353</v>
      </c>
      <c r="D26" s="385"/>
      <c r="E26" s="385"/>
      <c r="F26" s="385"/>
      <c r="G26" s="385"/>
      <c r="H26" s="385"/>
      <c r="I26" s="150"/>
      <c r="J26" s="151"/>
      <c r="K26" s="151"/>
      <c r="L26" s="151"/>
      <c r="M26" s="151"/>
      <c r="N26" s="150"/>
      <c r="O26" s="150"/>
      <c r="P26" s="150"/>
      <c r="Q26" s="150"/>
      <c r="R26" s="150"/>
      <c r="S26" s="150"/>
      <c r="T26" s="150"/>
      <c r="U26" s="150"/>
      <c r="V26" s="150"/>
      <c r="W26" s="150"/>
      <c r="X26" s="150"/>
      <c r="Y26" s="150"/>
      <c r="Z26" s="150"/>
    </row>
    <row r="27" spans="1:26" ht="15.75" customHeight="1">
      <c r="A27" s="352" t="s">
        <v>1354</v>
      </c>
      <c r="B27" s="354" t="s">
        <v>1355</v>
      </c>
      <c r="C27" s="65" t="s">
        <v>1356</v>
      </c>
      <c r="D27" s="355">
        <v>-1</v>
      </c>
      <c r="E27" s="355">
        <v>0</v>
      </c>
      <c r="F27" s="355">
        <f>D27*E27</f>
        <v>0</v>
      </c>
      <c r="G27" s="352">
        <f>IF(F27&gt;3,1,IF(F27&gt;2,0.6,IF(F27&gt;1,0.1,IF(F27&gt;0,0.05,0))))</f>
        <v>0</v>
      </c>
      <c r="H27" s="155"/>
      <c r="I27" s="150"/>
      <c r="J27" s="151"/>
      <c r="K27" s="151"/>
      <c r="L27" s="151"/>
      <c r="M27" s="151"/>
      <c r="N27" s="150"/>
      <c r="O27" s="150"/>
      <c r="P27" s="150"/>
      <c r="Q27" s="150"/>
      <c r="R27" s="150"/>
      <c r="S27" s="150"/>
      <c r="T27" s="150"/>
      <c r="U27" s="150"/>
      <c r="V27" s="150"/>
      <c r="W27" s="150"/>
      <c r="X27" s="150"/>
      <c r="Y27" s="150"/>
      <c r="Z27" s="150"/>
    </row>
    <row r="28" spans="1:26" ht="15.75" customHeight="1">
      <c r="A28" s="384"/>
      <c r="B28" s="384"/>
      <c r="C28" s="65" t="s">
        <v>1330</v>
      </c>
      <c r="D28" s="384"/>
      <c r="E28" s="384"/>
      <c r="F28" s="384"/>
      <c r="G28" s="384"/>
      <c r="H28" s="155"/>
      <c r="I28" s="150"/>
      <c r="J28" s="151"/>
      <c r="K28" s="151"/>
      <c r="L28" s="151"/>
      <c r="M28" s="151"/>
      <c r="N28" s="150"/>
      <c r="O28" s="150"/>
      <c r="P28" s="150"/>
      <c r="Q28" s="150"/>
      <c r="R28" s="150"/>
      <c r="S28" s="150"/>
      <c r="T28" s="150"/>
      <c r="U28" s="150"/>
      <c r="V28" s="150"/>
      <c r="W28" s="150"/>
      <c r="X28" s="150"/>
      <c r="Y28" s="150"/>
      <c r="Z28" s="150"/>
    </row>
    <row r="29" spans="1:26" ht="15.75" customHeight="1">
      <c r="A29" s="385"/>
      <c r="B29" s="385"/>
      <c r="C29" s="65" t="s">
        <v>1357</v>
      </c>
      <c r="D29" s="385"/>
      <c r="E29" s="385"/>
      <c r="F29" s="385"/>
      <c r="G29" s="385"/>
      <c r="H29" s="155"/>
      <c r="I29" s="150"/>
      <c r="J29" s="151"/>
      <c r="K29" s="151"/>
      <c r="L29" s="151"/>
      <c r="M29" s="151"/>
      <c r="N29" s="150"/>
      <c r="O29" s="150"/>
      <c r="P29" s="150"/>
      <c r="Q29" s="150"/>
      <c r="R29" s="150"/>
      <c r="S29" s="150"/>
      <c r="T29" s="150"/>
      <c r="U29" s="150"/>
      <c r="V29" s="150"/>
      <c r="W29" s="150"/>
      <c r="X29" s="150"/>
      <c r="Y29" s="150"/>
      <c r="Z29" s="150"/>
    </row>
    <row r="30" spans="1:26" ht="15.75" customHeight="1">
      <c r="A30" s="64"/>
      <c r="B30" s="50" t="s">
        <v>1358</v>
      </c>
      <c r="C30" s="65" t="s">
        <v>1359</v>
      </c>
      <c r="D30" s="49"/>
      <c r="E30" s="65"/>
      <c r="F30" s="164">
        <f>SUM(F6:F29)</f>
        <v>19</v>
      </c>
      <c r="G30" s="64"/>
      <c r="H30" s="155"/>
      <c r="I30" s="150"/>
      <c r="J30" s="151"/>
      <c r="K30" s="151"/>
      <c r="L30" s="151"/>
      <c r="M30" s="151"/>
      <c r="N30" s="150"/>
      <c r="O30" s="150"/>
      <c r="P30" s="150"/>
      <c r="Q30" s="150"/>
      <c r="R30" s="150"/>
      <c r="S30" s="150"/>
      <c r="T30" s="150"/>
      <c r="U30" s="150"/>
      <c r="V30" s="150"/>
      <c r="W30" s="150"/>
      <c r="X30" s="150"/>
      <c r="Y30" s="150"/>
      <c r="Z30" s="150"/>
    </row>
    <row r="31" spans="1:26" ht="31.5" customHeight="1">
      <c r="A31" s="61" t="s">
        <v>24</v>
      </c>
      <c r="B31" s="51" t="s">
        <v>1360</v>
      </c>
      <c r="C31" s="152" t="s">
        <v>1361</v>
      </c>
      <c r="D31" s="52"/>
      <c r="E31" s="65"/>
      <c r="F31" s="165">
        <f>1.4+(-0.03*F30)</f>
        <v>0.83</v>
      </c>
      <c r="G31" s="61"/>
      <c r="H31" s="154"/>
      <c r="I31" s="150"/>
      <c r="J31" s="151"/>
      <c r="K31" s="151"/>
      <c r="L31" s="151"/>
      <c r="M31" s="151"/>
      <c r="N31" s="150"/>
      <c r="O31" s="150"/>
      <c r="P31" s="150"/>
      <c r="Q31" s="150"/>
      <c r="R31" s="150"/>
      <c r="S31" s="150"/>
      <c r="T31" s="150"/>
      <c r="U31" s="150"/>
      <c r="V31" s="150"/>
      <c r="W31" s="150"/>
      <c r="X31" s="150"/>
      <c r="Y31" s="150"/>
      <c r="Z31" s="150"/>
    </row>
    <row r="32" spans="1:26" ht="15.75" customHeight="1">
      <c r="A32" s="61" t="s">
        <v>27</v>
      </c>
      <c r="B32" s="51" t="s">
        <v>1362</v>
      </c>
      <c r="C32" s="152" t="s">
        <v>1363</v>
      </c>
      <c r="D32" s="52"/>
      <c r="E32" s="65"/>
      <c r="F32" s="61"/>
      <c r="G32" s="166">
        <f>SUM(G6:G29)</f>
        <v>2.5</v>
      </c>
      <c r="H32" s="154"/>
      <c r="I32" s="150"/>
      <c r="J32" s="151"/>
      <c r="K32" s="151"/>
      <c r="L32" s="151"/>
      <c r="M32" s="151"/>
      <c r="N32" s="150"/>
      <c r="O32" s="150"/>
      <c r="P32" s="150"/>
      <c r="Q32" s="150"/>
      <c r="R32" s="150"/>
      <c r="S32" s="150"/>
      <c r="T32" s="150"/>
      <c r="U32" s="150"/>
      <c r="V32" s="150"/>
      <c r="W32" s="150"/>
      <c r="X32" s="150"/>
      <c r="Y32" s="150"/>
      <c r="Z32" s="150"/>
    </row>
    <row r="33" spans="1:26" ht="15.75" customHeight="1">
      <c r="A33" s="61" t="s">
        <v>31</v>
      </c>
      <c r="B33" s="51" t="s">
        <v>1364</v>
      </c>
      <c r="C33" s="152" t="s">
        <v>1365</v>
      </c>
      <c r="D33" s="52"/>
      <c r="E33" s="52"/>
      <c r="F33" s="61"/>
      <c r="G33" s="61">
        <f>IF(G32&gt;=3,20,IF(G32&gt;=1,32,48))</f>
        <v>32</v>
      </c>
      <c r="H33" s="5"/>
      <c r="I33" s="150"/>
      <c r="J33" s="151"/>
      <c r="K33" s="151"/>
      <c r="L33" s="151"/>
      <c r="M33" s="151"/>
      <c r="N33" s="150"/>
      <c r="O33" s="150"/>
      <c r="P33" s="150"/>
      <c r="Q33" s="150"/>
      <c r="R33" s="150"/>
      <c r="S33" s="150"/>
      <c r="T33" s="150"/>
      <c r="U33" s="150"/>
      <c r="V33" s="150"/>
      <c r="W33" s="150"/>
      <c r="X33" s="150"/>
      <c r="Y33" s="150"/>
      <c r="Z33" s="150"/>
    </row>
    <row r="34" spans="1:26" ht="15" customHeight="1">
      <c r="A34" s="150"/>
      <c r="B34" s="150"/>
      <c r="C34" s="150"/>
      <c r="D34" s="150"/>
      <c r="E34" s="150"/>
      <c r="F34" s="150"/>
      <c r="G34" s="151"/>
      <c r="H34" s="150"/>
      <c r="I34" s="150"/>
      <c r="J34" s="151"/>
      <c r="K34" s="151"/>
      <c r="L34" s="151"/>
      <c r="M34" s="151"/>
      <c r="N34" s="150"/>
      <c r="O34" s="150"/>
      <c r="P34" s="150"/>
      <c r="Q34" s="150"/>
      <c r="R34" s="150"/>
      <c r="S34" s="150"/>
      <c r="T34" s="150"/>
      <c r="U34" s="150"/>
      <c r="V34" s="150"/>
      <c r="W34" s="150"/>
      <c r="X34" s="150"/>
      <c r="Y34" s="150"/>
      <c r="Z34" s="150"/>
    </row>
    <row r="35" spans="1:26" ht="15" customHeight="1">
      <c r="A35" s="150"/>
      <c r="B35" s="150"/>
      <c r="C35" s="150"/>
      <c r="D35" s="150"/>
      <c r="E35" s="150"/>
      <c r="F35" s="150"/>
      <c r="G35" s="151"/>
      <c r="H35" s="150"/>
      <c r="I35" s="150"/>
      <c r="J35" s="151"/>
      <c r="K35" s="151"/>
      <c r="L35" s="151"/>
      <c r="M35" s="151"/>
      <c r="N35" s="150"/>
      <c r="O35" s="150"/>
      <c r="P35" s="150"/>
      <c r="Q35" s="150"/>
      <c r="R35" s="150"/>
      <c r="S35" s="150"/>
      <c r="T35" s="150"/>
      <c r="U35" s="150"/>
      <c r="V35" s="150"/>
      <c r="W35" s="150"/>
      <c r="X35" s="150"/>
      <c r="Y35" s="150"/>
      <c r="Z35" s="150"/>
    </row>
    <row r="36" spans="1:26" ht="15" customHeight="1">
      <c r="A36" s="150"/>
      <c r="B36" s="150"/>
      <c r="C36" s="150"/>
      <c r="D36" s="150"/>
      <c r="E36" s="150"/>
      <c r="F36" s="150"/>
      <c r="G36" s="151"/>
      <c r="H36" s="150"/>
      <c r="I36" s="150"/>
      <c r="J36" s="151"/>
      <c r="K36" s="151"/>
      <c r="L36" s="151"/>
      <c r="M36" s="151"/>
      <c r="N36" s="150"/>
      <c r="O36" s="150"/>
      <c r="P36" s="150"/>
      <c r="Q36" s="150"/>
      <c r="R36" s="150"/>
      <c r="S36" s="150"/>
      <c r="T36" s="150"/>
      <c r="U36" s="150"/>
      <c r="V36" s="150"/>
      <c r="W36" s="150"/>
      <c r="X36" s="150"/>
      <c r="Y36" s="150"/>
      <c r="Z36" s="150"/>
    </row>
    <row r="37" spans="1:26" ht="15" customHeight="1">
      <c r="A37" s="150"/>
      <c r="B37" s="150"/>
      <c r="C37" s="150"/>
      <c r="D37" s="150"/>
      <c r="E37" s="150"/>
      <c r="F37" s="150"/>
      <c r="G37" s="151"/>
      <c r="H37" s="150"/>
      <c r="I37" s="150"/>
      <c r="J37" s="151"/>
      <c r="K37" s="151"/>
      <c r="L37" s="151"/>
      <c r="M37" s="151"/>
      <c r="N37" s="150"/>
      <c r="O37" s="150"/>
      <c r="P37" s="150"/>
      <c r="Q37" s="150"/>
      <c r="R37" s="150"/>
      <c r="S37" s="150"/>
      <c r="T37" s="150"/>
      <c r="U37" s="150"/>
      <c r="V37" s="150"/>
      <c r="W37" s="150"/>
      <c r="X37" s="150"/>
      <c r="Y37" s="150"/>
      <c r="Z37" s="150"/>
    </row>
    <row r="38" spans="1:26" ht="15" hidden="1" customHeight="1">
      <c r="A38" s="150"/>
      <c r="B38" s="150"/>
      <c r="C38" s="150"/>
      <c r="D38" s="150"/>
      <c r="E38" s="150"/>
      <c r="F38" s="150"/>
      <c r="G38" s="151"/>
      <c r="H38" s="150"/>
      <c r="I38" s="150"/>
      <c r="J38" s="151"/>
      <c r="K38" s="150"/>
      <c r="L38" s="150"/>
      <c r="M38" s="150"/>
      <c r="N38" s="150"/>
      <c r="O38" s="150"/>
      <c r="P38" s="150"/>
      <c r="Q38" s="150"/>
      <c r="R38" s="150"/>
      <c r="S38" s="150"/>
      <c r="T38" s="150"/>
      <c r="U38" s="150"/>
      <c r="V38" s="150"/>
      <c r="W38" s="150"/>
      <c r="X38" s="150"/>
      <c r="Y38" s="150"/>
      <c r="Z38" s="150"/>
    </row>
    <row r="39" spans="1:26" ht="15" hidden="1" customHeight="1">
      <c r="A39" s="9" t="s">
        <v>1366</v>
      </c>
      <c r="B39" s="167"/>
      <c r="C39" s="167"/>
      <c r="D39" s="167"/>
      <c r="E39" s="167"/>
      <c r="F39" s="167"/>
      <c r="G39" s="151"/>
      <c r="H39" s="150"/>
      <c r="I39" s="150"/>
      <c r="J39" s="151"/>
      <c r="K39" s="150"/>
      <c r="L39" s="150"/>
      <c r="M39" s="150"/>
      <c r="N39" s="150"/>
      <c r="O39" s="150"/>
      <c r="P39" s="150"/>
      <c r="Q39" s="150"/>
      <c r="R39" s="150"/>
      <c r="S39" s="150"/>
      <c r="T39" s="150"/>
      <c r="U39" s="150"/>
      <c r="V39" s="150"/>
      <c r="W39" s="150"/>
      <c r="X39" s="150"/>
      <c r="Y39" s="150"/>
      <c r="Z39" s="150"/>
    </row>
    <row r="40" spans="1:26" ht="15.75" hidden="1" customHeight="1">
      <c r="A40" s="167"/>
      <c r="B40" s="167"/>
      <c r="C40" s="167"/>
      <c r="D40" s="167"/>
      <c r="E40" s="167"/>
      <c r="F40" s="167"/>
      <c r="G40" s="151"/>
      <c r="H40" s="150"/>
      <c r="I40" s="150"/>
      <c r="J40" s="150"/>
      <c r="K40" s="150"/>
      <c r="L40" s="150"/>
      <c r="M40" s="150"/>
      <c r="N40" s="150"/>
      <c r="O40" s="150"/>
      <c r="P40" s="150"/>
      <c r="Q40" s="150"/>
      <c r="R40" s="150"/>
      <c r="S40" s="150"/>
      <c r="T40" s="150"/>
      <c r="U40" s="150"/>
      <c r="V40" s="150"/>
      <c r="W40" s="150"/>
      <c r="X40" s="150"/>
      <c r="Y40" s="150"/>
      <c r="Z40" s="150"/>
    </row>
    <row r="41" spans="1:26" ht="15.75" hidden="1" customHeight="1">
      <c r="A41" s="357" t="s">
        <v>1367</v>
      </c>
      <c r="B41" s="382"/>
      <c r="C41" s="359" t="s">
        <v>63</v>
      </c>
      <c r="D41" s="357" t="s">
        <v>1368</v>
      </c>
      <c r="E41" s="386"/>
      <c r="F41" s="382"/>
      <c r="G41" s="151"/>
      <c r="H41" s="150"/>
      <c r="I41" s="150"/>
      <c r="J41" s="168" t="s">
        <v>1363</v>
      </c>
      <c r="K41" s="169" t="s">
        <v>1369</v>
      </c>
      <c r="L41" s="150"/>
      <c r="M41" s="150"/>
      <c r="N41" s="150"/>
      <c r="O41" s="150"/>
      <c r="P41" s="150"/>
      <c r="Q41" s="150"/>
      <c r="R41" s="150"/>
      <c r="S41" s="150"/>
      <c r="T41" s="150"/>
      <c r="U41" s="150"/>
      <c r="V41" s="150"/>
      <c r="W41" s="150"/>
      <c r="X41" s="150"/>
      <c r="Y41" s="150"/>
      <c r="Z41" s="150"/>
    </row>
    <row r="42" spans="1:26" ht="15.75" hidden="1" customHeight="1">
      <c r="A42" s="358" t="s">
        <v>1326</v>
      </c>
      <c r="B42" s="382"/>
      <c r="C42" s="385"/>
      <c r="D42" s="170" t="s">
        <v>1370</v>
      </c>
      <c r="E42" s="170" t="s">
        <v>1371</v>
      </c>
      <c r="F42" s="170" t="s">
        <v>1372</v>
      </c>
      <c r="G42" s="151"/>
      <c r="H42" s="150"/>
      <c r="I42" s="150"/>
      <c r="J42" s="171" t="s">
        <v>1373</v>
      </c>
      <c r="K42" s="172">
        <v>48</v>
      </c>
      <c r="L42" s="150"/>
      <c r="M42" s="150"/>
      <c r="N42" s="150"/>
      <c r="O42" s="150"/>
      <c r="P42" s="150"/>
      <c r="Q42" s="150"/>
      <c r="R42" s="150"/>
      <c r="S42" s="150"/>
      <c r="T42" s="150"/>
      <c r="U42" s="150"/>
      <c r="V42" s="150"/>
      <c r="W42" s="150"/>
      <c r="X42" s="150"/>
      <c r="Y42" s="150"/>
      <c r="Z42" s="150"/>
    </row>
    <row r="43" spans="1:26" ht="15.75" hidden="1" customHeight="1">
      <c r="A43" s="79">
        <v>1</v>
      </c>
      <c r="B43" s="100" t="s">
        <v>1374</v>
      </c>
      <c r="C43" s="79">
        <f t="shared" ref="C43:C47" si="0">AVERAGE(D43:F43)</f>
        <v>2</v>
      </c>
      <c r="D43" s="79">
        <v>1</v>
      </c>
      <c r="E43" s="79">
        <v>2</v>
      </c>
      <c r="F43" s="79">
        <v>3</v>
      </c>
      <c r="G43" s="151"/>
      <c r="H43" s="150"/>
      <c r="I43" s="150"/>
      <c r="J43" s="171" t="s">
        <v>1375</v>
      </c>
      <c r="K43" s="172">
        <v>32</v>
      </c>
      <c r="L43" s="150"/>
      <c r="M43" s="150"/>
      <c r="N43" s="150"/>
      <c r="O43" s="150"/>
      <c r="P43" s="150"/>
      <c r="Q43" s="150"/>
      <c r="R43" s="150"/>
      <c r="S43" s="150"/>
      <c r="T43" s="150"/>
      <c r="U43" s="150"/>
      <c r="V43" s="150"/>
      <c r="W43" s="150"/>
      <c r="X43" s="150"/>
      <c r="Y43" s="150"/>
      <c r="Z43" s="150"/>
    </row>
    <row r="44" spans="1:26" ht="15.75" hidden="1" customHeight="1">
      <c r="A44" s="79">
        <v>2</v>
      </c>
      <c r="B44" s="100" t="s">
        <v>1376</v>
      </c>
      <c r="C44" s="79">
        <f t="shared" si="0"/>
        <v>2</v>
      </c>
      <c r="D44" s="79">
        <v>1</v>
      </c>
      <c r="E44" s="79">
        <v>2</v>
      </c>
      <c r="F44" s="79">
        <v>3</v>
      </c>
      <c r="G44" s="151"/>
      <c r="H44" s="150"/>
      <c r="I44" s="150"/>
      <c r="J44" s="171" t="s">
        <v>1377</v>
      </c>
      <c r="K44" s="172">
        <v>20</v>
      </c>
      <c r="L44" s="150"/>
      <c r="M44" s="150"/>
      <c r="N44" s="150"/>
      <c r="O44" s="150"/>
      <c r="P44" s="150"/>
      <c r="Q44" s="150"/>
      <c r="R44" s="150"/>
      <c r="S44" s="150"/>
      <c r="T44" s="150"/>
      <c r="U44" s="150"/>
      <c r="V44" s="150"/>
      <c r="W44" s="150"/>
      <c r="X44" s="150"/>
      <c r="Y44" s="150"/>
      <c r="Z44" s="150"/>
    </row>
    <row r="45" spans="1:26" ht="15.75" hidden="1" customHeight="1">
      <c r="A45" s="79">
        <v>3</v>
      </c>
      <c r="B45" s="100" t="s">
        <v>1378</v>
      </c>
      <c r="C45" s="79">
        <f t="shared" si="0"/>
        <v>3</v>
      </c>
      <c r="D45" s="79">
        <v>2</v>
      </c>
      <c r="E45" s="79">
        <v>3</v>
      </c>
      <c r="F45" s="79">
        <v>4</v>
      </c>
      <c r="G45" s="151"/>
      <c r="H45" s="150"/>
      <c r="I45" s="150"/>
      <c r="J45" s="150"/>
      <c r="K45" s="150"/>
      <c r="L45" s="150"/>
      <c r="M45" s="150"/>
      <c r="N45" s="150"/>
      <c r="O45" s="150"/>
      <c r="P45" s="150"/>
      <c r="Q45" s="150"/>
      <c r="R45" s="150"/>
      <c r="S45" s="150"/>
      <c r="T45" s="150"/>
      <c r="U45" s="150"/>
      <c r="V45" s="150"/>
      <c r="W45" s="150"/>
      <c r="X45" s="150"/>
      <c r="Y45" s="150"/>
      <c r="Z45" s="150"/>
    </row>
    <row r="46" spans="1:26" ht="15.75" hidden="1" customHeight="1">
      <c r="A46" s="79">
        <v>4</v>
      </c>
      <c r="B46" s="100" t="s">
        <v>1338</v>
      </c>
      <c r="C46" s="79">
        <f t="shared" si="0"/>
        <v>3</v>
      </c>
      <c r="D46" s="79">
        <v>2</v>
      </c>
      <c r="E46" s="79">
        <v>3</v>
      </c>
      <c r="F46" s="79">
        <v>4</v>
      </c>
      <c r="G46" s="151"/>
      <c r="H46" s="150"/>
      <c r="I46" s="150"/>
      <c r="J46" s="150"/>
      <c r="K46" s="150"/>
      <c r="L46" s="150"/>
      <c r="M46" s="150"/>
      <c r="N46" s="150"/>
      <c r="O46" s="150"/>
      <c r="P46" s="150"/>
      <c r="Q46" s="150"/>
      <c r="R46" s="150"/>
      <c r="S46" s="150"/>
      <c r="T46" s="150"/>
      <c r="U46" s="150"/>
      <c r="V46" s="150"/>
      <c r="W46" s="150"/>
      <c r="X46" s="150"/>
      <c r="Y46" s="150"/>
      <c r="Z46" s="150"/>
    </row>
    <row r="47" spans="1:26" ht="15.75" hidden="1" customHeight="1">
      <c r="A47" s="79">
        <v>5</v>
      </c>
      <c r="B47" s="100" t="s">
        <v>1340</v>
      </c>
      <c r="C47" s="79">
        <f t="shared" si="0"/>
        <v>2</v>
      </c>
      <c r="D47" s="79">
        <v>1</v>
      </c>
      <c r="E47" s="79">
        <v>2</v>
      </c>
      <c r="F47" s="79">
        <v>3</v>
      </c>
      <c r="G47" s="151"/>
      <c r="H47" s="150"/>
      <c r="I47" s="150"/>
      <c r="J47" s="150"/>
      <c r="K47" s="150"/>
      <c r="L47" s="150"/>
      <c r="M47" s="150"/>
      <c r="N47" s="150"/>
      <c r="O47" s="150"/>
      <c r="P47" s="150"/>
      <c r="Q47" s="150"/>
      <c r="R47" s="150"/>
      <c r="S47" s="150"/>
      <c r="T47" s="150"/>
      <c r="U47" s="150"/>
      <c r="V47" s="150"/>
      <c r="W47" s="150"/>
      <c r="X47" s="150"/>
      <c r="Y47" s="150"/>
      <c r="Z47" s="150"/>
    </row>
    <row r="48" spans="1:26" ht="15.75" hidden="1" customHeight="1">
      <c r="A48" s="150"/>
      <c r="B48" s="150"/>
      <c r="C48" s="150"/>
      <c r="D48" s="150"/>
      <c r="E48" s="150"/>
      <c r="F48" s="150"/>
      <c r="G48" s="151"/>
      <c r="H48" s="150"/>
      <c r="I48" s="150"/>
      <c r="J48" s="150"/>
      <c r="K48" s="150"/>
      <c r="L48" s="150"/>
      <c r="M48" s="150"/>
      <c r="N48" s="150"/>
      <c r="O48" s="150"/>
      <c r="P48" s="150"/>
      <c r="Q48" s="150"/>
      <c r="R48" s="150"/>
      <c r="S48" s="150"/>
      <c r="T48" s="150"/>
      <c r="U48" s="150"/>
      <c r="V48" s="150"/>
      <c r="W48" s="150"/>
      <c r="X48" s="150"/>
      <c r="Y48" s="150"/>
      <c r="Z48" s="150"/>
    </row>
    <row r="49" spans="1:26" ht="15.75" hidden="1" customHeight="1">
      <c r="A49" s="150"/>
      <c r="B49" s="150"/>
      <c r="C49" s="150"/>
      <c r="D49" s="150"/>
      <c r="E49" s="150"/>
      <c r="F49" s="150"/>
      <c r="G49" s="151"/>
      <c r="H49" s="150"/>
      <c r="I49" s="150"/>
      <c r="J49" s="150"/>
      <c r="K49" s="150"/>
      <c r="L49" s="150"/>
      <c r="M49" s="150"/>
      <c r="N49" s="150"/>
      <c r="O49" s="150"/>
      <c r="P49" s="150"/>
      <c r="Q49" s="150"/>
      <c r="R49" s="150"/>
      <c r="S49" s="150"/>
      <c r="T49" s="150"/>
      <c r="U49" s="150"/>
      <c r="V49" s="150"/>
      <c r="W49" s="150"/>
      <c r="X49" s="150"/>
      <c r="Y49" s="150"/>
      <c r="Z49" s="150"/>
    </row>
    <row r="50" spans="1:26" ht="15.75" hidden="1" customHeight="1">
      <c r="A50" s="150"/>
      <c r="B50" s="150"/>
      <c r="C50" s="150"/>
      <c r="D50" s="150"/>
      <c r="E50" s="150"/>
      <c r="F50" s="150"/>
      <c r="G50" s="151"/>
      <c r="H50" s="150"/>
      <c r="I50" s="150"/>
      <c r="J50" s="150"/>
      <c r="K50" s="150"/>
      <c r="L50" s="150"/>
      <c r="M50" s="150"/>
      <c r="N50" s="150"/>
      <c r="O50" s="150"/>
      <c r="P50" s="150"/>
      <c r="Q50" s="150"/>
      <c r="R50" s="150"/>
      <c r="S50" s="150"/>
      <c r="T50" s="150"/>
      <c r="U50" s="150"/>
      <c r="V50" s="150"/>
      <c r="W50" s="150"/>
      <c r="X50" s="150"/>
      <c r="Y50" s="150"/>
      <c r="Z50" s="150"/>
    </row>
    <row r="51" spans="1:26" ht="15.75" hidden="1" customHeight="1">
      <c r="A51" s="150"/>
      <c r="B51" s="150"/>
      <c r="C51" s="150"/>
      <c r="D51" s="150"/>
      <c r="E51" s="150"/>
      <c r="F51" s="150"/>
      <c r="G51" s="151"/>
      <c r="H51" s="150"/>
      <c r="I51" s="150"/>
      <c r="J51" s="150"/>
      <c r="K51" s="150"/>
      <c r="L51" s="150"/>
      <c r="M51" s="150"/>
      <c r="N51" s="150"/>
      <c r="O51" s="150"/>
      <c r="P51" s="150"/>
      <c r="Q51" s="150"/>
      <c r="R51" s="150"/>
      <c r="S51" s="150"/>
      <c r="T51" s="150"/>
      <c r="U51" s="150"/>
      <c r="V51" s="150"/>
      <c r="W51" s="150"/>
      <c r="X51" s="150"/>
      <c r="Y51" s="150"/>
      <c r="Z51" s="150"/>
    </row>
    <row r="52" spans="1:26" ht="15.75" hidden="1" customHeight="1">
      <c r="A52" s="150"/>
      <c r="B52" s="150"/>
      <c r="C52" s="150"/>
      <c r="D52" s="150"/>
      <c r="E52" s="150"/>
      <c r="F52" s="150"/>
      <c r="G52" s="151"/>
      <c r="H52" s="150"/>
      <c r="I52" s="150"/>
      <c r="J52" s="150"/>
      <c r="K52" s="150"/>
      <c r="L52" s="150"/>
      <c r="M52" s="150"/>
      <c r="N52" s="150"/>
      <c r="O52" s="150"/>
      <c r="P52" s="150"/>
      <c r="Q52" s="150"/>
      <c r="R52" s="150"/>
      <c r="S52" s="150"/>
      <c r="T52" s="150"/>
      <c r="U52" s="150"/>
      <c r="V52" s="150"/>
      <c r="W52" s="150"/>
      <c r="X52" s="150"/>
      <c r="Y52" s="150"/>
      <c r="Z52" s="150"/>
    </row>
    <row r="53" spans="1:26" ht="15.75" hidden="1" customHeight="1">
      <c r="A53" s="150"/>
      <c r="B53" s="150"/>
      <c r="C53" s="150"/>
      <c r="D53" s="150"/>
      <c r="E53" s="150"/>
      <c r="F53" s="150"/>
      <c r="G53" s="151"/>
      <c r="H53" s="150"/>
      <c r="I53" s="150"/>
      <c r="J53" s="150"/>
      <c r="K53" s="150"/>
      <c r="L53" s="150"/>
      <c r="M53" s="150"/>
      <c r="N53" s="150"/>
      <c r="O53" s="150"/>
      <c r="P53" s="150"/>
      <c r="Q53" s="150"/>
      <c r="R53" s="150"/>
      <c r="S53" s="150"/>
      <c r="T53" s="150"/>
      <c r="U53" s="150"/>
      <c r="V53" s="150"/>
      <c r="W53" s="150"/>
      <c r="X53" s="150"/>
      <c r="Y53" s="150"/>
      <c r="Z53" s="150"/>
    </row>
    <row r="54" spans="1:26" ht="15.75" hidden="1" customHeight="1">
      <c r="A54" s="150"/>
      <c r="B54" s="150"/>
      <c r="C54" s="150"/>
      <c r="D54" s="150"/>
      <c r="E54" s="150"/>
      <c r="F54" s="150"/>
      <c r="G54" s="151"/>
      <c r="H54" s="150"/>
      <c r="I54" s="150"/>
      <c r="J54" s="150"/>
      <c r="K54" s="150"/>
      <c r="L54" s="150"/>
      <c r="M54" s="150"/>
      <c r="N54" s="150"/>
      <c r="O54" s="150"/>
      <c r="P54" s="150"/>
      <c r="Q54" s="150"/>
      <c r="R54" s="150"/>
      <c r="S54" s="150"/>
      <c r="T54" s="150"/>
      <c r="U54" s="150"/>
      <c r="V54" s="150"/>
      <c r="W54" s="150"/>
      <c r="X54" s="150"/>
      <c r="Y54" s="150"/>
      <c r="Z54" s="150"/>
    </row>
    <row r="55" spans="1:26" ht="15.75" hidden="1" customHeight="1">
      <c r="A55" s="150"/>
      <c r="B55" s="150"/>
      <c r="C55" s="150"/>
      <c r="D55" s="150"/>
      <c r="E55" s="150"/>
      <c r="F55" s="150"/>
      <c r="G55" s="151"/>
      <c r="H55" s="150"/>
      <c r="I55" s="150"/>
      <c r="J55" s="150"/>
      <c r="K55" s="150"/>
      <c r="L55" s="150"/>
      <c r="M55" s="150"/>
      <c r="N55" s="150"/>
      <c r="O55" s="150"/>
      <c r="P55" s="150"/>
      <c r="Q55" s="150"/>
      <c r="R55" s="150"/>
      <c r="S55" s="150"/>
      <c r="T55" s="150"/>
      <c r="U55" s="150"/>
      <c r="V55" s="150"/>
      <c r="W55" s="150"/>
      <c r="X55" s="150"/>
      <c r="Y55" s="150"/>
      <c r="Z55" s="150"/>
    </row>
    <row r="56" spans="1:26" ht="15.75" hidden="1" customHeight="1">
      <c r="A56" s="150"/>
      <c r="B56" s="150"/>
      <c r="C56" s="150"/>
      <c r="D56" s="150"/>
      <c r="E56" s="150"/>
      <c r="F56" s="150"/>
      <c r="G56" s="151"/>
      <c r="H56" s="150"/>
      <c r="I56" s="150"/>
      <c r="J56" s="150"/>
      <c r="K56" s="150"/>
      <c r="L56" s="150"/>
      <c r="M56" s="150"/>
      <c r="N56" s="150"/>
      <c r="O56" s="150"/>
      <c r="P56" s="150"/>
      <c r="Q56" s="150"/>
      <c r="R56" s="150"/>
      <c r="S56" s="150"/>
      <c r="T56" s="150"/>
      <c r="U56" s="150"/>
      <c r="V56" s="150"/>
      <c r="W56" s="150"/>
      <c r="X56" s="150"/>
      <c r="Y56" s="150"/>
      <c r="Z56" s="150"/>
    </row>
    <row r="57" spans="1:26" ht="15.75" hidden="1" customHeight="1">
      <c r="A57" s="150"/>
      <c r="B57" s="150"/>
      <c r="C57" s="150"/>
      <c r="D57" s="150"/>
      <c r="E57" s="150"/>
      <c r="F57" s="150"/>
      <c r="G57" s="151"/>
      <c r="H57" s="150"/>
      <c r="I57" s="150"/>
      <c r="J57" s="150"/>
      <c r="K57" s="150"/>
      <c r="L57" s="150"/>
      <c r="M57" s="150"/>
      <c r="N57" s="150"/>
      <c r="O57" s="150"/>
      <c r="P57" s="150"/>
      <c r="Q57" s="150"/>
      <c r="R57" s="150"/>
      <c r="S57" s="150"/>
      <c r="T57" s="150"/>
      <c r="U57" s="150"/>
      <c r="V57" s="150"/>
      <c r="W57" s="150"/>
      <c r="X57" s="150"/>
      <c r="Y57" s="150"/>
      <c r="Z57" s="150"/>
    </row>
    <row r="58" spans="1:26" ht="15.75" hidden="1" customHeight="1">
      <c r="A58" s="150"/>
      <c r="B58" s="150"/>
      <c r="C58" s="150"/>
      <c r="D58" s="150"/>
      <c r="E58" s="150"/>
      <c r="F58" s="150"/>
      <c r="G58" s="151"/>
      <c r="H58" s="150"/>
      <c r="I58" s="150"/>
      <c r="J58" s="150"/>
      <c r="K58" s="150"/>
      <c r="L58" s="150"/>
      <c r="M58" s="150"/>
      <c r="N58" s="150"/>
      <c r="O58" s="150"/>
      <c r="P58" s="150"/>
      <c r="Q58" s="150"/>
      <c r="R58" s="150"/>
      <c r="S58" s="150"/>
      <c r="T58" s="150"/>
      <c r="U58" s="150"/>
      <c r="V58" s="150"/>
      <c r="W58" s="150"/>
      <c r="X58" s="150"/>
      <c r="Y58" s="150"/>
      <c r="Z58" s="150"/>
    </row>
    <row r="59" spans="1:26" ht="15.75" customHeight="1">
      <c r="A59" s="150"/>
      <c r="B59" s="150"/>
      <c r="C59" s="150"/>
      <c r="D59" s="150"/>
      <c r="E59" s="150"/>
      <c r="F59" s="150"/>
      <c r="G59" s="151"/>
      <c r="H59" s="150"/>
      <c r="I59" s="150"/>
      <c r="J59" s="150"/>
      <c r="K59" s="150"/>
      <c r="L59" s="150"/>
      <c r="M59" s="150"/>
      <c r="N59" s="150"/>
      <c r="O59" s="150"/>
      <c r="P59" s="150"/>
      <c r="Q59" s="150"/>
      <c r="R59" s="150"/>
      <c r="S59" s="150"/>
      <c r="T59" s="150"/>
      <c r="U59" s="150"/>
      <c r="V59" s="150"/>
      <c r="W59" s="150"/>
      <c r="X59" s="150"/>
      <c r="Y59" s="150"/>
      <c r="Z59" s="150"/>
    </row>
    <row r="60" spans="1:26" ht="15.75" customHeight="1">
      <c r="A60" s="150"/>
      <c r="B60" s="150"/>
      <c r="C60" s="150"/>
      <c r="D60" s="150"/>
      <c r="E60" s="150"/>
      <c r="F60" s="150"/>
      <c r="G60" s="151"/>
      <c r="H60" s="150"/>
      <c r="I60" s="150"/>
      <c r="J60" s="150"/>
      <c r="K60" s="150"/>
      <c r="L60" s="150"/>
      <c r="M60" s="150"/>
      <c r="N60" s="150"/>
      <c r="O60" s="150"/>
      <c r="P60" s="150"/>
      <c r="Q60" s="150"/>
      <c r="R60" s="150"/>
      <c r="S60" s="150"/>
      <c r="T60" s="150"/>
      <c r="U60" s="150"/>
      <c r="V60" s="150"/>
      <c r="W60" s="150"/>
      <c r="X60" s="150"/>
      <c r="Y60" s="150"/>
      <c r="Z60" s="150"/>
    </row>
    <row r="61" spans="1:26" ht="15.75" customHeight="1">
      <c r="A61" s="150"/>
      <c r="B61" s="150"/>
      <c r="C61" s="150"/>
      <c r="D61" s="150"/>
      <c r="E61" s="150"/>
      <c r="F61" s="150"/>
      <c r="G61" s="151"/>
      <c r="H61" s="150"/>
      <c r="I61" s="150"/>
      <c r="J61" s="150"/>
      <c r="K61" s="150"/>
      <c r="L61" s="150"/>
      <c r="M61" s="150"/>
      <c r="N61" s="150"/>
      <c r="O61" s="150"/>
      <c r="P61" s="150"/>
      <c r="Q61" s="150"/>
      <c r="R61" s="150"/>
      <c r="S61" s="150"/>
      <c r="T61" s="150"/>
      <c r="U61" s="150"/>
      <c r="V61" s="150"/>
      <c r="W61" s="150"/>
      <c r="X61" s="150"/>
      <c r="Y61" s="150"/>
      <c r="Z61" s="150"/>
    </row>
    <row r="62" spans="1:26" ht="15.75" customHeight="1">
      <c r="A62" s="150"/>
      <c r="B62" s="150"/>
      <c r="C62" s="150"/>
      <c r="D62" s="150"/>
      <c r="E62" s="150"/>
      <c r="F62" s="150"/>
      <c r="G62" s="151"/>
      <c r="H62" s="150"/>
      <c r="I62" s="150"/>
      <c r="J62" s="150"/>
      <c r="K62" s="150"/>
      <c r="L62" s="150"/>
      <c r="M62" s="150"/>
      <c r="N62" s="150"/>
      <c r="O62" s="150"/>
      <c r="P62" s="150"/>
      <c r="Q62" s="150"/>
      <c r="R62" s="150"/>
      <c r="S62" s="150"/>
      <c r="T62" s="150"/>
      <c r="U62" s="150"/>
      <c r="V62" s="150"/>
      <c r="W62" s="150"/>
      <c r="X62" s="150"/>
      <c r="Y62" s="150"/>
      <c r="Z62" s="150"/>
    </row>
    <row r="63" spans="1:26" ht="15.75" customHeight="1">
      <c r="A63" s="150"/>
      <c r="B63" s="150"/>
      <c r="C63" s="150"/>
      <c r="D63" s="150"/>
      <c r="E63" s="150"/>
      <c r="F63" s="150"/>
      <c r="G63" s="151"/>
      <c r="H63" s="150"/>
      <c r="I63" s="150"/>
      <c r="J63" s="150"/>
      <c r="K63" s="150"/>
      <c r="L63" s="150"/>
      <c r="M63" s="150"/>
      <c r="N63" s="150"/>
      <c r="O63" s="150"/>
      <c r="P63" s="150"/>
      <c r="Q63" s="150"/>
      <c r="R63" s="150"/>
      <c r="S63" s="150"/>
      <c r="T63" s="150"/>
      <c r="U63" s="150"/>
      <c r="V63" s="150"/>
      <c r="W63" s="150"/>
      <c r="X63" s="150"/>
      <c r="Y63" s="150"/>
      <c r="Z63" s="150"/>
    </row>
    <row r="64" spans="1:26" ht="15.75" customHeight="1">
      <c r="A64" s="150"/>
      <c r="B64" s="150"/>
      <c r="C64" s="150"/>
      <c r="D64" s="150"/>
      <c r="E64" s="150"/>
      <c r="F64" s="150"/>
      <c r="G64" s="151"/>
      <c r="H64" s="150"/>
      <c r="I64" s="150"/>
      <c r="J64" s="150"/>
      <c r="K64" s="150"/>
      <c r="L64" s="150"/>
      <c r="M64" s="150"/>
      <c r="N64" s="150"/>
      <c r="O64" s="150"/>
      <c r="P64" s="150"/>
      <c r="Q64" s="150"/>
      <c r="R64" s="150"/>
      <c r="S64" s="150"/>
      <c r="T64" s="150"/>
      <c r="U64" s="150"/>
      <c r="V64" s="150"/>
      <c r="W64" s="150"/>
      <c r="X64" s="150"/>
      <c r="Y64" s="150"/>
      <c r="Z64" s="150"/>
    </row>
    <row r="65" spans="1:26" ht="15.75" customHeight="1">
      <c r="A65" s="150"/>
      <c r="B65" s="150"/>
      <c r="C65" s="150"/>
      <c r="D65" s="150"/>
      <c r="E65" s="150"/>
      <c r="F65" s="150"/>
      <c r="G65" s="151"/>
      <c r="H65" s="150"/>
      <c r="I65" s="150"/>
      <c r="J65" s="150"/>
      <c r="K65" s="150"/>
      <c r="L65" s="150"/>
      <c r="M65" s="150"/>
      <c r="N65" s="150"/>
      <c r="O65" s="150"/>
      <c r="P65" s="150"/>
      <c r="Q65" s="150"/>
      <c r="R65" s="150"/>
      <c r="S65" s="150"/>
      <c r="T65" s="150"/>
      <c r="U65" s="150"/>
      <c r="V65" s="150"/>
      <c r="W65" s="150"/>
      <c r="X65" s="150"/>
      <c r="Y65" s="150"/>
      <c r="Z65" s="150"/>
    </row>
    <row r="66" spans="1:26" ht="15.75" customHeight="1">
      <c r="A66" s="150"/>
      <c r="B66" s="150"/>
      <c r="C66" s="150"/>
      <c r="D66" s="150"/>
      <c r="E66" s="150"/>
      <c r="F66" s="150"/>
      <c r="G66" s="151"/>
      <c r="H66" s="150"/>
      <c r="I66" s="150"/>
      <c r="J66" s="150"/>
      <c r="K66" s="150"/>
      <c r="L66" s="150"/>
      <c r="M66" s="150"/>
      <c r="N66" s="150"/>
      <c r="O66" s="150"/>
      <c r="P66" s="150"/>
      <c r="Q66" s="150"/>
      <c r="R66" s="150"/>
      <c r="S66" s="150"/>
      <c r="T66" s="150"/>
      <c r="U66" s="150"/>
      <c r="V66" s="150"/>
      <c r="W66" s="150"/>
      <c r="X66" s="150"/>
      <c r="Y66" s="150"/>
      <c r="Z66" s="150"/>
    </row>
    <row r="67" spans="1:26" ht="15.75" customHeight="1">
      <c r="A67" s="150"/>
      <c r="B67" s="150"/>
      <c r="C67" s="150"/>
      <c r="D67" s="150"/>
      <c r="E67" s="150"/>
      <c r="F67" s="150"/>
      <c r="G67" s="151"/>
      <c r="H67" s="150"/>
      <c r="I67" s="150"/>
      <c r="J67" s="150"/>
      <c r="K67" s="150"/>
      <c r="L67" s="150"/>
      <c r="M67" s="150"/>
      <c r="N67" s="150"/>
      <c r="O67" s="150"/>
      <c r="P67" s="150"/>
      <c r="Q67" s="150"/>
      <c r="R67" s="150"/>
      <c r="S67" s="150"/>
      <c r="T67" s="150"/>
      <c r="U67" s="150"/>
      <c r="V67" s="150"/>
      <c r="W67" s="150"/>
      <c r="X67" s="150"/>
      <c r="Y67" s="150"/>
      <c r="Z67" s="150"/>
    </row>
    <row r="68" spans="1:26" ht="15.75" customHeight="1">
      <c r="A68" s="150"/>
      <c r="B68" s="150"/>
      <c r="C68" s="150"/>
      <c r="D68" s="150"/>
      <c r="E68" s="150"/>
      <c r="F68" s="150"/>
      <c r="G68" s="151"/>
      <c r="H68" s="150"/>
      <c r="I68" s="150"/>
      <c r="J68" s="150"/>
      <c r="K68" s="150"/>
      <c r="L68" s="150"/>
      <c r="M68" s="150"/>
      <c r="N68" s="150"/>
      <c r="O68" s="150"/>
      <c r="P68" s="150"/>
      <c r="Q68" s="150"/>
      <c r="R68" s="150"/>
      <c r="S68" s="150"/>
      <c r="T68" s="150"/>
      <c r="U68" s="150"/>
      <c r="V68" s="150"/>
      <c r="W68" s="150"/>
      <c r="X68" s="150"/>
      <c r="Y68" s="150"/>
      <c r="Z68" s="150"/>
    </row>
    <row r="69" spans="1:26" ht="15.75" customHeight="1">
      <c r="A69" s="150"/>
      <c r="B69" s="150"/>
      <c r="C69" s="150"/>
      <c r="D69" s="150"/>
      <c r="E69" s="150"/>
      <c r="F69" s="150"/>
      <c r="G69" s="151"/>
      <c r="H69" s="150"/>
      <c r="I69" s="150"/>
      <c r="J69" s="150"/>
      <c r="K69" s="150"/>
      <c r="L69" s="150"/>
      <c r="M69" s="150"/>
      <c r="N69" s="150"/>
      <c r="O69" s="150"/>
      <c r="P69" s="150"/>
      <c r="Q69" s="150"/>
      <c r="R69" s="150"/>
      <c r="S69" s="150"/>
      <c r="T69" s="150"/>
      <c r="U69" s="150"/>
      <c r="V69" s="150"/>
      <c r="W69" s="150"/>
      <c r="X69" s="150"/>
      <c r="Y69" s="150"/>
      <c r="Z69" s="150"/>
    </row>
    <row r="70" spans="1:26" ht="15.75" customHeight="1">
      <c r="A70" s="150"/>
      <c r="B70" s="150"/>
      <c r="C70" s="150"/>
      <c r="D70" s="150"/>
      <c r="E70" s="150"/>
      <c r="F70" s="150"/>
      <c r="G70" s="151"/>
      <c r="H70" s="150"/>
      <c r="I70" s="150"/>
      <c r="J70" s="150"/>
      <c r="K70" s="150"/>
      <c r="L70" s="150"/>
      <c r="M70" s="150"/>
      <c r="N70" s="150"/>
      <c r="O70" s="150"/>
      <c r="P70" s="150"/>
      <c r="Q70" s="150"/>
      <c r="R70" s="150"/>
      <c r="S70" s="150"/>
      <c r="T70" s="150"/>
      <c r="U70" s="150"/>
      <c r="V70" s="150"/>
      <c r="W70" s="150"/>
      <c r="X70" s="150"/>
      <c r="Y70" s="150"/>
      <c r="Z70" s="150"/>
    </row>
    <row r="71" spans="1:26" ht="15.75" customHeight="1">
      <c r="A71" s="150"/>
      <c r="B71" s="150"/>
      <c r="C71" s="150"/>
      <c r="D71" s="150"/>
      <c r="E71" s="150"/>
      <c r="F71" s="150"/>
      <c r="G71" s="151"/>
      <c r="H71" s="150"/>
      <c r="I71" s="150"/>
      <c r="J71" s="150"/>
      <c r="K71" s="150"/>
      <c r="L71" s="150"/>
      <c r="M71" s="150"/>
      <c r="N71" s="150"/>
      <c r="O71" s="150"/>
      <c r="P71" s="150"/>
      <c r="Q71" s="150"/>
      <c r="R71" s="150"/>
      <c r="S71" s="150"/>
      <c r="T71" s="150"/>
      <c r="U71" s="150"/>
      <c r="V71" s="150"/>
      <c r="W71" s="150"/>
      <c r="X71" s="150"/>
      <c r="Y71" s="150"/>
      <c r="Z71" s="150"/>
    </row>
    <row r="72" spans="1:26" ht="15.75" customHeight="1">
      <c r="A72" s="150"/>
      <c r="B72" s="150"/>
      <c r="C72" s="150"/>
      <c r="D72" s="150"/>
      <c r="E72" s="150"/>
      <c r="F72" s="150"/>
      <c r="G72" s="151"/>
      <c r="H72" s="150"/>
      <c r="I72" s="150"/>
      <c r="J72" s="150"/>
      <c r="K72" s="150"/>
      <c r="L72" s="150"/>
      <c r="M72" s="150"/>
      <c r="N72" s="150"/>
      <c r="O72" s="150"/>
      <c r="P72" s="150"/>
      <c r="Q72" s="150"/>
      <c r="R72" s="150"/>
      <c r="S72" s="150"/>
      <c r="T72" s="150"/>
      <c r="U72" s="150"/>
      <c r="V72" s="150"/>
      <c r="W72" s="150"/>
      <c r="X72" s="150"/>
      <c r="Y72" s="150"/>
      <c r="Z72" s="150"/>
    </row>
    <row r="73" spans="1:26" ht="15.75" customHeight="1">
      <c r="A73" s="150"/>
      <c r="B73" s="150"/>
      <c r="C73" s="150"/>
      <c r="D73" s="150"/>
      <c r="E73" s="150"/>
      <c r="F73" s="150"/>
      <c r="G73" s="151"/>
      <c r="H73" s="150"/>
      <c r="I73" s="150"/>
      <c r="J73" s="150"/>
      <c r="K73" s="150"/>
      <c r="L73" s="150"/>
      <c r="M73" s="150"/>
      <c r="N73" s="150"/>
      <c r="O73" s="150"/>
      <c r="P73" s="150"/>
      <c r="Q73" s="150"/>
      <c r="R73" s="150"/>
      <c r="S73" s="150"/>
      <c r="T73" s="150"/>
      <c r="U73" s="150"/>
      <c r="V73" s="150"/>
      <c r="W73" s="150"/>
      <c r="X73" s="150"/>
      <c r="Y73" s="150"/>
      <c r="Z73" s="150"/>
    </row>
    <row r="74" spans="1:26" ht="15.75" customHeight="1">
      <c r="A74" s="150"/>
      <c r="B74" s="150"/>
      <c r="C74" s="150"/>
      <c r="D74" s="150"/>
      <c r="E74" s="150"/>
      <c r="F74" s="150"/>
      <c r="G74" s="151"/>
      <c r="H74" s="150"/>
      <c r="I74" s="150"/>
      <c r="J74" s="150"/>
      <c r="K74" s="150"/>
      <c r="L74" s="150"/>
      <c r="M74" s="150"/>
      <c r="N74" s="150"/>
      <c r="O74" s="150"/>
      <c r="P74" s="150"/>
      <c r="Q74" s="150"/>
      <c r="R74" s="150"/>
      <c r="S74" s="150"/>
      <c r="T74" s="150"/>
      <c r="U74" s="150"/>
      <c r="V74" s="150"/>
      <c r="W74" s="150"/>
      <c r="X74" s="150"/>
      <c r="Y74" s="150"/>
      <c r="Z74" s="150"/>
    </row>
    <row r="75" spans="1:26" ht="15.75" customHeight="1">
      <c r="A75" s="150"/>
      <c r="B75" s="150"/>
      <c r="C75" s="150"/>
      <c r="D75" s="150"/>
      <c r="E75" s="150"/>
      <c r="F75" s="150"/>
      <c r="G75" s="151"/>
      <c r="H75" s="150"/>
      <c r="I75" s="150"/>
      <c r="J75" s="150"/>
      <c r="K75" s="150"/>
      <c r="L75" s="150"/>
      <c r="M75" s="150"/>
      <c r="N75" s="150"/>
      <c r="O75" s="150"/>
      <c r="P75" s="150"/>
      <c r="Q75" s="150"/>
      <c r="R75" s="150"/>
      <c r="S75" s="150"/>
      <c r="T75" s="150"/>
      <c r="U75" s="150"/>
      <c r="V75" s="150"/>
      <c r="W75" s="150"/>
      <c r="X75" s="150"/>
      <c r="Y75" s="150"/>
      <c r="Z75" s="150"/>
    </row>
    <row r="76" spans="1:26" ht="15.75" customHeight="1">
      <c r="A76" s="150"/>
      <c r="B76" s="150"/>
      <c r="C76" s="150"/>
      <c r="D76" s="150"/>
      <c r="E76" s="150"/>
      <c r="F76" s="150"/>
      <c r="G76" s="151"/>
      <c r="H76" s="150"/>
      <c r="I76" s="150"/>
      <c r="J76" s="150"/>
      <c r="K76" s="150"/>
      <c r="L76" s="150"/>
      <c r="M76" s="150"/>
      <c r="N76" s="150"/>
      <c r="O76" s="150"/>
      <c r="P76" s="150"/>
      <c r="Q76" s="150"/>
      <c r="R76" s="150"/>
      <c r="S76" s="150"/>
      <c r="T76" s="150"/>
      <c r="U76" s="150"/>
      <c r="V76" s="150"/>
      <c r="W76" s="150"/>
      <c r="X76" s="150"/>
      <c r="Y76" s="150"/>
      <c r="Z76" s="150"/>
    </row>
    <row r="77" spans="1:26" ht="15.75" customHeight="1">
      <c r="A77" s="150"/>
      <c r="B77" s="150"/>
      <c r="C77" s="150"/>
      <c r="D77" s="150"/>
      <c r="E77" s="150"/>
      <c r="F77" s="150"/>
      <c r="G77" s="151"/>
      <c r="H77" s="150"/>
      <c r="I77" s="150"/>
      <c r="J77" s="150"/>
      <c r="K77" s="150"/>
      <c r="L77" s="150"/>
      <c r="M77" s="150"/>
      <c r="N77" s="150"/>
      <c r="O77" s="150"/>
      <c r="P77" s="150"/>
      <c r="Q77" s="150"/>
      <c r="R77" s="150"/>
      <c r="S77" s="150"/>
      <c r="T77" s="150"/>
      <c r="U77" s="150"/>
      <c r="V77" s="150"/>
      <c r="W77" s="150"/>
      <c r="X77" s="150"/>
      <c r="Y77" s="150"/>
      <c r="Z77" s="150"/>
    </row>
    <row r="78" spans="1:26" ht="15.75" customHeight="1">
      <c r="A78" s="150"/>
      <c r="B78" s="150"/>
      <c r="C78" s="150"/>
      <c r="D78" s="150"/>
      <c r="E78" s="150"/>
      <c r="F78" s="150"/>
      <c r="G78" s="151"/>
      <c r="H78" s="150"/>
      <c r="I78" s="150"/>
      <c r="J78" s="150"/>
      <c r="K78" s="150"/>
      <c r="L78" s="150"/>
      <c r="M78" s="150"/>
      <c r="N78" s="150"/>
      <c r="O78" s="150"/>
      <c r="P78" s="150"/>
      <c r="Q78" s="150"/>
      <c r="R78" s="150"/>
      <c r="S78" s="150"/>
      <c r="T78" s="150"/>
      <c r="U78" s="150"/>
      <c r="V78" s="150"/>
      <c r="W78" s="150"/>
      <c r="X78" s="150"/>
      <c r="Y78" s="150"/>
      <c r="Z78" s="150"/>
    </row>
    <row r="79" spans="1:26" ht="15.75" customHeight="1">
      <c r="A79" s="150"/>
      <c r="B79" s="150"/>
      <c r="C79" s="150"/>
      <c r="D79" s="150"/>
      <c r="E79" s="150"/>
      <c r="F79" s="150"/>
      <c r="G79" s="151"/>
      <c r="H79" s="150"/>
      <c r="I79" s="150"/>
      <c r="J79" s="150"/>
      <c r="K79" s="150"/>
      <c r="L79" s="150"/>
      <c r="M79" s="150"/>
      <c r="N79" s="150"/>
      <c r="O79" s="150"/>
      <c r="P79" s="150"/>
      <c r="Q79" s="150"/>
      <c r="R79" s="150"/>
      <c r="S79" s="150"/>
      <c r="T79" s="150"/>
      <c r="U79" s="150"/>
      <c r="V79" s="150"/>
      <c r="W79" s="150"/>
      <c r="X79" s="150"/>
      <c r="Y79" s="150"/>
      <c r="Z79" s="150"/>
    </row>
    <row r="80" spans="1:26" ht="15.75" customHeight="1">
      <c r="A80" s="150"/>
      <c r="B80" s="150"/>
      <c r="C80" s="150"/>
      <c r="D80" s="150"/>
      <c r="E80" s="150"/>
      <c r="F80" s="150"/>
      <c r="G80" s="151"/>
      <c r="H80" s="150"/>
      <c r="I80" s="150"/>
      <c r="J80" s="150"/>
      <c r="K80" s="150"/>
      <c r="L80" s="150"/>
      <c r="M80" s="150"/>
      <c r="N80" s="150"/>
      <c r="O80" s="150"/>
      <c r="P80" s="150"/>
      <c r="Q80" s="150"/>
      <c r="R80" s="150"/>
      <c r="S80" s="150"/>
      <c r="T80" s="150"/>
      <c r="U80" s="150"/>
      <c r="V80" s="150"/>
      <c r="W80" s="150"/>
      <c r="X80" s="150"/>
      <c r="Y80" s="150"/>
      <c r="Z80" s="150"/>
    </row>
    <row r="81" spans="1:26" ht="15.75" customHeight="1">
      <c r="A81" s="150"/>
      <c r="B81" s="150"/>
      <c r="C81" s="150"/>
      <c r="D81" s="150"/>
      <c r="E81" s="150"/>
      <c r="F81" s="150"/>
      <c r="G81" s="151"/>
      <c r="H81" s="150"/>
      <c r="I81" s="150"/>
      <c r="J81" s="150"/>
      <c r="K81" s="150"/>
      <c r="L81" s="150"/>
      <c r="M81" s="150"/>
      <c r="N81" s="150"/>
      <c r="O81" s="150"/>
      <c r="P81" s="150"/>
      <c r="Q81" s="150"/>
      <c r="R81" s="150"/>
      <c r="S81" s="150"/>
      <c r="T81" s="150"/>
      <c r="U81" s="150"/>
      <c r="V81" s="150"/>
      <c r="W81" s="150"/>
      <c r="X81" s="150"/>
      <c r="Y81" s="150"/>
      <c r="Z81" s="150"/>
    </row>
    <row r="82" spans="1:26" ht="15.75" customHeight="1">
      <c r="A82" s="150"/>
      <c r="B82" s="150"/>
      <c r="C82" s="150"/>
      <c r="D82" s="150"/>
      <c r="E82" s="150"/>
      <c r="F82" s="150"/>
      <c r="G82" s="151"/>
      <c r="H82" s="150"/>
      <c r="I82" s="150"/>
      <c r="J82" s="150"/>
      <c r="K82" s="150"/>
      <c r="L82" s="150"/>
      <c r="M82" s="150"/>
      <c r="N82" s="150"/>
      <c r="O82" s="150"/>
      <c r="P82" s="150"/>
      <c r="Q82" s="150"/>
      <c r="R82" s="150"/>
      <c r="S82" s="150"/>
      <c r="T82" s="150"/>
      <c r="U82" s="150"/>
      <c r="V82" s="150"/>
      <c r="W82" s="150"/>
      <c r="X82" s="150"/>
      <c r="Y82" s="150"/>
      <c r="Z82" s="150"/>
    </row>
    <row r="83" spans="1:26" ht="15.75" customHeight="1">
      <c r="A83" s="150"/>
      <c r="B83" s="150"/>
      <c r="C83" s="150"/>
      <c r="D83" s="150"/>
      <c r="E83" s="150"/>
      <c r="F83" s="150"/>
      <c r="G83" s="151"/>
      <c r="H83" s="150"/>
      <c r="I83" s="150"/>
      <c r="J83" s="150"/>
      <c r="K83" s="150"/>
      <c r="L83" s="150"/>
      <c r="M83" s="150"/>
      <c r="N83" s="150"/>
      <c r="O83" s="150"/>
      <c r="P83" s="150"/>
      <c r="Q83" s="150"/>
      <c r="R83" s="150"/>
      <c r="S83" s="150"/>
      <c r="T83" s="150"/>
      <c r="U83" s="150"/>
      <c r="V83" s="150"/>
      <c r="W83" s="150"/>
      <c r="X83" s="150"/>
      <c r="Y83" s="150"/>
      <c r="Z83" s="150"/>
    </row>
    <row r="84" spans="1:26" ht="15.75" customHeight="1">
      <c r="A84" s="150"/>
      <c r="B84" s="150"/>
      <c r="C84" s="150"/>
      <c r="D84" s="150"/>
      <c r="E84" s="150"/>
      <c r="F84" s="150"/>
      <c r="G84" s="151"/>
      <c r="H84" s="150"/>
      <c r="I84" s="150"/>
      <c r="J84" s="150"/>
      <c r="K84" s="150"/>
      <c r="L84" s="150"/>
      <c r="M84" s="150"/>
      <c r="N84" s="150"/>
      <c r="O84" s="150"/>
      <c r="P84" s="150"/>
      <c r="Q84" s="150"/>
      <c r="R84" s="150"/>
      <c r="S84" s="150"/>
      <c r="T84" s="150"/>
      <c r="U84" s="150"/>
      <c r="V84" s="150"/>
      <c r="W84" s="150"/>
      <c r="X84" s="150"/>
      <c r="Y84" s="150"/>
      <c r="Z84" s="150"/>
    </row>
    <row r="85" spans="1:26" ht="15.75" customHeight="1">
      <c r="A85" s="150"/>
      <c r="B85" s="150"/>
      <c r="C85" s="150"/>
      <c r="D85" s="150"/>
      <c r="E85" s="150"/>
      <c r="F85" s="150"/>
      <c r="G85" s="151"/>
      <c r="H85" s="150"/>
      <c r="I85" s="150"/>
      <c r="J85" s="150"/>
      <c r="K85" s="150"/>
      <c r="L85" s="150"/>
      <c r="M85" s="150"/>
      <c r="N85" s="150"/>
      <c r="O85" s="150"/>
      <c r="P85" s="150"/>
      <c r="Q85" s="150"/>
      <c r="R85" s="150"/>
      <c r="S85" s="150"/>
      <c r="T85" s="150"/>
      <c r="U85" s="150"/>
      <c r="V85" s="150"/>
      <c r="W85" s="150"/>
      <c r="X85" s="150"/>
      <c r="Y85" s="150"/>
      <c r="Z85" s="150"/>
    </row>
    <row r="86" spans="1:26" ht="15.75" customHeight="1">
      <c r="A86" s="150"/>
      <c r="B86" s="150"/>
      <c r="C86" s="150"/>
      <c r="D86" s="150"/>
      <c r="E86" s="150"/>
      <c r="F86" s="150"/>
      <c r="G86" s="151"/>
      <c r="H86" s="150"/>
      <c r="I86" s="150"/>
      <c r="J86" s="150"/>
      <c r="K86" s="150"/>
      <c r="L86" s="150"/>
      <c r="M86" s="150"/>
      <c r="N86" s="150"/>
      <c r="O86" s="150"/>
      <c r="P86" s="150"/>
      <c r="Q86" s="150"/>
      <c r="R86" s="150"/>
      <c r="S86" s="150"/>
      <c r="T86" s="150"/>
      <c r="U86" s="150"/>
      <c r="V86" s="150"/>
      <c r="W86" s="150"/>
      <c r="X86" s="150"/>
      <c r="Y86" s="150"/>
      <c r="Z86" s="150"/>
    </row>
    <row r="87" spans="1:26" ht="15.75" customHeight="1">
      <c r="A87" s="150"/>
      <c r="B87" s="150"/>
      <c r="C87" s="150"/>
      <c r="D87" s="150"/>
      <c r="E87" s="150"/>
      <c r="F87" s="150"/>
      <c r="G87" s="151"/>
      <c r="H87" s="150"/>
      <c r="I87" s="150"/>
      <c r="J87" s="150"/>
      <c r="K87" s="150"/>
      <c r="L87" s="150"/>
      <c r="M87" s="150"/>
      <c r="N87" s="150"/>
      <c r="O87" s="150"/>
      <c r="P87" s="150"/>
      <c r="Q87" s="150"/>
      <c r="R87" s="150"/>
      <c r="S87" s="150"/>
      <c r="T87" s="150"/>
      <c r="U87" s="150"/>
      <c r="V87" s="150"/>
      <c r="W87" s="150"/>
      <c r="X87" s="150"/>
      <c r="Y87" s="150"/>
      <c r="Z87" s="150"/>
    </row>
    <row r="88" spans="1:26" ht="15.75" customHeight="1">
      <c r="A88" s="150"/>
      <c r="B88" s="150"/>
      <c r="C88" s="150"/>
      <c r="D88" s="150"/>
      <c r="E88" s="150"/>
      <c r="F88" s="150"/>
      <c r="G88" s="151"/>
      <c r="H88" s="150"/>
      <c r="I88" s="150"/>
      <c r="J88" s="150"/>
      <c r="K88" s="150"/>
      <c r="L88" s="150"/>
      <c r="M88" s="150"/>
      <c r="N88" s="150"/>
      <c r="O88" s="150"/>
      <c r="P88" s="150"/>
      <c r="Q88" s="150"/>
      <c r="R88" s="150"/>
      <c r="S88" s="150"/>
      <c r="T88" s="150"/>
      <c r="U88" s="150"/>
      <c r="V88" s="150"/>
      <c r="W88" s="150"/>
      <c r="X88" s="150"/>
      <c r="Y88" s="150"/>
      <c r="Z88" s="150"/>
    </row>
    <row r="89" spans="1:26" ht="15.75" customHeight="1">
      <c r="A89" s="150"/>
      <c r="B89" s="150"/>
      <c r="C89" s="150"/>
      <c r="D89" s="150"/>
      <c r="E89" s="150"/>
      <c r="F89" s="150"/>
      <c r="G89" s="151"/>
      <c r="H89" s="150"/>
      <c r="I89" s="150"/>
      <c r="J89" s="150"/>
      <c r="K89" s="150"/>
      <c r="L89" s="150"/>
      <c r="M89" s="150"/>
      <c r="N89" s="150"/>
      <c r="O89" s="150"/>
      <c r="P89" s="150"/>
      <c r="Q89" s="150"/>
      <c r="R89" s="150"/>
      <c r="S89" s="150"/>
      <c r="T89" s="150"/>
      <c r="U89" s="150"/>
      <c r="V89" s="150"/>
      <c r="W89" s="150"/>
      <c r="X89" s="150"/>
      <c r="Y89" s="150"/>
      <c r="Z89" s="150"/>
    </row>
    <row r="90" spans="1:26" ht="15.75" customHeight="1">
      <c r="A90" s="150"/>
      <c r="B90" s="150"/>
      <c r="C90" s="150"/>
      <c r="D90" s="150"/>
      <c r="E90" s="150"/>
      <c r="F90" s="150"/>
      <c r="G90" s="151"/>
      <c r="H90" s="150"/>
      <c r="I90" s="150"/>
      <c r="J90" s="150"/>
      <c r="K90" s="150"/>
      <c r="L90" s="150"/>
      <c r="M90" s="150"/>
      <c r="N90" s="150"/>
      <c r="O90" s="150"/>
      <c r="P90" s="150"/>
      <c r="Q90" s="150"/>
      <c r="R90" s="150"/>
      <c r="S90" s="150"/>
      <c r="T90" s="150"/>
      <c r="U90" s="150"/>
      <c r="V90" s="150"/>
      <c r="W90" s="150"/>
      <c r="X90" s="150"/>
      <c r="Y90" s="150"/>
      <c r="Z90" s="150"/>
    </row>
    <row r="91" spans="1:26" ht="15.75" customHeight="1">
      <c r="A91" s="150"/>
      <c r="B91" s="150"/>
      <c r="C91" s="150"/>
      <c r="D91" s="150"/>
      <c r="E91" s="150"/>
      <c r="F91" s="150"/>
      <c r="G91" s="151"/>
      <c r="H91" s="150"/>
      <c r="I91" s="150"/>
      <c r="J91" s="150"/>
      <c r="K91" s="150"/>
      <c r="L91" s="150"/>
      <c r="M91" s="150"/>
      <c r="N91" s="150"/>
      <c r="O91" s="150"/>
      <c r="P91" s="150"/>
      <c r="Q91" s="150"/>
      <c r="R91" s="150"/>
      <c r="S91" s="150"/>
      <c r="T91" s="150"/>
      <c r="U91" s="150"/>
      <c r="V91" s="150"/>
      <c r="W91" s="150"/>
      <c r="X91" s="150"/>
      <c r="Y91" s="150"/>
      <c r="Z91" s="150"/>
    </row>
    <row r="92" spans="1:26" ht="15.75" customHeight="1">
      <c r="A92" s="150"/>
      <c r="B92" s="150"/>
      <c r="C92" s="150"/>
      <c r="D92" s="150"/>
      <c r="E92" s="150"/>
      <c r="F92" s="150"/>
      <c r="G92" s="151"/>
      <c r="H92" s="150"/>
      <c r="I92" s="150"/>
      <c r="J92" s="150"/>
      <c r="K92" s="150"/>
      <c r="L92" s="150"/>
      <c r="M92" s="150"/>
      <c r="N92" s="150"/>
      <c r="O92" s="150"/>
      <c r="P92" s="150"/>
      <c r="Q92" s="150"/>
      <c r="R92" s="150"/>
      <c r="S92" s="150"/>
      <c r="T92" s="150"/>
      <c r="U92" s="150"/>
      <c r="V92" s="150"/>
      <c r="W92" s="150"/>
      <c r="X92" s="150"/>
      <c r="Y92" s="150"/>
      <c r="Z92" s="150"/>
    </row>
    <row r="93" spans="1:26" ht="15.75" customHeight="1">
      <c r="A93" s="150"/>
      <c r="B93" s="150"/>
      <c r="C93" s="150"/>
      <c r="D93" s="150"/>
      <c r="E93" s="150"/>
      <c r="F93" s="150"/>
      <c r="G93" s="151"/>
      <c r="H93" s="150"/>
      <c r="I93" s="150"/>
      <c r="J93" s="150"/>
      <c r="K93" s="150"/>
      <c r="L93" s="150"/>
      <c r="M93" s="150"/>
      <c r="N93" s="150"/>
      <c r="O93" s="150"/>
      <c r="P93" s="150"/>
      <c r="Q93" s="150"/>
      <c r="R93" s="150"/>
      <c r="S93" s="150"/>
      <c r="T93" s="150"/>
      <c r="U93" s="150"/>
      <c r="V93" s="150"/>
      <c r="W93" s="150"/>
      <c r="X93" s="150"/>
      <c r="Y93" s="150"/>
      <c r="Z93" s="150"/>
    </row>
    <row r="94" spans="1:26" ht="15.75" customHeight="1">
      <c r="A94" s="150"/>
      <c r="B94" s="150"/>
      <c r="C94" s="150"/>
      <c r="D94" s="150"/>
      <c r="E94" s="150"/>
      <c r="F94" s="150"/>
      <c r="G94" s="151"/>
      <c r="H94" s="150"/>
      <c r="I94" s="150"/>
      <c r="J94" s="150"/>
      <c r="K94" s="150"/>
      <c r="L94" s="150"/>
      <c r="M94" s="150"/>
      <c r="N94" s="150"/>
      <c r="O94" s="150"/>
      <c r="P94" s="150"/>
      <c r="Q94" s="150"/>
      <c r="R94" s="150"/>
      <c r="S94" s="150"/>
      <c r="T94" s="150"/>
      <c r="U94" s="150"/>
      <c r="V94" s="150"/>
      <c r="W94" s="150"/>
      <c r="X94" s="150"/>
      <c r="Y94" s="150"/>
      <c r="Z94" s="150"/>
    </row>
    <row r="95" spans="1:26" ht="15.75" customHeight="1">
      <c r="A95" s="150"/>
      <c r="B95" s="150"/>
      <c r="C95" s="150"/>
      <c r="D95" s="150"/>
      <c r="E95" s="150"/>
      <c r="F95" s="150"/>
      <c r="G95" s="151"/>
      <c r="H95" s="150"/>
      <c r="I95" s="150"/>
      <c r="J95" s="150"/>
      <c r="K95" s="150"/>
      <c r="L95" s="150"/>
      <c r="M95" s="150"/>
      <c r="N95" s="150"/>
      <c r="O95" s="150"/>
      <c r="P95" s="150"/>
      <c r="Q95" s="150"/>
      <c r="R95" s="150"/>
      <c r="S95" s="150"/>
      <c r="T95" s="150"/>
      <c r="U95" s="150"/>
      <c r="V95" s="150"/>
      <c r="W95" s="150"/>
      <c r="X95" s="150"/>
      <c r="Y95" s="150"/>
      <c r="Z95" s="150"/>
    </row>
    <row r="96" spans="1:26" ht="15.75" customHeight="1">
      <c r="A96" s="150"/>
      <c r="B96" s="150"/>
      <c r="C96" s="150"/>
      <c r="D96" s="150"/>
      <c r="E96" s="150"/>
      <c r="F96" s="150"/>
      <c r="G96" s="151"/>
      <c r="H96" s="150"/>
      <c r="I96" s="150"/>
      <c r="J96" s="150"/>
      <c r="K96" s="150"/>
      <c r="L96" s="150"/>
      <c r="M96" s="150"/>
      <c r="N96" s="150"/>
      <c r="O96" s="150"/>
      <c r="P96" s="150"/>
      <c r="Q96" s="150"/>
      <c r="R96" s="150"/>
      <c r="S96" s="150"/>
      <c r="T96" s="150"/>
      <c r="U96" s="150"/>
      <c r="V96" s="150"/>
      <c r="W96" s="150"/>
      <c r="X96" s="150"/>
      <c r="Y96" s="150"/>
      <c r="Z96" s="150"/>
    </row>
    <row r="97" spans="1:26" ht="15.75" customHeight="1">
      <c r="A97" s="150"/>
      <c r="B97" s="150"/>
      <c r="C97" s="150"/>
      <c r="D97" s="150"/>
      <c r="E97" s="150"/>
      <c r="F97" s="150"/>
      <c r="G97" s="151"/>
      <c r="H97" s="150"/>
      <c r="I97" s="150"/>
      <c r="J97" s="150"/>
      <c r="K97" s="150"/>
      <c r="L97" s="150"/>
      <c r="M97" s="150"/>
      <c r="N97" s="150"/>
      <c r="O97" s="150"/>
      <c r="P97" s="150"/>
      <c r="Q97" s="150"/>
      <c r="R97" s="150"/>
      <c r="S97" s="150"/>
      <c r="T97" s="150"/>
      <c r="U97" s="150"/>
      <c r="V97" s="150"/>
      <c r="W97" s="150"/>
      <c r="X97" s="150"/>
      <c r="Y97" s="150"/>
      <c r="Z97" s="150"/>
    </row>
    <row r="98" spans="1:26" ht="15.75" customHeight="1">
      <c r="A98" s="150"/>
      <c r="B98" s="150"/>
      <c r="C98" s="150"/>
      <c r="D98" s="150"/>
      <c r="E98" s="150"/>
      <c r="F98" s="150"/>
      <c r="G98" s="151"/>
      <c r="H98" s="150"/>
      <c r="I98" s="150"/>
      <c r="J98" s="150"/>
      <c r="K98" s="150"/>
      <c r="L98" s="150"/>
      <c r="M98" s="150"/>
      <c r="N98" s="150"/>
      <c r="O98" s="150"/>
      <c r="P98" s="150"/>
      <c r="Q98" s="150"/>
      <c r="R98" s="150"/>
      <c r="S98" s="150"/>
      <c r="T98" s="150"/>
      <c r="U98" s="150"/>
      <c r="V98" s="150"/>
      <c r="W98" s="150"/>
      <c r="X98" s="150"/>
      <c r="Y98" s="150"/>
      <c r="Z98" s="150"/>
    </row>
    <row r="99" spans="1:26" ht="15.75" customHeight="1">
      <c r="A99" s="150"/>
      <c r="B99" s="150"/>
      <c r="C99" s="150"/>
      <c r="D99" s="150"/>
      <c r="E99" s="150"/>
      <c r="F99" s="150"/>
      <c r="G99" s="151"/>
      <c r="H99" s="150"/>
      <c r="I99" s="150"/>
      <c r="J99" s="150"/>
      <c r="K99" s="150"/>
      <c r="L99" s="150"/>
      <c r="M99" s="150"/>
      <c r="N99" s="150"/>
      <c r="O99" s="150"/>
      <c r="P99" s="150"/>
      <c r="Q99" s="150"/>
      <c r="R99" s="150"/>
      <c r="S99" s="150"/>
      <c r="T99" s="150"/>
      <c r="U99" s="150"/>
      <c r="V99" s="150"/>
      <c r="W99" s="150"/>
      <c r="X99" s="150"/>
      <c r="Y99" s="150"/>
      <c r="Z99" s="150"/>
    </row>
    <row r="100" spans="1:26" ht="15.75" customHeight="1">
      <c r="A100" s="150"/>
      <c r="B100" s="150"/>
      <c r="C100" s="150"/>
      <c r="D100" s="150"/>
      <c r="E100" s="150"/>
      <c r="F100" s="150"/>
      <c r="G100" s="151"/>
      <c r="H100" s="150"/>
      <c r="I100" s="150"/>
      <c r="J100" s="150"/>
      <c r="K100" s="150"/>
      <c r="L100" s="150"/>
      <c r="M100" s="150"/>
      <c r="N100" s="150"/>
      <c r="O100" s="150"/>
      <c r="P100" s="150"/>
      <c r="Q100" s="150"/>
      <c r="R100" s="150"/>
      <c r="S100" s="150"/>
      <c r="T100" s="150"/>
      <c r="U100" s="150"/>
      <c r="V100" s="150"/>
      <c r="W100" s="150"/>
      <c r="X100" s="150"/>
      <c r="Y100" s="150"/>
      <c r="Z100" s="150"/>
    </row>
    <row r="101" spans="1:26" ht="15.75" customHeight="1">
      <c r="A101" s="150"/>
      <c r="B101" s="150"/>
      <c r="C101" s="150"/>
      <c r="D101" s="150"/>
      <c r="E101" s="150"/>
      <c r="F101" s="150"/>
      <c r="G101" s="151"/>
      <c r="H101" s="150"/>
      <c r="I101" s="150"/>
      <c r="J101" s="150"/>
      <c r="K101" s="150"/>
      <c r="L101" s="150"/>
      <c r="M101" s="150"/>
      <c r="N101" s="150"/>
      <c r="O101" s="150"/>
      <c r="P101" s="150"/>
      <c r="Q101" s="150"/>
      <c r="R101" s="150"/>
      <c r="S101" s="150"/>
      <c r="T101" s="150"/>
      <c r="U101" s="150"/>
      <c r="V101" s="150"/>
      <c r="W101" s="150"/>
      <c r="X101" s="150"/>
      <c r="Y101" s="150"/>
      <c r="Z101" s="150"/>
    </row>
    <row r="102" spans="1:26" ht="15.75" customHeight="1">
      <c r="A102" s="150"/>
      <c r="B102" s="150"/>
      <c r="C102" s="150"/>
      <c r="D102" s="150"/>
      <c r="E102" s="150"/>
      <c r="F102" s="150"/>
      <c r="G102" s="151"/>
      <c r="H102" s="150"/>
      <c r="I102" s="150"/>
      <c r="J102" s="150"/>
      <c r="K102" s="150"/>
      <c r="L102" s="150"/>
      <c r="M102" s="150"/>
      <c r="N102" s="150"/>
      <c r="O102" s="150"/>
      <c r="P102" s="150"/>
      <c r="Q102" s="150"/>
      <c r="R102" s="150"/>
      <c r="S102" s="150"/>
      <c r="T102" s="150"/>
      <c r="U102" s="150"/>
      <c r="V102" s="150"/>
      <c r="W102" s="150"/>
      <c r="X102" s="150"/>
      <c r="Y102" s="150"/>
      <c r="Z102" s="150"/>
    </row>
    <row r="103" spans="1:26" ht="15.75" customHeight="1">
      <c r="A103" s="150"/>
      <c r="B103" s="150"/>
      <c r="C103" s="150"/>
      <c r="D103" s="150"/>
      <c r="E103" s="150"/>
      <c r="F103" s="150"/>
      <c r="G103" s="151"/>
      <c r="H103" s="150"/>
      <c r="I103" s="150"/>
      <c r="J103" s="150"/>
      <c r="K103" s="150"/>
      <c r="L103" s="150"/>
      <c r="M103" s="150"/>
      <c r="N103" s="150"/>
      <c r="O103" s="150"/>
      <c r="P103" s="150"/>
      <c r="Q103" s="150"/>
      <c r="R103" s="150"/>
      <c r="S103" s="150"/>
      <c r="T103" s="150"/>
      <c r="U103" s="150"/>
      <c r="V103" s="150"/>
      <c r="W103" s="150"/>
      <c r="X103" s="150"/>
      <c r="Y103" s="150"/>
      <c r="Z103" s="150"/>
    </row>
    <row r="104" spans="1:26" ht="15.75" customHeight="1">
      <c r="A104" s="150"/>
      <c r="B104" s="150"/>
      <c r="C104" s="150"/>
      <c r="D104" s="150"/>
      <c r="E104" s="150"/>
      <c r="F104" s="150"/>
      <c r="G104" s="151"/>
      <c r="H104" s="150"/>
      <c r="I104" s="150"/>
      <c r="J104" s="150"/>
      <c r="K104" s="150"/>
      <c r="L104" s="150"/>
      <c r="M104" s="150"/>
      <c r="N104" s="150"/>
      <c r="O104" s="150"/>
      <c r="P104" s="150"/>
      <c r="Q104" s="150"/>
      <c r="R104" s="150"/>
      <c r="S104" s="150"/>
      <c r="T104" s="150"/>
      <c r="U104" s="150"/>
      <c r="V104" s="150"/>
      <c r="W104" s="150"/>
      <c r="X104" s="150"/>
      <c r="Y104" s="150"/>
      <c r="Z104" s="150"/>
    </row>
    <row r="105" spans="1:26" ht="15.75" customHeight="1">
      <c r="A105" s="150"/>
      <c r="B105" s="150"/>
      <c r="C105" s="150"/>
      <c r="D105" s="150"/>
      <c r="E105" s="150"/>
      <c r="F105" s="150"/>
      <c r="G105" s="151"/>
      <c r="H105" s="150"/>
      <c r="I105" s="150"/>
      <c r="J105" s="150"/>
      <c r="K105" s="150"/>
      <c r="L105" s="150"/>
      <c r="M105" s="150"/>
      <c r="N105" s="150"/>
      <c r="O105" s="150"/>
      <c r="P105" s="150"/>
      <c r="Q105" s="150"/>
      <c r="R105" s="150"/>
      <c r="S105" s="150"/>
      <c r="T105" s="150"/>
      <c r="U105" s="150"/>
      <c r="V105" s="150"/>
      <c r="W105" s="150"/>
      <c r="X105" s="150"/>
      <c r="Y105" s="150"/>
      <c r="Z105" s="150"/>
    </row>
    <row r="106" spans="1:26" ht="15.75" customHeight="1">
      <c r="A106" s="150"/>
      <c r="B106" s="150"/>
      <c r="C106" s="150"/>
      <c r="D106" s="150"/>
      <c r="E106" s="150"/>
      <c r="F106" s="150"/>
      <c r="G106" s="151"/>
      <c r="H106" s="150"/>
      <c r="I106" s="150"/>
      <c r="J106" s="150"/>
      <c r="K106" s="150"/>
      <c r="L106" s="150"/>
      <c r="M106" s="150"/>
      <c r="N106" s="150"/>
      <c r="O106" s="150"/>
      <c r="P106" s="150"/>
      <c r="Q106" s="150"/>
      <c r="R106" s="150"/>
      <c r="S106" s="150"/>
      <c r="T106" s="150"/>
      <c r="U106" s="150"/>
      <c r="V106" s="150"/>
      <c r="W106" s="150"/>
      <c r="X106" s="150"/>
      <c r="Y106" s="150"/>
      <c r="Z106" s="150"/>
    </row>
    <row r="107" spans="1:26" ht="15.75" customHeight="1">
      <c r="A107" s="150"/>
      <c r="B107" s="150"/>
      <c r="C107" s="150"/>
      <c r="D107" s="150"/>
      <c r="E107" s="150"/>
      <c r="F107" s="150"/>
      <c r="G107" s="151"/>
      <c r="H107" s="150"/>
      <c r="I107" s="150"/>
      <c r="J107" s="150"/>
      <c r="K107" s="150"/>
      <c r="L107" s="150"/>
      <c r="M107" s="150"/>
      <c r="N107" s="150"/>
      <c r="O107" s="150"/>
      <c r="P107" s="150"/>
      <c r="Q107" s="150"/>
      <c r="R107" s="150"/>
      <c r="S107" s="150"/>
      <c r="T107" s="150"/>
      <c r="U107" s="150"/>
      <c r="V107" s="150"/>
      <c r="W107" s="150"/>
      <c r="X107" s="150"/>
      <c r="Y107" s="150"/>
      <c r="Z107" s="150"/>
    </row>
    <row r="108" spans="1:26" ht="15.75" customHeight="1">
      <c r="A108" s="150"/>
      <c r="B108" s="150"/>
      <c r="C108" s="150"/>
      <c r="D108" s="150"/>
      <c r="E108" s="150"/>
      <c r="F108" s="150"/>
      <c r="G108" s="151"/>
      <c r="H108" s="150"/>
      <c r="I108" s="150"/>
      <c r="J108" s="150"/>
      <c r="K108" s="150"/>
      <c r="L108" s="150"/>
      <c r="M108" s="150"/>
      <c r="N108" s="150"/>
      <c r="O108" s="150"/>
      <c r="P108" s="150"/>
      <c r="Q108" s="150"/>
      <c r="R108" s="150"/>
      <c r="S108" s="150"/>
      <c r="T108" s="150"/>
      <c r="U108" s="150"/>
      <c r="V108" s="150"/>
      <c r="W108" s="150"/>
      <c r="X108" s="150"/>
      <c r="Y108" s="150"/>
      <c r="Z108" s="150"/>
    </row>
    <row r="109" spans="1:26" ht="15.75" customHeight="1">
      <c r="A109" s="150"/>
      <c r="B109" s="150"/>
      <c r="C109" s="150"/>
      <c r="D109" s="150"/>
      <c r="E109" s="150"/>
      <c r="F109" s="150"/>
      <c r="G109" s="151"/>
      <c r="H109" s="150"/>
      <c r="I109" s="150"/>
      <c r="J109" s="150"/>
      <c r="K109" s="150"/>
      <c r="L109" s="150"/>
      <c r="M109" s="150"/>
      <c r="N109" s="150"/>
      <c r="O109" s="150"/>
      <c r="P109" s="150"/>
      <c r="Q109" s="150"/>
      <c r="R109" s="150"/>
      <c r="S109" s="150"/>
      <c r="T109" s="150"/>
      <c r="U109" s="150"/>
      <c r="V109" s="150"/>
      <c r="W109" s="150"/>
      <c r="X109" s="150"/>
      <c r="Y109" s="150"/>
      <c r="Z109" s="150"/>
    </row>
    <row r="110" spans="1:26" ht="15.75" customHeight="1">
      <c r="A110" s="150"/>
      <c r="B110" s="150"/>
      <c r="C110" s="150"/>
      <c r="D110" s="150"/>
      <c r="E110" s="150"/>
      <c r="F110" s="150"/>
      <c r="G110" s="151"/>
      <c r="H110" s="150"/>
      <c r="I110" s="150"/>
      <c r="J110" s="150"/>
      <c r="K110" s="150"/>
      <c r="L110" s="150"/>
      <c r="M110" s="150"/>
      <c r="N110" s="150"/>
      <c r="O110" s="150"/>
      <c r="P110" s="150"/>
      <c r="Q110" s="150"/>
      <c r="R110" s="150"/>
      <c r="S110" s="150"/>
      <c r="T110" s="150"/>
      <c r="U110" s="150"/>
      <c r="V110" s="150"/>
      <c r="W110" s="150"/>
      <c r="X110" s="150"/>
      <c r="Y110" s="150"/>
      <c r="Z110" s="150"/>
    </row>
    <row r="111" spans="1:26" ht="15.75" customHeight="1">
      <c r="A111" s="150"/>
      <c r="B111" s="150"/>
      <c r="C111" s="150"/>
      <c r="D111" s="150"/>
      <c r="E111" s="150"/>
      <c r="F111" s="150"/>
      <c r="G111" s="151"/>
      <c r="H111" s="150"/>
      <c r="I111" s="150"/>
      <c r="J111" s="150"/>
      <c r="K111" s="150"/>
      <c r="L111" s="150"/>
      <c r="M111" s="150"/>
      <c r="N111" s="150"/>
      <c r="O111" s="150"/>
      <c r="P111" s="150"/>
      <c r="Q111" s="150"/>
      <c r="R111" s="150"/>
      <c r="S111" s="150"/>
      <c r="T111" s="150"/>
      <c r="U111" s="150"/>
      <c r="V111" s="150"/>
      <c r="W111" s="150"/>
      <c r="X111" s="150"/>
      <c r="Y111" s="150"/>
      <c r="Z111" s="150"/>
    </row>
    <row r="112" spans="1:26" ht="15.75" customHeight="1">
      <c r="A112" s="150"/>
      <c r="B112" s="150"/>
      <c r="C112" s="150"/>
      <c r="D112" s="150"/>
      <c r="E112" s="150"/>
      <c r="F112" s="150"/>
      <c r="G112" s="151"/>
      <c r="H112" s="150"/>
      <c r="I112" s="150"/>
      <c r="J112" s="150"/>
      <c r="K112" s="150"/>
      <c r="L112" s="150"/>
      <c r="M112" s="150"/>
      <c r="N112" s="150"/>
      <c r="O112" s="150"/>
      <c r="P112" s="150"/>
      <c r="Q112" s="150"/>
      <c r="R112" s="150"/>
      <c r="S112" s="150"/>
      <c r="T112" s="150"/>
      <c r="U112" s="150"/>
      <c r="V112" s="150"/>
      <c r="W112" s="150"/>
      <c r="X112" s="150"/>
      <c r="Y112" s="150"/>
      <c r="Z112" s="150"/>
    </row>
    <row r="113" spans="1:26" ht="15.75" customHeight="1">
      <c r="A113" s="150"/>
      <c r="B113" s="150"/>
      <c r="C113" s="150"/>
      <c r="D113" s="150"/>
      <c r="E113" s="150"/>
      <c r="F113" s="150"/>
      <c r="G113" s="151"/>
      <c r="H113" s="150"/>
      <c r="I113" s="150"/>
      <c r="J113" s="150"/>
      <c r="K113" s="150"/>
      <c r="L113" s="150"/>
      <c r="M113" s="150"/>
      <c r="N113" s="150"/>
      <c r="O113" s="150"/>
      <c r="P113" s="150"/>
      <c r="Q113" s="150"/>
      <c r="R113" s="150"/>
      <c r="S113" s="150"/>
      <c r="T113" s="150"/>
      <c r="U113" s="150"/>
      <c r="V113" s="150"/>
      <c r="W113" s="150"/>
      <c r="X113" s="150"/>
      <c r="Y113" s="150"/>
      <c r="Z113" s="150"/>
    </row>
    <row r="114" spans="1:26" ht="15.75" customHeight="1">
      <c r="A114" s="150"/>
      <c r="B114" s="150"/>
      <c r="C114" s="150"/>
      <c r="D114" s="150"/>
      <c r="E114" s="150"/>
      <c r="F114" s="150"/>
      <c r="G114" s="151"/>
      <c r="H114" s="150"/>
      <c r="I114" s="150"/>
      <c r="J114" s="150"/>
      <c r="K114" s="150"/>
      <c r="L114" s="150"/>
      <c r="M114" s="150"/>
      <c r="N114" s="150"/>
      <c r="O114" s="150"/>
      <c r="P114" s="150"/>
      <c r="Q114" s="150"/>
      <c r="R114" s="150"/>
      <c r="S114" s="150"/>
      <c r="T114" s="150"/>
      <c r="U114" s="150"/>
      <c r="V114" s="150"/>
      <c r="W114" s="150"/>
      <c r="X114" s="150"/>
      <c r="Y114" s="150"/>
      <c r="Z114" s="150"/>
    </row>
    <row r="115" spans="1:26" ht="15.75" customHeight="1">
      <c r="A115" s="150"/>
      <c r="B115" s="150"/>
      <c r="C115" s="150"/>
      <c r="D115" s="150"/>
      <c r="E115" s="150"/>
      <c r="F115" s="150"/>
      <c r="G115" s="151"/>
      <c r="H115" s="150"/>
      <c r="I115" s="150"/>
      <c r="J115" s="150"/>
      <c r="K115" s="150"/>
      <c r="L115" s="150"/>
      <c r="M115" s="150"/>
      <c r="N115" s="150"/>
      <c r="O115" s="150"/>
      <c r="P115" s="150"/>
      <c r="Q115" s="150"/>
      <c r="R115" s="150"/>
      <c r="S115" s="150"/>
      <c r="T115" s="150"/>
      <c r="U115" s="150"/>
      <c r="V115" s="150"/>
      <c r="W115" s="150"/>
      <c r="X115" s="150"/>
      <c r="Y115" s="150"/>
      <c r="Z115" s="150"/>
    </row>
    <row r="116" spans="1:26" ht="15.75" customHeight="1">
      <c r="A116" s="150"/>
      <c r="B116" s="150"/>
      <c r="C116" s="150"/>
      <c r="D116" s="150"/>
      <c r="E116" s="150"/>
      <c r="F116" s="150"/>
      <c r="G116" s="151"/>
      <c r="H116" s="150"/>
      <c r="I116" s="150"/>
      <c r="J116" s="150"/>
      <c r="K116" s="150"/>
      <c r="L116" s="150"/>
      <c r="M116" s="150"/>
      <c r="N116" s="150"/>
      <c r="O116" s="150"/>
      <c r="P116" s="150"/>
      <c r="Q116" s="150"/>
      <c r="R116" s="150"/>
      <c r="S116" s="150"/>
      <c r="T116" s="150"/>
      <c r="U116" s="150"/>
      <c r="V116" s="150"/>
      <c r="W116" s="150"/>
      <c r="X116" s="150"/>
      <c r="Y116" s="150"/>
      <c r="Z116" s="150"/>
    </row>
    <row r="117" spans="1:26" ht="15.75" customHeight="1">
      <c r="A117" s="150"/>
      <c r="B117" s="150"/>
      <c r="C117" s="150"/>
      <c r="D117" s="150"/>
      <c r="E117" s="150"/>
      <c r="F117" s="150"/>
      <c r="G117" s="151"/>
      <c r="H117" s="150"/>
      <c r="I117" s="150"/>
      <c r="J117" s="150"/>
      <c r="K117" s="150"/>
      <c r="L117" s="150"/>
      <c r="M117" s="150"/>
      <c r="N117" s="150"/>
      <c r="O117" s="150"/>
      <c r="P117" s="150"/>
      <c r="Q117" s="150"/>
      <c r="R117" s="150"/>
      <c r="S117" s="150"/>
      <c r="T117" s="150"/>
      <c r="U117" s="150"/>
      <c r="V117" s="150"/>
      <c r="W117" s="150"/>
      <c r="X117" s="150"/>
      <c r="Y117" s="150"/>
      <c r="Z117" s="150"/>
    </row>
    <row r="118" spans="1:26" ht="15.75" customHeight="1">
      <c r="A118" s="150"/>
      <c r="B118" s="150"/>
      <c r="C118" s="150"/>
      <c r="D118" s="150"/>
      <c r="E118" s="150"/>
      <c r="F118" s="150"/>
      <c r="G118" s="151"/>
      <c r="H118" s="150"/>
      <c r="I118" s="150"/>
      <c r="J118" s="150"/>
      <c r="K118" s="150"/>
      <c r="L118" s="150"/>
      <c r="M118" s="150"/>
      <c r="N118" s="150"/>
      <c r="O118" s="150"/>
      <c r="P118" s="150"/>
      <c r="Q118" s="150"/>
      <c r="R118" s="150"/>
      <c r="S118" s="150"/>
      <c r="T118" s="150"/>
      <c r="U118" s="150"/>
      <c r="V118" s="150"/>
      <c r="W118" s="150"/>
      <c r="X118" s="150"/>
      <c r="Y118" s="150"/>
      <c r="Z118" s="150"/>
    </row>
    <row r="119" spans="1:26" ht="15.75" customHeight="1">
      <c r="A119" s="150"/>
      <c r="B119" s="150"/>
      <c r="C119" s="150"/>
      <c r="D119" s="150"/>
      <c r="E119" s="150"/>
      <c r="F119" s="150"/>
      <c r="G119" s="151"/>
      <c r="H119" s="150"/>
      <c r="I119" s="150"/>
      <c r="J119" s="150"/>
      <c r="K119" s="150"/>
      <c r="L119" s="150"/>
      <c r="M119" s="150"/>
      <c r="N119" s="150"/>
      <c r="O119" s="150"/>
      <c r="P119" s="150"/>
      <c r="Q119" s="150"/>
      <c r="R119" s="150"/>
      <c r="S119" s="150"/>
      <c r="T119" s="150"/>
      <c r="U119" s="150"/>
      <c r="V119" s="150"/>
      <c r="W119" s="150"/>
      <c r="X119" s="150"/>
      <c r="Y119" s="150"/>
      <c r="Z119" s="150"/>
    </row>
    <row r="120" spans="1:26" ht="15.75" customHeight="1">
      <c r="A120" s="150"/>
      <c r="B120" s="150"/>
      <c r="C120" s="150"/>
      <c r="D120" s="150"/>
      <c r="E120" s="150"/>
      <c r="F120" s="150"/>
      <c r="G120" s="151"/>
      <c r="H120" s="150"/>
      <c r="I120" s="150"/>
      <c r="J120" s="150"/>
      <c r="K120" s="150"/>
      <c r="L120" s="150"/>
      <c r="M120" s="150"/>
      <c r="N120" s="150"/>
      <c r="O120" s="150"/>
      <c r="P120" s="150"/>
      <c r="Q120" s="150"/>
      <c r="R120" s="150"/>
      <c r="S120" s="150"/>
      <c r="T120" s="150"/>
      <c r="U120" s="150"/>
      <c r="V120" s="150"/>
      <c r="W120" s="150"/>
      <c r="X120" s="150"/>
      <c r="Y120" s="150"/>
      <c r="Z120" s="150"/>
    </row>
    <row r="121" spans="1:26" ht="15.75" customHeight="1">
      <c r="A121" s="150"/>
      <c r="B121" s="150"/>
      <c r="C121" s="150"/>
      <c r="D121" s="150"/>
      <c r="E121" s="150"/>
      <c r="F121" s="150"/>
      <c r="G121" s="151"/>
      <c r="H121" s="150"/>
      <c r="I121" s="150"/>
      <c r="J121" s="150"/>
      <c r="K121" s="150"/>
      <c r="L121" s="150"/>
      <c r="M121" s="150"/>
      <c r="N121" s="150"/>
      <c r="O121" s="150"/>
      <c r="P121" s="150"/>
      <c r="Q121" s="150"/>
      <c r="R121" s="150"/>
      <c r="S121" s="150"/>
      <c r="T121" s="150"/>
      <c r="U121" s="150"/>
      <c r="V121" s="150"/>
      <c r="W121" s="150"/>
      <c r="X121" s="150"/>
      <c r="Y121" s="150"/>
      <c r="Z121" s="150"/>
    </row>
    <row r="122" spans="1:26" ht="15.75" customHeight="1">
      <c r="A122" s="150"/>
      <c r="B122" s="150"/>
      <c r="C122" s="150"/>
      <c r="D122" s="150"/>
      <c r="E122" s="150"/>
      <c r="F122" s="150"/>
      <c r="G122" s="151"/>
      <c r="H122" s="150"/>
      <c r="I122" s="150"/>
      <c r="J122" s="150"/>
      <c r="K122" s="150"/>
      <c r="L122" s="150"/>
      <c r="M122" s="150"/>
      <c r="N122" s="150"/>
      <c r="O122" s="150"/>
      <c r="P122" s="150"/>
      <c r="Q122" s="150"/>
      <c r="R122" s="150"/>
      <c r="S122" s="150"/>
      <c r="T122" s="150"/>
      <c r="U122" s="150"/>
      <c r="V122" s="150"/>
      <c r="W122" s="150"/>
      <c r="X122" s="150"/>
      <c r="Y122" s="150"/>
      <c r="Z122" s="150"/>
    </row>
    <row r="123" spans="1:26" ht="15.75" customHeight="1">
      <c r="A123" s="150"/>
      <c r="B123" s="150"/>
      <c r="C123" s="150"/>
      <c r="D123" s="150"/>
      <c r="E123" s="150"/>
      <c r="F123" s="150"/>
      <c r="G123" s="151"/>
      <c r="H123" s="150"/>
      <c r="I123" s="150"/>
      <c r="J123" s="150"/>
      <c r="K123" s="150"/>
      <c r="L123" s="150"/>
      <c r="M123" s="150"/>
      <c r="N123" s="150"/>
      <c r="O123" s="150"/>
      <c r="P123" s="150"/>
      <c r="Q123" s="150"/>
      <c r="R123" s="150"/>
      <c r="S123" s="150"/>
      <c r="T123" s="150"/>
      <c r="U123" s="150"/>
      <c r="V123" s="150"/>
      <c r="W123" s="150"/>
      <c r="X123" s="150"/>
      <c r="Y123" s="150"/>
      <c r="Z123" s="150"/>
    </row>
    <row r="124" spans="1:26" ht="15.75" customHeight="1">
      <c r="A124" s="150"/>
      <c r="B124" s="150"/>
      <c r="C124" s="150"/>
      <c r="D124" s="150"/>
      <c r="E124" s="150"/>
      <c r="F124" s="150"/>
      <c r="G124" s="151"/>
      <c r="H124" s="150"/>
      <c r="I124" s="150"/>
      <c r="J124" s="150"/>
      <c r="K124" s="150"/>
      <c r="L124" s="150"/>
      <c r="M124" s="150"/>
      <c r="N124" s="150"/>
      <c r="O124" s="150"/>
      <c r="P124" s="150"/>
      <c r="Q124" s="150"/>
      <c r="R124" s="150"/>
      <c r="S124" s="150"/>
      <c r="T124" s="150"/>
      <c r="U124" s="150"/>
      <c r="V124" s="150"/>
      <c r="W124" s="150"/>
      <c r="X124" s="150"/>
      <c r="Y124" s="150"/>
      <c r="Z124" s="150"/>
    </row>
    <row r="125" spans="1:26" ht="15.75" customHeight="1">
      <c r="A125" s="150"/>
      <c r="B125" s="150"/>
      <c r="C125" s="150"/>
      <c r="D125" s="150"/>
      <c r="E125" s="150"/>
      <c r="F125" s="150"/>
      <c r="G125" s="151"/>
      <c r="H125" s="150"/>
      <c r="I125" s="150"/>
      <c r="J125" s="150"/>
      <c r="K125" s="150"/>
      <c r="L125" s="150"/>
      <c r="M125" s="150"/>
      <c r="N125" s="150"/>
      <c r="O125" s="150"/>
      <c r="P125" s="150"/>
      <c r="Q125" s="150"/>
      <c r="R125" s="150"/>
      <c r="S125" s="150"/>
      <c r="T125" s="150"/>
      <c r="U125" s="150"/>
      <c r="V125" s="150"/>
      <c r="W125" s="150"/>
      <c r="X125" s="150"/>
      <c r="Y125" s="150"/>
      <c r="Z125" s="150"/>
    </row>
    <row r="126" spans="1:26" ht="15.75" customHeight="1">
      <c r="A126" s="150"/>
      <c r="B126" s="150"/>
      <c r="C126" s="150"/>
      <c r="D126" s="150"/>
      <c r="E126" s="150"/>
      <c r="F126" s="150"/>
      <c r="G126" s="151"/>
      <c r="H126" s="150"/>
      <c r="I126" s="150"/>
      <c r="J126" s="150"/>
      <c r="K126" s="150"/>
      <c r="L126" s="150"/>
      <c r="M126" s="150"/>
      <c r="N126" s="150"/>
      <c r="O126" s="150"/>
      <c r="P126" s="150"/>
      <c r="Q126" s="150"/>
      <c r="R126" s="150"/>
      <c r="S126" s="150"/>
      <c r="T126" s="150"/>
      <c r="U126" s="150"/>
      <c r="V126" s="150"/>
      <c r="W126" s="150"/>
      <c r="X126" s="150"/>
      <c r="Y126" s="150"/>
      <c r="Z126" s="150"/>
    </row>
    <row r="127" spans="1:26" ht="15.75" customHeight="1">
      <c r="A127" s="150"/>
      <c r="B127" s="150"/>
      <c r="C127" s="150"/>
      <c r="D127" s="150"/>
      <c r="E127" s="150"/>
      <c r="F127" s="150"/>
      <c r="G127" s="151"/>
      <c r="H127" s="150"/>
      <c r="I127" s="150"/>
      <c r="J127" s="150"/>
      <c r="K127" s="150"/>
      <c r="L127" s="150"/>
      <c r="M127" s="150"/>
      <c r="N127" s="150"/>
      <c r="O127" s="150"/>
      <c r="P127" s="150"/>
      <c r="Q127" s="150"/>
      <c r="R127" s="150"/>
      <c r="S127" s="150"/>
      <c r="T127" s="150"/>
      <c r="U127" s="150"/>
      <c r="V127" s="150"/>
      <c r="W127" s="150"/>
      <c r="X127" s="150"/>
      <c r="Y127" s="150"/>
      <c r="Z127" s="150"/>
    </row>
    <row r="128" spans="1:26" ht="15.75" customHeight="1">
      <c r="A128" s="150"/>
      <c r="B128" s="150"/>
      <c r="C128" s="150"/>
      <c r="D128" s="150"/>
      <c r="E128" s="150"/>
      <c r="F128" s="150"/>
      <c r="G128" s="151"/>
      <c r="H128" s="150"/>
      <c r="I128" s="150"/>
      <c r="J128" s="150"/>
      <c r="K128" s="150"/>
      <c r="L128" s="150"/>
      <c r="M128" s="150"/>
      <c r="N128" s="150"/>
      <c r="O128" s="150"/>
      <c r="P128" s="150"/>
      <c r="Q128" s="150"/>
      <c r="R128" s="150"/>
      <c r="S128" s="150"/>
      <c r="T128" s="150"/>
      <c r="U128" s="150"/>
      <c r="V128" s="150"/>
      <c r="W128" s="150"/>
      <c r="X128" s="150"/>
      <c r="Y128" s="150"/>
      <c r="Z128" s="150"/>
    </row>
    <row r="129" spans="1:26" ht="15.75" customHeight="1">
      <c r="A129" s="150"/>
      <c r="B129" s="150"/>
      <c r="C129" s="150"/>
      <c r="D129" s="150"/>
      <c r="E129" s="150"/>
      <c r="F129" s="150"/>
      <c r="G129" s="151"/>
      <c r="H129" s="150"/>
      <c r="I129" s="150"/>
      <c r="J129" s="150"/>
      <c r="K129" s="150"/>
      <c r="L129" s="150"/>
      <c r="M129" s="150"/>
      <c r="N129" s="150"/>
      <c r="O129" s="150"/>
      <c r="P129" s="150"/>
      <c r="Q129" s="150"/>
      <c r="R129" s="150"/>
      <c r="S129" s="150"/>
      <c r="T129" s="150"/>
      <c r="U129" s="150"/>
      <c r="V129" s="150"/>
      <c r="W129" s="150"/>
      <c r="X129" s="150"/>
      <c r="Y129" s="150"/>
      <c r="Z129" s="150"/>
    </row>
    <row r="130" spans="1:26" ht="15.75" customHeight="1">
      <c r="A130" s="150"/>
      <c r="B130" s="150"/>
      <c r="C130" s="150"/>
      <c r="D130" s="150"/>
      <c r="E130" s="150"/>
      <c r="F130" s="150"/>
      <c r="G130" s="151"/>
      <c r="H130" s="150"/>
      <c r="I130" s="150"/>
      <c r="J130" s="150"/>
      <c r="K130" s="150"/>
      <c r="L130" s="150"/>
      <c r="M130" s="150"/>
      <c r="N130" s="150"/>
      <c r="O130" s="150"/>
      <c r="P130" s="150"/>
      <c r="Q130" s="150"/>
      <c r="R130" s="150"/>
      <c r="S130" s="150"/>
      <c r="T130" s="150"/>
      <c r="U130" s="150"/>
      <c r="V130" s="150"/>
      <c r="W130" s="150"/>
      <c r="X130" s="150"/>
      <c r="Y130" s="150"/>
      <c r="Z130" s="150"/>
    </row>
    <row r="131" spans="1:26" ht="15.75" customHeight="1">
      <c r="A131" s="150"/>
      <c r="B131" s="150"/>
      <c r="C131" s="150"/>
      <c r="D131" s="150"/>
      <c r="E131" s="150"/>
      <c r="F131" s="150"/>
      <c r="G131" s="151"/>
      <c r="H131" s="150"/>
      <c r="I131" s="150"/>
      <c r="J131" s="150"/>
      <c r="K131" s="150"/>
      <c r="L131" s="150"/>
      <c r="M131" s="150"/>
      <c r="N131" s="150"/>
      <c r="O131" s="150"/>
      <c r="P131" s="150"/>
      <c r="Q131" s="150"/>
      <c r="R131" s="150"/>
      <c r="S131" s="150"/>
      <c r="T131" s="150"/>
      <c r="U131" s="150"/>
      <c r="V131" s="150"/>
      <c r="W131" s="150"/>
      <c r="X131" s="150"/>
      <c r="Y131" s="150"/>
      <c r="Z131" s="150"/>
    </row>
    <row r="132" spans="1:26" ht="15.75" customHeight="1">
      <c r="A132" s="150"/>
      <c r="B132" s="150"/>
      <c r="C132" s="150"/>
      <c r="D132" s="150"/>
      <c r="E132" s="150"/>
      <c r="F132" s="150"/>
      <c r="G132" s="151"/>
      <c r="H132" s="150"/>
      <c r="I132" s="150"/>
      <c r="J132" s="150"/>
      <c r="K132" s="150"/>
      <c r="L132" s="150"/>
      <c r="M132" s="150"/>
      <c r="N132" s="150"/>
      <c r="O132" s="150"/>
      <c r="P132" s="150"/>
      <c r="Q132" s="150"/>
      <c r="R132" s="150"/>
      <c r="S132" s="150"/>
      <c r="T132" s="150"/>
      <c r="U132" s="150"/>
      <c r="V132" s="150"/>
      <c r="W132" s="150"/>
      <c r="X132" s="150"/>
      <c r="Y132" s="150"/>
      <c r="Z132" s="150"/>
    </row>
    <row r="133" spans="1:26" ht="15.75" customHeight="1">
      <c r="A133" s="150"/>
      <c r="B133" s="150"/>
      <c r="C133" s="150"/>
      <c r="D133" s="150"/>
      <c r="E133" s="150"/>
      <c r="F133" s="150"/>
      <c r="G133" s="151"/>
      <c r="H133" s="150"/>
      <c r="I133" s="150"/>
      <c r="J133" s="150"/>
      <c r="K133" s="150"/>
      <c r="L133" s="150"/>
      <c r="M133" s="150"/>
      <c r="N133" s="150"/>
      <c r="O133" s="150"/>
      <c r="P133" s="150"/>
      <c r="Q133" s="150"/>
      <c r="R133" s="150"/>
      <c r="S133" s="150"/>
      <c r="T133" s="150"/>
      <c r="U133" s="150"/>
      <c r="V133" s="150"/>
      <c r="W133" s="150"/>
      <c r="X133" s="150"/>
      <c r="Y133" s="150"/>
      <c r="Z133" s="150"/>
    </row>
    <row r="134" spans="1:26" ht="15.75" customHeight="1">
      <c r="A134" s="150"/>
      <c r="B134" s="150"/>
      <c r="C134" s="150"/>
      <c r="D134" s="150"/>
      <c r="E134" s="150"/>
      <c r="F134" s="150"/>
      <c r="G134" s="151"/>
      <c r="H134" s="150"/>
      <c r="I134" s="150"/>
      <c r="J134" s="150"/>
      <c r="K134" s="150"/>
      <c r="L134" s="150"/>
      <c r="M134" s="150"/>
      <c r="N134" s="150"/>
      <c r="O134" s="150"/>
      <c r="P134" s="150"/>
      <c r="Q134" s="150"/>
      <c r="R134" s="150"/>
      <c r="S134" s="150"/>
      <c r="T134" s="150"/>
      <c r="U134" s="150"/>
      <c r="V134" s="150"/>
      <c r="W134" s="150"/>
      <c r="X134" s="150"/>
      <c r="Y134" s="150"/>
      <c r="Z134" s="150"/>
    </row>
    <row r="135" spans="1:26" ht="15.75" customHeight="1">
      <c r="A135" s="150"/>
      <c r="B135" s="150"/>
      <c r="C135" s="150"/>
      <c r="D135" s="150"/>
      <c r="E135" s="150"/>
      <c r="F135" s="150"/>
      <c r="G135" s="151"/>
      <c r="H135" s="150"/>
      <c r="I135" s="150"/>
      <c r="J135" s="150"/>
      <c r="K135" s="150"/>
      <c r="L135" s="150"/>
      <c r="M135" s="150"/>
      <c r="N135" s="150"/>
      <c r="O135" s="150"/>
      <c r="P135" s="150"/>
      <c r="Q135" s="150"/>
      <c r="R135" s="150"/>
      <c r="S135" s="150"/>
      <c r="T135" s="150"/>
      <c r="U135" s="150"/>
      <c r="V135" s="150"/>
      <c r="W135" s="150"/>
      <c r="X135" s="150"/>
      <c r="Y135" s="150"/>
      <c r="Z135" s="150"/>
    </row>
    <row r="136" spans="1:26" ht="15.75" customHeight="1">
      <c r="A136" s="150"/>
      <c r="B136" s="150"/>
      <c r="C136" s="150"/>
      <c r="D136" s="150"/>
      <c r="E136" s="150"/>
      <c r="F136" s="150"/>
      <c r="G136" s="151"/>
      <c r="H136" s="150"/>
      <c r="I136" s="150"/>
      <c r="J136" s="150"/>
      <c r="K136" s="150"/>
      <c r="L136" s="150"/>
      <c r="M136" s="150"/>
      <c r="N136" s="150"/>
      <c r="O136" s="150"/>
      <c r="P136" s="150"/>
      <c r="Q136" s="150"/>
      <c r="R136" s="150"/>
      <c r="S136" s="150"/>
      <c r="T136" s="150"/>
      <c r="U136" s="150"/>
      <c r="V136" s="150"/>
      <c r="W136" s="150"/>
      <c r="X136" s="150"/>
      <c r="Y136" s="150"/>
      <c r="Z136" s="150"/>
    </row>
    <row r="137" spans="1:26" ht="15.75" customHeight="1">
      <c r="A137" s="150"/>
      <c r="B137" s="150"/>
      <c r="C137" s="150"/>
      <c r="D137" s="150"/>
      <c r="E137" s="150"/>
      <c r="F137" s="150"/>
      <c r="G137" s="151"/>
      <c r="H137" s="150"/>
      <c r="I137" s="150"/>
      <c r="J137" s="150"/>
      <c r="K137" s="150"/>
      <c r="L137" s="150"/>
      <c r="M137" s="150"/>
      <c r="N137" s="150"/>
      <c r="O137" s="150"/>
      <c r="P137" s="150"/>
      <c r="Q137" s="150"/>
      <c r="R137" s="150"/>
      <c r="S137" s="150"/>
      <c r="T137" s="150"/>
      <c r="U137" s="150"/>
      <c r="V137" s="150"/>
      <c r="W137" s="150"/>
      <c r="X137" s="150"/>
      <c r="Y137" s="150"/>
      <c r="Z137" s="150"/>
    </row>
    <row r="138" spans="1:26" ht="15.75" customHeight="1">
      <c r="A138" s="150"/>
      <c r="B138" s="150"/>
      <c r="C138" s="150"/>
      <c r="D138" s="150"/>
      <c r="E138" s="150"/>
      <c r="F138" s="150"/>
      <c r="G138" s="151"/>
      <c r="H138" s="150"/>
      <c r="I138" s="150"/>
      <c r="J138" s="150"/>
      <c r="K138" s="150"/>
      <c r="L138" s="150"/>
      <c r="M138" s="150"/>
      <c r="N138" s="150"/>
      <c r="O138" s="150"/>
      <c r="P138" s="150"/>
      <c r="Q138" s="150"/>
      <c r="R138" s="150"/>
      <c r="S138" s="150"/>
      <c r="T138" s="150"/>
      <c r="U138" s="150"/>
      <c r="V138" s="150"/>
      <c r="W138" s="150"/>
      <c r="X138" s="150"/>
      <c r="Y138" s="150"/>
      <c r="Z138" s="150"/>
    </row>
    <row r="139" spans="1:26" ht="15.75" customHeight="1">
      <c r="A139" s="150"/>
      <c r="B139" s="150"/>
      <c r="C139" s="150"/>
      <c r="D139" s="150"/>
      <c r="E139" s="150"/>
      <c r="F139" s="150"/>
      <c r="G139" s="151"/>
      <c r="H139" s="150"/>
      <c r="I139" s="150"/>
      <c r="J139" s="150"/>
      <c r="K139" s="150"/>
      <c r="L139" s="150"/>
      <c r="M139" s="150"/>
      <c r="N139" s="150"/>
      <c r="O139" s="150"/>
      <c r="P139" s="150"/>
      <c r="Q139" s="150"/>
      <c r="R139" s="150"/>
      <c r="S139" s="150"/>
      <c r="T139" s="150"/>
      <c r="U139" s="150"/>
      <c r="V139" s="150"/>
      <c r="W139" s="150"/>
      <c r="X139" s="150"/>
      <c r="Y139" s="150"/>
      <c r="Z139" s="150"/>
    </row>
    <row r="140" spans="1:26" ht="15.75" customHeight="1">
      <c r="A140" s="150"/>
      <c r="B140" s="150"/>
      <c r="C140" s="150"/>
      <c r="D140" s="150"/>
      <c r="E140" s="150"/>
      <c r="F140" s="150"/>
      <c r="G140" s="151"/>
      <c r="H140" s="150"/>
      <c r="I140" s="150"/>
      <c r="J140" s="150"/>
      <c r="K140" s="150"/>
      <c r="L140" s="150"/>
      <c r="M140" s="150"/>
      <c r="N140" s="150"/>
      <c r="O140" s="150"/>
      <c r="P140" s="150"/>
      <c r="Q140" s="150"/>
      <c r="R140" s="150"/>
      <c r="S140" s="150"/>
      <c r="T140" s="150"/>
      <c r="U140" s="150"/>
      <c r="V140" s="150"/>
      <c r="W140" s="150"/>
      <c r="X140" s="150"/>
      <c r="Y140" s="150"/>
      <c r="Z140" s="150"/>
    </row>
    <row r="141" spans="1:26" ht="15.75" customHeight="1">
      <c r="A141" s="150"/>
      <c r="B141" s="150"/>
      <c r="C141" s="150"/>
      <c r="D141" s="150"/>
      <c r="E141" s="150"/>
      <c r="F141" s="150"/>
      <c r="G141" s="151"/>
      <c r="H141" s="150"/>
      <c r="I141" s="150"/>
      <c r="J141" s="150"/>
      <c r="K141" s="150"/>
      <c r="L141" s="150"/>
      <c r="M141" s="150"/>
      <c r="N141" s="150"/>
      <c r="O141" s="150"/>
      <c r="P141" s="150"/>
      <c r="Q141" s="150"/>
      <c r="R141" s="150"/>
      <c r="S141" s="150"/>
      <c r="T141" s="150"/>
      <c r="U141" s="150"/>
      <c r="V141" s="150"/>
      <c r="W141" s="150"/>
      <c r="X141" s="150"/>
      <c r="Y141" s="150"/>
      <c r="Z141" s="150"/>
    </row>
    <row r="142" spans="1:26" ht="15.75" customHeight="1">
      <c r="A142" s="150"/>
      <c r="B142" s="150"/>
      <c r="C142" s="150"/>
      <c r="D142" s="150"/>
      <c r="E142" s="150"/>
      <c r="F142" s="150"/>
      <c r="G142" s="151"/>
      <c r="H142" s="150"/>
      <c r="I142" s="150"/>
      <c r="J142" s="150"/>
      <c r="K142" s="150"/>
      <c r="L142" s="150"/>
      <c r="M142" s="150"/>
      <c r="N142" s="150"/>
      <c r="O142" s="150"/>
      <c r="P142" s="150"/>
      <c r="Q142" s="150"/>
      <c r="R142" s="150"/>
      <c r="S142" s="150"/>
      <c r="T142" s="150"/>
      <c r="U142" s="150"/>
      <c r="V142" s="150"/>
      <c r="W142" s="150"/>
      <c r="X142" s="150"/>
      <c r="Y142" s="150"/>
      <c r="Z142" s="150"/>
    </row>
    <row r="143" spans="1:26" ht="15.75" customHeight="1">
      <c r="A143" s="150"/>
      <c r="B143" s="150"/>
      <c r="C143" s="150"/>
      <c r="D143" s="150"/>
      <c r="E143" s="150"/>
      <c r="F143" s="150"/>
      <c r="G143" s="151"/>
      <c r="H143" s="150"/>
      <c r="I143" s="150"/>
      <c r="J143" s="150"/>
      <c r="K143" s="150"/>
      <c r="L143" s="150"/>
      <c r="M143" s="150"/>
      <c r="N143" s="150"/>
      <c r="O143" s="150"/>
      <c r="P143" s="150"/>
      <c r="Q143" s="150"/>
      <c r="R143" s="150"/>
      <c r="S143" s="150"/>
      <c r="T143" s="150"/>
      <c r="U143" s="150"/>
      <c r="V143" s="150"/>
      <c r="W143" s="150"/>
      <c r="X143" s="150"/>
      <c r="Y143" s="150"/>
      <c r="Z143" s="150"/>
    </row>
    <row r="144" spans="1:26" ht="15.75" customHeight="1">
      <c r="A144" s="150"/>
      <c r="B144" s="150"/>
      <c r="C144" s="150"/>
      <c r="D144" s="150"/>
      <c r="E144" s="150"/>
      <c r="F144" s="150"/>
      <c r="G144" s="151"/>
      <c r="H144" s="150"/>
      <c r="I144" s="150"/>
      <c r="J144" s="150"/>
      <c r="K144" s="150"/>
      <c r="L144" s="150"/>
      <c r="M144" s="150"/>
      <c r="N144" s="150"/>
      <c r="O144" s="150"/>
      <c r="P144" s="150"/>
      <c r="Q144" s="150"/>
      <c r="R144" s="150"/>
      <c r="S144" s="150"/>
      <c r="T144" s="150"/>
      <c r="U144" s="150"/>
      <c r="V144" s="150"/>
      <c r="W144" s="150"/>
      <c r="X144" s="150"/>
      <c r="Y144" s="150"/>
      <c r="Z144" s="150"/>
    </row>
    <row r="145" spans="1:26" ht="15.75" customHeight="1">
      <c r="A145" s="150"/>
      <c r="B145" s="150"/>
      <c r="C145" s="150"/>
      <c r="D145" s="150"/>
      <c r="E145" s="150"/>
      <c r="F145" s="150"/>
      <c r="G145" s="151"/>
      <c r="H145" s="150"/>
      <c r="I145" s="150"/>
      <c r="J145" s="150"/>
      <c r="K145" s="150"/>
      <c r="L145" s="150"/>
      <c r="M145" s="150"/>
      <c r="N145" s="150"/>
      <c r="O145" s="150"/>
      <c r="P145" s="150"/>
      <c r="Q145" s="150"/>
      <c r="R145" s="150"/>
      <c r="S145" s="150"/>
      <c r="T145" s="150"/>
      <c r="U145" s="150"/>
      <c r="V145" s="150"/>
      <c r="W145" s="150"/>
      <c r="X145" s="150"/>
      <c r="Y145" s="150"/>
      <c r="Z145" s="150"/>
    </row>
    <row r="146" spans="1:26" ht="15.75" customHeight="1">
      <c r="A146" s="150"/>
      <c r="B146" s="150"/>
      <c r="C146" s="150"/>
      <c r="D146" s="150"/>
      <c r="E146" s="150"/>
      <c r="F146" s="150"/>
      <c r="G146" s="151"/>
      <c r="H146" s="150"/>
      <c r="I146" s="150"/>
      <c r="J146" s="150"/>
      <c r="K146" s="150"/>
      <c r="L146" s="150"/>
      <c r="M146" s="150"/>
      <c r="N146" s="150"/>
      <c r="O146" s="150"/>
      <c r="P146" s="150"/>
      <c r="Q146" s="150"/>
      <c r="R146" s="150"/>
      <c r="S146" s="150"/>
      <c r="T146" s="150"/>
      <c r="U146" s="150"/>
      <c r="V146" s="150"/>
      <c r="W146" s="150"/>
      <c r="X146" s="150"/>
      <c r="Y146" s="150"/>
      <c r="Z146" s="150"/>
    </row>
    <row r="147" spans="1:26" ht="15.75" customHeight="1">
      <c r="A147" s="150"/>
      <c r="B147" s="150"/>
      <c r="C147" s="150"/>
      <c r="D147" s="150"/>
      <c r="E147" s="150"/>
      <c r="F147" s="150"/>
      <c r="G147" s="151"/>
      <c r="H147" s="150"/>
      <c r="I147" s="150"/>
      <c r="J147" s="150"/>
      <c r="K147" s="150"/>
      <c r="L147" s="150"/>
      <c r="M147" s="150"/>
      <c r="N147" s="150"/>
      <c r="O147" s="150"/>
      <c r="P147" s="150"/>
      <c r="Q147" s="150"/>
      <c r="R147" s="150"/>
      <c r="S147" s="150"/>
      <c r="T147" s="150"/>
      <c r="U147" s="150"/>
      <c r="V147" s="150"/>
      <c r="W147" s="150"/>
      <c r="X147" s="150"/>
      <c r="Y147" s="150"/>
      <c r="Z147" s="150"/>
    </row>
    <row r="148" spans="1:26" ht="15.75" customHeight="1">
      <c r="A148" s="150"/>
      <c r="B148" s="150"/>
      <c r="C148" s="150"/>
      <c r="D148" s="150"/>
      <c r="E148" s="150"/>
      <c r="F148" s="150"/>
      <c r="G148" s="151"/>
      <c r="H148" s="150"/>
      <c r="I148" s="150"/>
      <c r="J148" s="150"/>
      <c r="K148" s="150"/>
      <c r="L148" s="150"/>
      <c r="M148" s="150"/>
      <c r="N148" s="150"/>
      <c r="O148" s="150"/>
      <c r="P148" s="150"/>
      <c r="Q148" s="150"/>
      <c r="R148" s="150"/>
      <c r="S148" s="150"/>
      <c r="T148" s="150"/>
      <c r="U148" s="150"/>
      <c r="V148" s="150"/>
      <c r="W148" s="150"/>
      <c r="X148" s="150"/>
      <c r="Y148" s="150"/>
      <c r="Z148" s="150"/>
    </row>
    <row r="149" spans="1:26" ht="15.75" customHeight="1">
      <c r="A149" s="150"/>
      <c r="B149" s="150"/>
      <c r="C149" s="150"/>
      <c r="D149" s="150"/>
      <c r="E149" s="150"/>
      <c r="F149" s="150"/>
      <c r="G149" s="151"/>
      <c r="H149" s="150"/>
      <c r="I149" s="150"/>
      <c r="J149" s="150"/>
      <c r="K149" s="150"/>
      <c r="L149" s="150"/>
      <c r="M149" s="150"/>
      <c r="N149" s="150"/>
      <c r="O149" s="150"/>
      <c r="P149" s="150"/>
      <c r="Q149" s="150"/>
      <c r="R149" s="150"/>
      <c r="S149" s="150"/>
      <c r="T149" s="150"/>
      <c r="U149" s="150"/>
      <c r="V149" s="150"/>
      <c r="W149" s="150"/>
      <c r="X149" s="150"/>
      <c r="Y149" s="150"/>
      <c r="Z149" s="150"/>
    </row>
    <row r="150" spans="1:26" ht="15.75" customHeight="1">
      <c r="A150" s="150"/>
      <c r="B150" s="150"/>
      <c r="C150" s="150"/>
      <c r="D150" s="150"/>
      <c r="E150" s="150"/>
      <c r="F150" s="150"/>
      <c r="G150" s="151"/>
      <c r="H150" s="150"/>
      <c r="I150" s="150"/>
      <c r="J150" s="150"/>
      <c r="K150" s="150"/>
      <c r="L150" s="150"/>
      <c r="M150" s="150"/>
      <c r="N150" s="150"/>
      <c r="O150" s="150"/>
      <c r="P150" s="150"/>
      <c r="Q150" s="150"/>
      <c r="R150" s="150"/>
      <c r="S150" s="150"/>
      <c r="T150" s="150"/>
      <c r="U150" s="150"/>
      <c r="V150" s="150"/>
      <c r="W150" s="150"/>
      <c r="X150" s="150"/>
      <c r="Y150" s="150"/>
      <c r="Z150" s="150"/>
    </row>
    <row r="151" spans="1:26" ht="15.75" customHeight="1">
      <c r="A151" s="150"/>
      <c r="B151" s="150"/>
      <c r="C151" s="150"/>
      <c r="D151" s="150"/>
      <c r="E151" s="150"/>
      <c r="F151" s="150"/>
      <c r="G151" s="151"/>
      <c r="H151" s="150"/>
      <c r="I151" s="150"/>
      <c r="J151" s="150"/>
      <c r="K151" s="150"/>
      <c r="L151" s="150"/>
      <c r="M151" s="150"/>
      <c r="N151" s="150"/>
      <c r="O151" s="150"/>
      <c r="P151" s="150"/>
      <c r="Q151" s="150"/>
      <c r="R151" s="150"/>
      <c r="S151" s="150"/>
      <c r="T151" s="150"/>
      <c r="U151" s="150"/>
      <c r="V151" s="150"/>
      <c r="W151" s="150"/>
      <c r="X151" s="150"/>
      <c r="Y151" s="150"/>
      <c r="Z151" s="150"/>
    </row>
    <row r="152" spans="1:26" ht="15.75" customHeight="1">
      <c r="A152" s="150"/>
      <c r="B152" s="150"/>
      <c r="C152" s="150"/>
      <c r="D152" s="150"/>
      <c r="E152" s="150"/>
      <c r="F152" s="150"/>
      <c r="G152" s="151"/>
      <c r="H152" s="150"/>
      <c r="I152" s="150"/>
      <c r="J152" s="150"/>
      <c r="K152" s="150"/>
      <c r="L152" s="150"/>
      <c r="M152" s="150"/>
      <c r="N152" s="150"/>
      <c r="O152" s="150"/>
      <c r="P152" s="150"/>
      <c r="Q152" s="150"/>
      <c r="R152" s="150"/>
      <c r="S152" s="150"/>
      <c r="T152" s="150"/>
      <c r="U152" s="150"/>
      <c r="V152" s="150"/>
      <c r="W152" s="150"/>
      <c r="X152" s="150"/>
      <c r="Y152" s="150"/>
      <c r="Z152" s="150"/>
    </row>
    <row r="153" spans="1:26" ht="15.75" customHeight="1">
      <c r="A153" s="150"/>
      <c r="B153" s="150"/>
      <c r="C153" s="150"/>
      <c r="D153" s="150"/>
      <c r="E153" s="150"/>
      <c r="F153" s="150"/>
      <c r="G153" s="151"/>
      <c r="H153" s="150"/>
      <c r="I153" s="150"/>
      <c r="J153" s="150"/>
      <c r="K153" s="150"/>
      <c r="L153" s="150"/>
      <c r="M153" s="150"/>
      <c r="N153" s="150"/>
      <c r="O153" s="150"/>
      <c r="P153" s="150"/>
      <c r="Q153" s="150"/>
      <c r="R153" s="150"/>
      <c r="S153" s="150"/>
      <c r="T153" s="150"/>
      <c r="U153" s="150"/>
      <c r="V153" s="150"/>
      <c r="W153" s="150"/>
      <c r="X153" s="150"/>
      <c r="Y153" s="150"/>
      <c r="Z153" s="150"/>
    </row>
    <row r="154" spans="1:26" ht="15.75" customHeight="1">
      <c r="A154" s="150"/>
      <c r="B154" s="150"/>
      <c r="C154" s="150"/>
      <c r="D154" s="150"/>
      <c r="E154" s="150"/>
      <c r="F154" s="150"/>
      <c r="G154" s="151"/>
      <c r="H154" s="150"/>
      <c r="I154" s="150"/>
      <c r="J154" s="150"/>
      <c r="K154" s="150"/>
      <c r="L154" s="150"/>
      <c r="M154" s="150"/>
      <c r="N154" s="150"/>
      <c r="O154" s="150"/>
      <c r="P154" s="150"/>
      <c r="Q154" s="150"/>
      <c r="R154" s="150"/>
      <c r="S154" s="150"/>
      <c r="T154" s="150"/>
      <c r="U154" s="150"/>
      <c r="V154" s="150"/>
      <c r="W154" s="150"/>
      <c r="X154" s="150"/>
      <c r="Y154" s="150"/>
      <c r="Z154" s="150"/>
    </row>
    <row r="155" spans="1:26" ht="15.75" customHeight="1">
      <c r="A155" s="150"/>
      <c r="B155" s="150"/>
      <c r="C155" s="150"/>
      <c r="D155" s="150"/>
      <c r="E155" s="150"/>
      <c r="F155" s="150"/>
      <c r="G155" s="151"/>
      <c r="H155" s="150"/>
      <c r="I155" s="150"/>
      <c r="J155" s="150"/>
      <c r="K155" s="150"/>
      <c r="L155" s="150"/>
      <c r="M155" s="150"/>
      <c r="N155" s="150"/>
      <c r="O155" s="150"/>
      <c r="P155" s="150"/>
      <c r="Q155" s="150"/>
      <c r="R155" s="150"/>
      <c r="S155" s="150"/>
      <c r="T155" s="150"/>
      <c r="U155" s="150"/>
      <c r="V155" s="150"/>
      <c r="W155" s="150"/>
      <c r="X155" s="150"/>
      <c r="Y155" s="150"/>
      <c r="Z155" s="150"/>
    </row>
    <row r="156" spans="1:26" ht="15.75" customHeight="1">
      <c r="A156" s="150"/>
      <c r="B156" s="150"/>
      <c r="C156" s="150"/>
      <c r="D156" s="150"/>
      <c r="E156" s="150"/>
      <c r="F156" s="150"/>
      <c r="G156" s="151"/>
      <c r="H156" s="150"/>
      <c r="I156" s="150"/>
      <c r="J156" s="150"/>
      <c r="K156" s="150"/>
      <c r="L156" s="150"/>
      <c r="M156" s="150"/>
      <c r="N156" s="150"/>
      <c r="O156" s="150"/>
      <c r="P156" s="150"/>
      <c r="Q156" s="150"/>
      <c r="R156" s="150"/>
      <c r="S156" s="150"/>
      <c r="T156" s="150"/>
      <c r="U156" s="150"/>
      <c r="V156" s="150"/>
      <c r="W156" s="150"/>
      <c r="X156" s="150"/>
      <c r="Y156" s="150"/>
      <c r="Z156" s="150"/>
    </row>
    <row r="157" spans="1:26" ht="15.75" customHeight="1">
      <c r="A157" s="150"/>
      <c r="B157" s="150"/>
      <c r="C157" s="150"/>
      <c r="D157" s="150"/>
      <c r="E157" s="150"/>
      <c r="F157" s="150"/>
      <c r="G157" s="151"/>
      <c r="H157" s="150"/>
      <c r="I157" s="150"/>
      <c r="J157" s="150"/>
      <c r="K157" s="150"/>
      <c r="L157" s="150"/>
      <c r="M157" s="150"/>
      <c r="N157" s="150"/>
      <c r="O157" s="150"/>
      <c r="P157" s="150"/>
      <c r="Q157" s="150"/>
      <c r="R157" s="150"/>
      <c r="S157" s="150"/>
      <c r="T157" s="150"/>
      <c r="U157" s="150"/>
      <c r="V157" s="150"/>
      <c r="W157" s="150"/>
      <c r="X157" s="150"/>
      <c r="Y157" s="150"/>
      <c r="Z157" s="150"/>
    </row>
    <row r="158" spans="1:26" ht="15.75" customHeight="1">
      <c r="A158" s="150"/>
      <c r="B158" s="150"/>
      <c r="C158" s="150"/>
      <c r="D158" s="150"/>
      <c r="E158" s="150"/>
      <c r="F158" s="150"/>
      <c r="G158" s="151"/>
      <c r="H158" s="150"/>
      <c r="I158" s="150"/>
      <c r="J158" s="150"/>
      <c r="K158" s="150"/>
      <c r="L158" s="150"/>
      <c r="M158" s="150"/>
      <c r="N158" s="150"/>
      <c r="O158" s="150"/>
      <c r="P158" s="150"/>
      <c r="Q158" s="150"/>
      <c r="R158" s="150"/>
      <c r="S158" s="150"/>
      <c r="T158" s="150"/>
      <c r="U158" s="150"/>
      <c r="V158" s="150"/>
      <c r="W158" s="150"/>
      <c r="X158" s="150"/>
      <c r="Y158" s="150"/>
      <c r="Z158" s="150"/>
    </row>
    <row r="159" spans="1:26" ht="15.75" customHeight="1">
      <c r="A159" s="150"/>
      <c r="B159" s="150"/>
      <c r="C159" s="150"/>
      <c r="D159" s="150"/>
      <c r="E159" s="150"/>
      <c r="F159" s="150"/>
      <c r="G159" s="151"/>
      <c r="H159" s="150"/>
      <c r="I159" s="150"/>
      <c r="J159" s="150"/>
      <c r="K159" s="150"/>
      <c r="L159" s="150"/>
      <c r="M159" s="150"/>
      <c r="N159" s="150"/>
      <c r="O159" s="150"/>
      <c r="P159" s="150"/>
      <c r="Q159" s="150"/>
      <c r="R159" s="150"/>
      <c r="S159" s="150"/>
      <c r="T159" s="150"/>
      <c r="U159" s="150"/>
      <c r="V159" s="150"/>
      <c r="W159" s="150"/>
      <c r="X159" s="150"/>
      <c r="Y159" s="150"/>
      <c r="Z159" s="150"/>
    </row>
    <row r="160" spans="1:26" ht="15.75" customHeight="1">
      <c r="A160" s="150"/>
      <c r="B160" s="150"/>
      <c r="C160" s="150"/>
      <c r="D160" s="150"/>
      <c r="E160" s="150"/>
      <c r="F160" s="150"/>
      <c r="G160" s="151"/>
      <c r="H160" s="150"/>
      <c r="I160" s="150"/>
      <c r="J160" s="150"/>
      <c r="K160" s="150"/>
      <c r="L160" s="150"/>
      <c r="M160" s="150"/>
      <c r="N160" s="150"/>
      <c r="O160" s="150"/>
      <c r="P160" s="150"/>
      <c r="Q160" s="150"/>
      <c r="R160" s="150"/>
      <c r="S160" s="150"/>
      <c r="T160" s="150"/>
      <c r="U160" s="150"/>
      <c r="V160" s="150"/>
      <c r="W160" s="150"/>
      <c r="X160" s="150"/>
      <c r="Y160" s="150"/>
      <c r="Z160" s="150"/>
    </row>
    <row r="161" spans="1:26" ht="15.75" customHeight="1">
      <c r="A161" s="150"/>
      <c r="B161" s="150"/>
      <c r="C161" s="150"/>
      <c r="D161" s="150"/>
      <c r="E161" s="150"/>
      <c r="F161" s="150"/>
      <c r="G161" s="151"/>
      <c r="H161" s="150"/>
      <c r="I161" s="150"/>
      <c r="J161" s="150"/>
      <c r="K161" s="150"/>
      <c r="L161" s="150"/>
      <c r="M161" s="150"/>
      <c r="N161" s="150"/>
      <c r="O161" s="150"/>
      <c r="P161" s="150"/>
      <c r="Q161" s="150"/>
      <c r="R161" s="150"/>
      <c r="S161" s="150"/>
      <c r="T161" s="150"/>
      <c r="U161" s="150"/>
      <c r="V161" s="150"/>
      <c r="W161" s="150"/>
      <c r="X161" s="150"/>
      <c r="Y161" s="150"/>
      <c r="Z161" s="150"/>
    </row>
    <row r="162" spans="1:26" ht="15.75" customHeight="1">
      <c r="A162" s="150"/>
      <c r="B162" s="150"/>
      <c r="C162" s="150"/>
      <c r="D162" s="150"/>
      <c r="E162" s="150"/>
      <c r="F162" s="150"/>
      <c r="G162" s="151"/>
      <c r="H162" s="150"/>
      <c r="I162" s="150"/>
      <c r="J162" s="150"/>
      <c r="K162" s="150"/>
      <c r="L162" s="150"/>
      <c r="M162" s="150"/>
      <c r="N162" s="150"/>
      <c r="O162" s="150"/>
      <c r="P162" s="150"/>
      <c r="Q162" s="150"/>
      <c r="R162" s="150"/>
      <c r="S162" s="150"/>
      <c r="T162" s="150"/>
      <c r="U162" s="150"/>
      <c r="V162" s="150"/>
      <c r="W162" s="150"/>
      <c r="X162" s="150"/>
      <c r="Y162" s="150"/>
      <c r="Z162" s="150"/>
    </row>
    <row r="163" spans="1:26" ht="15.75" customHeight="1">
      <c r="A163" s="150"/>
      <c r="B163" s="150"/>
      <c r="C163" s="150"/>
      <c r="D163" s="150"/>
      <c r="E163" s="150"/>
      <c r="F163" s="150"/>
      <c r="G163" s="151"/>
      <c r="H163" s="150"/>
      <c r="I163" s="150"/>
      <c r="J163" s="150"/>
      <c r="K163" s="150"/>
      <c r="L163" s="150"/>
      <c r="M163" s="150"/>
      <c r="N163" s="150"/>
      <c r="O163" s="150"/>
      <c r="P163" s="150"/>
      <c r="Q163" s="150"/>
      <c r="R163" s="150"/>
      <c r="S163" s="150"/>
      <c r="T163" s="150"/>
      <c r="U163" s="150"/>
      <c r="V163" s="150"/>
      <c r="W163" s="150"/>
      <c r="X163" s="150"/>
      <c r="Y163" s="150"/>
      <c r="Z163" s="150"/>
    </row>
    <row r="164" spans="1:26" ht="15.75" customHeight="1">
      <c r="A164" s="150"/>
      <c r="B164" s="150"/>
      <c r="C164" s="150"/>
      <c r="D164" s="150"/>
      <c r="E164" s="150"/>
      <c r="F164" s="150"/>
      <c r="G164" s="151"/>
      <c r="H164" s="150"/>
      <c r="I164" s="150"/>
      <c r="J164" s="150"/>
      <c r="K164" s="150"/>
      <c r="L164" s="150"/>
      <c r="M164" s="150"/>
      <c r="N164" s="150"/>
      <c r="O164" s="150"/>
      <c r="P164" s="150"/>
      <c r="Q164" s="150"/>
      <c r="R164" s="150"/>
      <c r="S164" s="150"/>
      <c r="T164" s="150"/>
      <c r="U164" s="150"/>
      <c r="V164" s="150"/>
      <c r="W164" s="150"/>
      <c r="X164" s="150"/>
      <c r="Y164" s="150"/>
      <c r="Z164" s="150"/>
    </row>
    <row r="165" spans="1:26" ht="15.75" customHeight="1">
      <c r="A165" s="150"/>
      <c r="B165" s="150"/>
      <c r="C165" s="150"/>
      <c r="D165" s="150"/>
      <c r="E165" s="150"/>
      <c r="F165" s="150"/>
      <c r="G165" s="151"/>
      <c r="H165" s="150"/>
      <c r="I165" s="150"/>
      <c r="J165" s="150"/>
      <c r="K165" s="150"/>
      <c r="L165" s="150"/>
      <c r="M165" s="150"/>
      <c r="N165" s="150"/>
      <c r="O165" s="150"/>
      <c r="P165" s="150"/>
      <c r="Q165" s="150"/>
      <c r="R165" s="150"/>
      <c r="S165" s="150"/>
      <c r="T165" s="150"/>
      <c r="U165" s="150"/>
      <c r="V165" s="150"/>
      <c r="W165" s="150"/>
      <c r="X165" s="150"/>
      <c r="Y165" s="150"/>
      <c r="Z165" s="150"/>
    </row>
    <row r="166" spans="1:26" ht="15.75" customHeight="1">
      <c r="A166" s="150"/>
      <c r="B166" s="150"/>
      <c r="C166" s="150"/>
      <c r="D166" s="150"/>
      <c r="E166" s="150"/>
      <c r="F166" s="150"/>
      <c r="G166" s="151"/>
      <c r="H166" s="150"/>
      <c r="I166" s="150"/>
      <c r="J166" s="150"/>
      <c r="K166" s="150"/>
      <c r="L166" s="150"/>
      <c r="M166" s="150"/>
      <c r="N166" s="150"/>
      <c r="O166" s="150"/>
      <c r="P166" s="150"/>
      <c r="Q166" s="150"/>
      <c r="R166" s="150"/>
      <c r="S166" s="150"/>
      <c r="T166" s="150"/>
      <c r="U166" s="150"/>
      <c r="V166" s="150"/>
      <c r="W166" s="150"/>
      <c r="X166" s="150"/>
      <c r="Y166" s="150"/>
      <c r="Z166" s="150"/>
    </row>
    <row r="167" spans="1:26" ht="15.75" customHeight="1">
      <c r="A167" s="150"/>
      <c r="B167" s="150"/>
      <c r="C167" s="150"/>
      <c r="D167" s="150"/>
      <c r="E167" s="150"/>
      <c r="F167" s="150"/>
      <c r="G167" s="151"/>
      <c r="H167" s="150"/>
      <c r="I167" s="150"/>
      <c r="J167" s="150"/>
      <c r="K167" s="150"/>
      <c r="L167" s="150"/>
      <c r="M167" s="150"/>
      <c r="N167" s="150"/>
      <c r="O167" s="150"/>
      <c r="P167" s="150"/>
      <c r="Q167" s="150"/>
      <c r="R167" s="150"/>
      <c r="S167" s="150"/>
      <c r="T167" s="150"/>
      <c r="U167" s="150"/>
      <c r="V167" s="150"/>
      <c r="W167" s="150"/>
      <c r="X167" s="150"/>
      <c r="Y167" s="150"/>
      <c r="Z167" s="150"/>
    </row>
    <row r="168" spans="1:26" ht="15.75" customHeight="1">
      <c r="A168" s="150"/>
      <c r="B168" s="150"/>
      <c r="C168" s="150"/>
      <c r="D168" s="150"/>
      <c r="E168" s="150"/>
      <c r="F168" s="150"/>
      <c r="G168" s="151"/>
      <c r="H168" s="150"/>
      <c r="I168" s="150"/>
      <c r="J168" s="150"/>
      <c r="K168" s="150"/>
      <c r="L168" s="150"/>
      <c r="M168" s="150"/>
      <c r="N168" s="150"/>
      <c r="O168" s="150"/>
      <c r="P168" s="150"/>
      <c r="Q168" s="150"/>
      <c r="R168" s="150"/>
      <c r="S168" s="150"/>
      <c r="T168" s="150"/>
      <c r="U168" s="150"/>
      <c r="V168" s="150"/>
      <c r="W168" s="150"/>
      <c r="X168" s="150"/>
      <c r="Y168" s="150"/>
      <c r="Z168" s="150"/>
    </row>
    <row r="169" spans="1:26" ht="15.75" customHeight="1">
      <c r="A169" s="150"/>
      <c r="B169" s="150"/>
      <c r="C169" s="150"/>
      <c r="D169" s="150"/>
      <c r="E169" s="150"/>
      <c r="F169" s="150"/>
      <c r="G169" s="151"/>
      <c r="H169" s="150"/>
      <c r="I169" s="150"/>
      <c r="J169" s="150"/>
      <c r="K169" s="150"/>
      <c r="L169" s="150"/>
      <c r="M169" s="150"/>
      <c r="N169" s="150"/>
      <c r="O169" s="150"/>
      <c r="P169" s="150"/>
      <c r="Q169" s="150"/>
      <c r="R169" s="150"/>
      <c r="S169" s="150"/>
      <c r="T169" s="150"/>
      <c r="U169" s="150"/>
      <c r="V169" s="150"/>
      <c r="W169" s="150"/>
      <c r="X169" s="150"/>
      <c r="Y169" s="150"/>
      <c r="Z169" s="150"/>
    </row>
    <row r="170" spans="1:26" ht="15.75" customHeight="1">
      <c r="A170" s="150"/>
      <c r="B170" s="150"/>
      <c r="C170" s="150"/>
      <c r="D170" s="150"/>
      <c r="E170" s="150"/>
      <c r="F170" s="150"/>
      <c r="G170" s="151"/>
      <c r="H170" s="150"/>
      <c r="I170" s="150"/>
      <c r="J170" s="150"/>
      <c r="K170" s="150"/>
      <c r="L170" s="150"/>
      <c r="M170" s="150"/>
      <c r="N170" s="150"/>
      <c r="O170" s="150"/>
      <c r="P170" s="150"/>
      <c r="Q170" s="150"/>
      <c r="R170" s="150"/>
      <c r="S170" s="150"/>
      <c r="T170" s="150"/>
      <c r="U170" s="150"/>
      <c r="V170" s="150"/>
      <c r="W170" s="150"/>
      <c r="X170" s="150"/>
      <c r="Y170" s="150"/>
      <c r="Z170" s="150"/>
    </row>
    <row r="171" spans="1:26" ht="15.75" customHeight="1">
      <c r="A171" s="150"/>
      <c r="B171" s="150"/>
      <c r="C171" s="150"/>
      <c r="D171" s="150"/>
      <c r="E171" s="150"/>
      <c r="F171" s="150"/>
      <c r="G171" s="151"/>
      <c r="H171" s="150"/>
      <c r="I171" s="150"/>
      <c r="J171" s="150"/>
      <c r="K171" s="150"/>
      <c r="L171" s="150"/>
      <c r="M171" s="150"/>
      <c r="N171" s="150"/>
      <c r="O171" s="150"/>
      <c r="P171" s="150"/>
      <c r="Q171" s="150"/>
      <c r="R171" s="150"/>
      <c r="S171" s="150"/>
      <c r="T171" s="150"/>
      <c r="U171" s="150"/>
      <c r="V171" s="150"/>
      <c r="W171" s="150"/>
      <c r="X171" s="150"/>
      <c r="Y171" s="150"/>
      <c r="Z171" s="150"/>
    </row>
    <row r="172" spans="1:26" ht="15.75" customHeight="1">
      <c r="A172" s="150"/>
      <c r="B172" s="150"/>
      <c r="C172" s="150"/>
      <c r="D172" s="150"/>
      <c r="E172" s="150"/>
      <c r="F172" s="150"/>
      <c r="G172" s="151"/>
      <c r="H172" s="150"/>
      <c r="I172" s="150"/>
      <c r="J172" s="150"/>
      <c r="K172" s="150"/>
      <c r="L172" s="150"/>
      <c r="M172" s="150"/>
      <c r="N172" s="150"/>
      <c r="O172" s="150"/>
      <c r="P172" s="150"/>
      <c r="Q172" s="150"/>
      <c r="R172" s="150"/>
      <c r="S172" s="150"/>
      <c r="T172" s="150"/>
      <c r="U172" s="150"/>
      <c r="V172" s="150"/>
      <c r="W172" s="150"/>
      <c r="X172" s="150"/>
      <c r="Y172" s="150"/>
      <c r="Z172" s="150"/>
    </row>
    <row r="173" spans="1:26" ht="15.75" customHeight="1">
      <c r="A173" s="150"/>
      <c r="B173" s="150"/>
      <c r="C173" s="150"/>
      <c r="D173" s="150"/>
      <c r="E173" s="150"/>
      <c r="F173" s="150"/>
      <c r="G173" s="151"/>
      <c r="H173" s="150"/>
      <c r="I173" s="150"/>
      <c r="J173" s="150"/>
      <c r="K173" s="150"/>
      <c r="L173" s="150"/>
      <c r="M173" s="150"/>
      <c r="N173" s="150"/>
      <c r="O173" s="150"/>
      <c r="P173" s="150"/>
      <c r="Q173" s="150"/>
      <c r="R173" s="150"/>
      <c r="S173" s="150"/>
      <c r="T173" s="150"/>
      <c r="U173" s="150"/>
      <c r="V173" s="150"/>
      <c r="W173" s="150"/>
      <c r="X173" s="150"/>
      <c r="Y173" s="150"/>
      <c r="Z173" s="150"/>
    </row>
    <row r="174" spans="1:26" ht="15.75" customHeight="1">
      <c r="A174" s="150"/>
      <c r="B174" s="150"/>
      <c r="C174" s="150"/>
      <c r="D174" s="150"/>
      <c r="E174" s="150"/>
      <c r="F174" s="150"/>
      <c r="G174" s="151"/>
      <c r="H174" s="150"/>
      <c r="I174" s="150"/>
      <c r="J174" s="150"/>
      <c r="K174" s="150"/>
      <c r="L174" s="150"/>
      <c r="M174" s="150"/>
      <c r="N174" s="150"/>
      <c r="O174" s="150"/>
      <c r="P174" s="150"/>
      <c r="Q174" s="150"/>
      <c r="R174" s="150"/>
      <c r="S174" s="150"/>
      <c r="T174" s="150"/>
      <c r="U174" s="150"/>
      <c r="V174" s="150"/>
      <c r="W174" s="150"/>
      <c r="X174" s="150"/>
      <c r="Y174" s="150"/>
      <c r="Z174" s="150"/>
    </row>
    <row r="175" spans="1:26" ht="15.75" customHeight="1">
      <c r="A175" s="150"/>
      <c r="B175" s="150"/>
      <c r="C175" s="150"/>
      <c r="D175" s="150"/>
      <c r="E175" s="150"/>
      <c r="F175" s="150"/>
      <c r="G175" s="151"/>
      <c r="H175" s="150"/>
      <c r="I175" s="150"/>
      <c r="J175" s="150"/>
      <c r="K175" s="150"/>
      <c r="L175" s="150"/>
      <c r="M175" s="150"/>
      <c r="N175" s="150"/>
      <c r="O175" s="150"/>
      <c r="P175" s="150"/>
      <c r="Q175" s="150"/>
      <c r="R175" s="150"/>
      <c r="S175" s="150"/>
      <c r="T175" s="150"/>
      <c r="U175" s="150"/>
      <c r="V175" s="150"/>
      <c r="W175" s="150"/>
      <c r="X175" s="150"/>
      <c r="Y175" s="150"/>
      <c r="Z175" s="150"/>
    </row>
    <row r="176" spans="1:26" ht="15.75" customHeight="1">
      <c r="A176" s="150"/>
      <c r="B176" s="150"/>
      <c r="C176" s="150"/>
      <c r="D176" s="150"/>
      <c r="E176" s="150"/>
      <c r="F176" s="150"/>
      <c r="G176" s="151"/>
      <c r="H176" s="150"/>
      <c r="I176" s="150"/>
      <c r="J176" s="150"/>
      <c r="K176" s="150"/>
      <c r="L176" s="150"/>
      <c r="M176" s="150"/>
      <c r="N176" s="150"/>
      <c r="O176" s="150"/>
      <c r="P176" s="150"/>
      <c r="Q176" s="150"/>
      <c r="R176" s="150"/>
      <c r="S176" s="150"/>
      <c r="T176" s="150"/>
      <c r="U176" s="150"/>
      <c r="V176" s="150"/>
      <c r="W176" s="150"/>
      <c r="X176" s="150"/>
      <c r="Y176" s="150"/>
      <c r="Z176" s="150"/>
    </row>
    <row r="177" spans="1:26" ht="15.75" customHeight="1">
      <c r="A177" s="150"/>
      <c r="B177" s="150"/>
      <c r="C177" s="150"/>
      <c r="D177" s="150"/>
      <c r="E177" s="150"/>
      <c r="F177" s="150"/>
      <c r="G177" s="151"/>
      <c r="H177" s="150"/>
      <c r="I177" s="150"/>
      <c r="J177" s="150"/>
      <c r="K177" s="150"/>
      <c r="L177" s="150"/>
      <c r="M177" s="150"/>
      <c r="N177" s="150"/>
      <c r="O177" s="150"/>
      <c r="P177" s="150"/>
      <c r="Q177" s="150"/>
      <c r="R177" s="150"/>
      <c r="S177" s="150"/>
      <c r="T177" s="150"/>
      <c r="U177" s="150"/>
      <c r="V177" s="150"/>
      <c r="W177" s="150"/>
      <c r="X177" s="150"/>
      <c r="Y177" s="150"/>
      <c r="Z177" s="150"/>
    </row>
    <row r="178" spans="1:26" ht="15.75" customHeight="1">
      <c r="A178" s="150"/>
      <c r="B178" s="150"/>
      <c r="C178" s="150"/>
      <c r="D178" s="150"/>
      <c r="E178" s="150"/>
      <c r="F178" s="150"/>
      <c r="G178" s="151"/>
      <c r="H178" s="150"/>
      <c r="I178" s="150"/>
      <c r="J178" s="150"/>
      <c r="K178" s="150"/>
      <c r="L178" s="150"/>
      <c r="M178" s="150"/>
      <c r="N178" s="150"/>
      <c r="O178" s="150"/>
      <c r="P178" s="150"/>
      <c r="Q178" s="150"/>
      <c r="R178" s="150"/>
      <c r="S178" s="150"/>
      <c r="T178" s="150"/>
      <c r="U178" s="150"/>
      <c r="V178" s="150"/>
      <c r="W178" s="150"/>
      <c r="X178" s="150"/>
      <c r="Y178" s="150"/>
      <c r="Z178" s="150"/>
    </row>
    <row r="179" spans="1:26" ht="15.75" customHeight="1">
      <c r="A179" s="150"/>
      <c r="B179" s="150"/>
      <c r="C179" s="150"/>
      <c r="D179" s="150"/>
      <c r="E179" s="150"/>
      <c r="F179" s="150"/>
      <c r="G179" s="151"/>
      <c r="H179" s="150"/>
      <c r="I179" s="150"/>
      <c r="J179" s="150"/>
      <c r="K179" s="150"/>
      <c r="L179" s="150"/>
      <c r="M179" s="150"/>
      <c r="N179" s="150"/>
      <c r="O179" s="150"/>
      <c r="P179" s="150"/>
      <c r="Q179" s="150"/>
      <c r="R179" s="150"/>
      <c r="S179" s="150"/>
      <c r="T179" s="150"/>
      <c r="U179" s="150"/>
      <c r="V179" s="150"/>
      <c r="W179" s="150"/>
      <c r="X179" s="150"/>
      <c r="Y179" s="150"/>
      <c r="Z179" s="150"/>
    </row>
    <row r="180" spans="1:26" ht="15.75" customHeight="1">
      <c r="A180" s="150"/>
      <c r="B180" s="150"/>
      <c r="C180" s="150"/>
      <c r="D180" s="150"/>
      <c r="E180" s="150"/>
      <c r="F180" s="150"/>
      <c r="G180" s="151"/>
      <c r="H180" s="150"/>
      <c r="I180" s="150"/>
      <c r="J180" s="150"/>
      <c r="K180" s="150"/>
      <c r="L180" s="150"/>
      <c r="M180" s="150"/>
      <c r="N180" s="150"/>
      <c r="O180" s="150"/>
      <c r="P180" s="150"/>
      <c r="Q180" s="150"/>
      <c r="R180" s="150"/>
      <c r="S180" s="150"/>
      <c r="T180" s="150"/>
      <c r="U180" s="150"/>
      <c r="V180" s="150"/>
      <c r="W180" s="150"/>
      <c r="X180" s="150"/>
      <c r="Y180" s="150"/>
      <c r="Z180" s="150"/>
    </row>
    <row r="181" spans="1:26" ht="15.75" customHeight="1">
      <c r="A181" s="150"/>
      <c r="B181" s="150"/>
      <c r="C181" s="150"/>
      <c r="D181" s="150"/>
      <c r="E181" s="150"/>
      <c r="F181" s="150"/>
      <c r="G181" s="151"/>
      <c r="H181" s="150"/>
      <c r="I181" s="150"/>
      <c r="J181" s="150"/>
      <c r="K181" s="150"/>
      <c r="L181" s="150"/>
      <c r="M181" s="150"/>
      <c r="N181" s="150"/>
      <c r="O181" s="150"/>
      <c r="P181" s="150"/>
      <c r="Q181" s="150"/>
      <c r="R181" s="150"/>
      <c r="S181" s="150"/>
      <c r="T181" s="150"/>
      <c r="U181" s="150"/>
      <c r="V181" s="150"/>
      <c r="W181" s="150"/>
      <c r="X181" s="150"/>
      <c r="Y181" s="150"/>
      <c r="Z181" s="150"/>
    </row>
    <row r="182" spans="1:26" ht="15.75" customHeight="1">
      <c r="A182" s="150"/>
      <c r="B182" s="150"/>
      <c r="C182" s="150"/>
      <c r="D182" s="150"/>
      <c r="E182" s="150"/>
      <c r="F182" s="150"/>
      <c r="G182" s="151"/>
      <c r="H182" s="150"/>
      <c r="I182" s="150"/>
      <c r="J182" s="150"/>
      <c r="K182" s="150"/>
      <c r="L182" s="150"/>
      <c r="M182" s="150"/>
      <c r="N182" s="150"/>
      <c r="O182" s="150"/>
      <c r="P182" s="150"/>
      <c r="Q182" s="150"/>
      <c r="R182" s="150"/>
      <c r="S182" s="150"/>
      <c r="T182" s="150"/>
      <c r="U182" s="150"/>
      <c r="V182" s="150"/>
      <c r="W182" s="150"/>
      <c r="X182" s="150"/>
      <c r="Y182" s="150"/>
      <c r="Z182" s="150"/>
    </row>
    <row r="183" spans="1:26" ht="15.75" customHeight="1">
      <c r="A183" s="150"/>
      <c r="B183" s="150"/>
      <c r="C183" s="150"/>
      <c r="D183" s="150"/>
      <c r="E183" s="150"/>
      <c r="F183" s="150"/>
      <c r="G183" s="151"/>
      <c r="H183" s="150"/>
      <c r="I183" s="150"/>
      <c r="J183" s="150"/>
      <c r="K183" s="150"/>
      <c r="L183" s="150"/>
      <c r="M183" s="150"/>
      <c r="N183" s="150"/>
      <c r="O183" s="150"/>
      <c r="P183" s="150"/>
      <c r="Q183" s="150"/>
      <c r="R183" s="150"/>
      <c r="S183" s="150"/>
      <c r="T183" s="150"/>
      <c r="U183" s="150"/>
      <c r="V183" s="150"/>
      <c r="W183" s="150"/>
      <c r="X183" s="150"/>
      <c r="Y183" s="150"/>
      <c r="Z183" s="150"/>
    </row>
    <row r="184" spans="1:26" ht="15.75" customHeight="1">
      <c r="A184" s="150"/>
      <c r="B184" s="150"/>
      <c r="C184" s="150"/>
      <c r="D184" s="150"/>
      <c r="E184" s="150"/>
      <c r="F184" s="150"/>
      <c r="G184" s="151"/>
      <c r="H184" s="150"/>
      <c r="I184" s="150"/>
      <c r="J184" s="150"/>
      <c r="K184" s="150"/>
      <c r="L184" s="150"/>
      <c r="M184" s="150"/>
      <c r="N184" s="150"/>
      <c r="O184" s="150"/>
      <c r="P184" s="150"/>
      <c r="Q184" s="150"/>
      <c r="R184" s="150"/>
      <c r="S184" s="150"/>
      <c r="T184" s="150"/>
      <c r="U184" s="150"/>
      <c r="V184" s="150"/>
      <c r="W184" s="150"/>
      <c r="X184" s="150"/>
      <c r="Y184" s="150"/>
      <c r="Z184" s="150"/>
    </row>
    <row r="185" spans="1:26" ht="15.75" customHeight="1">
      <c r="A185" s="150"/>
      <c r="B185" s="150"/>
      <c r="C185" s="150"/>
      <c r="D185" s="150"/>
      <c r="E185" s="150"/>
      <c r="F185" s="150"/>
      <c r="G185" s="151"/>
      <c r="H185" s="150"/>
      <c r="I185" s="150"/>
      <c r="J185" s="150"/>
      <c r="K185" s="150"/>
      <c r="L185" s="150"/>
      <c r="M185" s="150"/>
      <c r="N185" s="150"/>
      <c r="O185" s="150"/>
      <c r="P185" s="150"/>
      <c r="Q185" s="150"/>
      <c r="R185" s="150"/>
      <c r="S185" s="150"/>
      <c r="T185" s="150"/>
      <c r="U185" s="150"/>
      <c r="V185" s="150"/>
      <c r="W185" s="150"/>
      <c r="X185" s="150"/>
      <c r="Y185" s="150"/>
      <c r="Z185" s="150"/>
    </row>
    <row r="186" spans="1:26" ht="15.75" customHeight="1">
      <c r="A186" s="150"/>
      <c r="B186" s="150"/>
      <c r="C186" s="150"/>
      <c r="D186" s="150"/>
      <c r="E186" s="150"/>
      <c r="F186" s="150"/>
      <c r="G186" s="151"/>
      <c r="H186" s="150"/>
      <c r="I186" s="150"/>
      <c r="J186" s="150"/>
      <c r="K186" s="150"/>
      <c r="L186" s="150"/>
      <c r="M186" s="150"/>
      <c r="N186" s="150"/>
      <c r="O186" s="150"/>
      <c r="P186" s="150"/>
      <c r="Q186" s="150"/>
      <c r="R186" s="150"/>
      <c r="S186" s="150"/>
      <c r="T186" s="150"/>
      <c r="U186" s="150"/>
      <c r="V186" s="150"/>
      <c r="W186" s="150"/>
      <c r="X186" s="150"/>
      <c r="Y186" s="150"/>
      <c r="Z186" s="150"/>
    </row>
    <row r="187" spans="1:26" ht="15.75" customHeight="1">
      <c r="A187" s="150"/>
      <c r="B187" s="150"/>
      <c r="C187" s="150"/>
      <c r="D187" s="150"/>
      <c r="E187" s="150"/>
      <c r="F187" s="150"/>
      <c r="G187" s="151"/>
      <c r="H187" s="150"/>
      <c r="I187" s="150"/>
      <c r="J187" s="150"/>
      <c r="K187" s="150"/>
      <c r="L187" s="150"/>
      <c r="M187" s="150"/>
      <c r="N187" s="150"/>
      <c r="O187" s="150"/>
      <c r="P187" s="150"/>
      <c r="Q187" s="150"/>
      <c r="R187" s="150"/>
      <c r="S187" s="150"/>
      <c r="T187" s="150"/>
      <c r="U187" s="150"/>
      <c r="V187" s="150"/>
      <c r="W187" s="150"/>
      <c r="X187" s="150"/>
      <c r="Y187" s="150"/>
      <c r="Z187" s="150"/>
    </row>
    <row r="188" spans="1:26" ht="15.75" customHeight="1">
      <c r="A188" s="150"/>
      <c r="B188" s="150"/>
      <c r="C188" s="150"/>
      <c r="D188" s="150"/>
      <c r="E188" s="150"/>
      <c r="F188" s="150"/>
      <c r="G188" s="151"/>
      <c r="H188" s="150"/>
      <c r="I188" s="150"/>
      <c r="J188" s="150"/>
      <c r="K188" s="150"/>
      <c r="L188" s="150"/>
      <c r="M188" s="150"/>
      <c r="N188" s="150"/>
      <c r="O188" s="150"/>
      <c r="P188" s="150"/>
      <c r="Q188" s="150"/>
      <c r="R188" s="150"/>
      <c r="S188" s="150"/>
      <c r="T188" s="150"/>
      <c r="U188" s="150"/>
      <c r="V188" s="150"/>
      <c r="W188" s="150"/>
      <c r="X188" s="150"/>
      <c r="Y188" s="150"/>
      <c r="Z188" s="150"/>
    </row>
    <row r="189" spans="1:26" ht="15.75" customHeight="1">
      <c r="A189" s="150"/>
      <c r="B189" s="150"/>
      <c r="C189" s="150"/>
      <c r="D189" s="150"/>
      <c r="E189" s="150"/>
      <c r="F189" s="150"/>
      <c r="G189" s="151"/>
      <c r="H189" s="150"/>
      <c r="I189" s="150"/>
      <c r="J189" s="150"/>
      <c r="K189" s="150"/>
      <c r="L189" s="150"/>
      <c r="M189" s="150"/>
      <c r="N189" s="150"/>
      <c r="O189" s="150"/>
      <c r="P189" s="150"/>
      <c r="Q189" s="150"/>
      <c r="R189" s="150"/>
      <c r="S189" s="150"/>
      <c r="T189" s="150"/>
      <c r="U189" s="150"/>
      <c r="V189" s="150"/>
      <c r="W189" s="150"/>
      <c r="X189" s="150"/>
      <c r="Y189" s="150"/>
      <c r="Z189" s="150"/>
    </row>
    <row r="190" spans="1:26" ht="15.75" customHeight="1">
      <c r="A190" s="150"/>
      <c r="B190" s="150"/>
      <c r="C190" s="150"/>
      <c r="D190" s="150"/>
      <c r="E190" s="150"/>
      <c r="F190" s="150"/>
      <c r="G190" s="151"/>
      <c r="H190" s="150"/>
      <c r="I190" s="150"/>
      <c r="J190" s="150"/>
      <c r="K190" s="150"/>
      <c r="L190" s="150"/>
      <c r="M190" s="150"/>
      <c r="N190" s="150"/>
      <c r="O190" s="150"/>
      <c r="P190" s="150"/>
      <c r="Q190" s="150"/>
      <c r="R190" s="150"/>
      <c r="S190" s="150"/>
      <c r="T190" s="150"/>
      <c r="U190" s="150"/>
      <c r="V190" s="150"/>
      <c r="W190" s="150"/>
      <c r="X190" s="150"/>
      <c r="Y190" s="150"/>
      <c r="Z190" s="150"/>
    </row>
    <row r="191" spans="1:26" ht="15.75" customHeight="1">
      <c r="A191" s="150"/>
      <c r="B191" s="150"/>
      <c r="C191" s="150"/>
      <c r="D191" s="150"/>
      <c r="E191" s="150"/>
      <c r="F191" s="150"/>
      <c r="G191" s="151"/>
      <c r="H191" s="150"/>
      <c r="I191" s="150"/>
      <c r="J191" s="150"/>
      <c r="K191" s="150"/>
      <c r="L191" s="150"/>
      <c r="M191" s="150"/>
      <c r="N191" s="150"/>
      <c r="O191" s="150"/>
      <c r="P191" s="150"/>
      <c r="Q191" s="150"/>
      <c r="R191" s="150"/>
      <c r="S191" s="150"/>
      <c r="T191" s="150"/>
      <c r="U191" s="150"/>
      <c r="V191" s="150"/>
      <c r="W191" s="150"/>
      <c r="X191" s="150"/>
      <c r="Y191" s="150"/>
      <c r="Z191" s="150"/>
    </row>
    <row r="192" spans="1:26" ht="15.75" customHeight="1">
      <c r="A192" s="150"/>
      <c r="B192" s="150"/>
      <c r="C192" s="150"/>
      <c r="D192" s="150"/>
      <c r="E192" s="150"/>
      <c r="F192" s="150"/>
      <c r="G192" s="151"/>
      <c r="H192" s="150"/>
      <c r="I192" s="150"/>
      <c r="J192" s="150"/>
      <c r="K192" s="150"/>
      <c r="L192" s="150"/>
      <c r="M192" s="150"/>
      <c r="N192" s="150"/>
      <c r="O192" s="150"/>
      <c r="P192" s="150"/>
      <c r="Q192" s="150"/>
      <c r="R192" s="150"/>
      <c r="S192" s="150"/>
      <c r="T192" s="150"/>
      <c r="U192" s="150"/>
      <c r="V192" s="150"/>
      <c r="W192" s="150"/>
      <c r="X192" s="150"/>
      <c r="Y192" s="150"/>
      <c r="Z192" s="150"/>
    </row>
    <row r="193" spans="1:26" ht="15.75" customHeight="1">
      <c r="A193" s="150"/>
      <c r="B193" s="150"/>
      <c r="C193" s="150"/>
      <c r="D193" s="150"/>
      <c r="E193" s="150"/>
      <c r="F193" s="150"/>
      <c r="G193" s="151"/>
      <c r="H193" s="150"/>
      <c r="I193" s="150"/>
      <c r="J193" s="150"/>
      <c r="K193" s="150"/>
      <c r="L193" s="150"/>
      <c r="M193" s="150"/>
      <c r="N193" s="150"/>
      <c r="O193" s="150"/>
      <c r="P193" s="150"/>
      <c r="Q193" s="150"/>
      <c r="R193" s="150"/>
      <c r="S193" s="150"/>
      <c r="T193" s="150"/>
      <c r="U193" s="150"/>
      <c r="V193" s="150"/>
      <c r="W193" s="150"/>
      <c r="X193" s="150"/>
      <c r="Y193" s="150"/>
      <c r="Z193" s="150"/>
    </row>
    <row r="194" spans="1:26" ht="15.75" customHeight="1">
      <c r="A194" s="150"/>
      <c r="B194" s="150"/>
      <c r="C194" s="150"/>
      <c r="D194" s="150"/>
      <c r="E194" s="150"/>
      <c r="F194" s="150"/>
      <c r="G194" s="151"/>
      <c r="H194" s="150"/>
      <c r="I194" s="150"/>
      <c r="J194" s="150"/>
      <c r="K194" s="150"/>
      <c r="L194" s="150"/>
      <c r="M194" s="150"/>
      <c r="N194" s="150"/>
      <c r="O194" s="150"/>
      <c r="P194" s="150"/>
      <c r="Q194" s="150"/>
      <c r="R194" s="150"/>
      <c r="S194" s="150"/>
      <c r="T194" s="150"/>
      <c r="U194" s="150"/>
      <c r="V194" s="150"/>
      <c r="W194" s="150"/>
      <c r="X194" s="150"/>
      <c r="Y194" s="150"/>
      <c r="Z194" s="150"/>
    </row>
    <row r="195" spans="1:26" ht="15.75" customHeight="1">
      <c r="A195" s="150"/>
      <c r="B195" s="150"/>
      <c r="C195" s="150"/>
      <c r="D195" s="150"/>
      <c r="E195" s="150"/>
      <c r="F195" s="150"/>
      <c r="G195" s="151"/>
      <c r="H195" s="150"/>
      <c r="I195" s="150"/>
      <c r="J195" s="150"/>
      <c r="K195" s="150"/>
      <c r="L195" s="150"/>
      <c r="M195" s="150"/>
      <c r="N195" s="150"/>
      <c r="O195" s="150"/>
      <c r="P195" s="150"/>
      <c r="Q195" s="150"/>
      <c r="R195" s="150"/>
      <c r="S195" s="150"/>
      <c r="T195" s="150"/>
      <c r="U195" s="150"/>
      <c r="V195" s="150"/>
      <c r="W195" s="150"/>
      <c r="X195" s="150"/>
      <c r="Y195" s="150"/>
      <c r="Z195" s="150"/>
    </row>
    <row r="196" spans="1:26" ht="15.75" customHeight="1">
      <c r="A196" s="150"/>
      <c r="B196" s="150"/>
      <c r="C196" s="150"/>
      <c r="D196" s="150"/>
      <c r="E196" s="150"/>
      <c r="F196" s="150"/>
      <c r="G196" s="151"/>
      <c r="H196" s="150"/>
      <c r="I196" s="150"/>
      <c r="J196" s="150"/>
      <c r="K196" s="150"/>
      <c r="L196" s="150"/>
      <c r="M196" s="150"/>
      <c r="N196" s="150"/>
      <c r="O196" s="150"/>
      <c r="P196" s="150"/>
      <c r="Q196" s="150"/>
      <c r="R196" s="150"/>
      <c r="S196" s="150"/>
      <c r="T196" s="150"/>
      <c r="U196" s="150"/>
      <c r="V196" s="150"/>
      <c r="W196" s="150"/>
      <c r="X196" s="150"/>
      <c r="Y196" s="150"/>
      <c r="Z196" s="150"/>
    </row>
    <row r="197" spans="1:26" ht="15.75" customHeight="1">
      <c r="A197" s="150"/>
      <c r="B197" s="150"/>
      <c r="C197" s="150"/>
      <c r="D197" s="150"/>
      <c r="E197" s="150"/>
      <c r="F197" s="150"/>
      <c r="G197" s="151"/>
      <c r="H197" s="150"/>
      <c r="I197" s="150"/>
      <c r="J197" s="150"/>
      <c r="K197" s="150"/>
      <c r="L197" s="150"/>
      <c r="M197" s="150"/>
      <c r="N197" s="150"/>
      <c r="O197" s="150"/>
      <c r="P197" s="150"/>
      <c r="Q197" s="150"/>
      <c r="R197" s="150"/>
      <c r="S197" s="150"/>
      <c r="T197" s="150"/>
      <c r="U197" s="150"/>
      <c r="V197" s="150"/>
      <c r="W197" s="150"/>
      <c r="X197" s="150"/>
      <c r="Y197" s="150"/>
      <c r="Z197" s="150"/>
    </row>
    <row r="198" spans="1:26" ht="15.75" customHeight="1">
      <c r="A198" s="150"/>
      <c r="B198" s="150"/>
      <c r="C198" s="150"/>
      <c r="D198" s="150"/>
      <c r="E198" s="150"/>
      <c r="F198" s="150"/>
      <c r="G198" s="151"/>
      <c r="H198" s="150"/>
      <c r="I198" s="150"/>
      <c r="J198" s="150"/>
      <c r="K198" s="150"/>
      <c r="L198" s="150"/>
      <c r="M198" s="150"/>
      <c r="N198" s="150"/>
      <c r="O198" s="150"/>
      <c r="P198" s="150"/>
      <c r="Q198" s="150"/>
      <c r="R198" s="150"/>
      <c r="S198" s="150"/>
      <c r="T198" s="150"/>
      <c r="U198" s="150"/>
      <c r="V198" s="150"/>
      <c r="W198" s="150"/>
      <c r="X198" s="150"/>
      <c r="Y198" s="150"/>
      <c r="Z198" s="150"/>
    </row>
    <row r="199" spans="1:26" ht="15.75" customHeight="1">
      <c r="A199" s="150"/>
      <c r="B199" s="150"/>
      <c r="C199" s="150"/>
      <c r="D199" s="150"/>
      <c r="E199" s="150"/>
      <c r="F199" s="150"/>
      <c r="G199" s="151"/>
      <c r="H199" s="150"/>
      <c r="I199" s="150"/>
      <c r="J199" s="150"/>
      <c r="K199" s="150"/>
      <c r="L199" s="150"/>
      <c r="M199" s="150"/>
      <c r="N199" s="150"/>
      <c r="O199" s="150"/>
      <c r="P199" s="150"/>
      <c r="Q199" s="150"/>
      <c r="R199" s="150"/>
      <c r="S199" s="150"/>
      <c r="T199" s="150"/>
      <c r="U199" s="150"/>
      <c r="V199" s="150"/>
      <c r="W199" s="150"/>
      <c r="X199" s="150"/>
      <c r="Y199" s="150"/>
      <c r="Z199" s="150"/>
    </row>
    <row r="200" spans="1:26" ht="15.75" customHeight="1">
      <c r="A200" s="150"/>
      <c r="B200" s="150"/>
      <c r="C200" s="150"/>
      <c r="D200" s="150"/>
      <c r="E200" s="150"/>
      <c r="F200" s="150"/>
      <c r="G200" s="151"/>
      <c r="H200" s="150"/>
      <c r="I200" s="150"/>
      <c r="J200" s="150"/>
      <c r="K200" s="150"/>
      <c r="L200" s="150"/>
      <c r="M200" s="150"/>
      <c r="N200" s="150"/>
      <c r="O200" s="150"/>
      <c r="P200" s="150"/>
      <c r="Q200" s="150"/>
      <c r="R200" s="150"/>
      <c r="S200" s="150"/>
      <c r="T200" s="150"/>
      <c r="U200" s="150"/>
      <c r="V200" s="150"/>
      <c r="W200" s="150"/>
      <c r="X200" s="150"/>
      <c r="Y200" s="150"/>
      <c r="Z200" s="150"/>
    </row>
    <row r="201" spans="1:26" ht="15.75" customHeight="1">
      <c r="A201" s="150"/>
      <c r="B201" s="150"/>
      <c r="C201" s="150"/>
      <c r="D201" s="150"/>
      <c r="E201" s="150"/>
      <c r="F201" s="150"/>
      <c r="G201" s="151"/>
      <c r="H201" s="150"/>
      <c r="I201" s="150"/>
      <c r="J201" s="150"/>
      <c r="K201" s="150"/>
      <c r="L201" s="150"/>
      <c r="M201" s="150"/>
      <c r="N201" s="150"/>
      <c r="O201" s="150"/>
      <c r="P201" s="150"/>
      <c r="Q201" s="150"/>
      <c r="R201" s="150"/>
      <c r="S201" s="150"/>
      <c r="T201" s="150"/>
      <c r="U201" s="150"/>
      <c r="V201" s="150"/>
      <c r="W201" s="150"/>
      <c r="X201" s="150"/>
      <c r="Y201" s="150"/>
      <c r="Z201" s="150"/>
    </row>
    <row r="202" spans="1:26" ht="15.75" customHeight="1">
      <c r="A202" s="150"/>
      <c r="B202" s="150"/>
      <c r="C202" s="150"/>
      <c r="D202" s="150"/>
      <c r="E202" s="150"/>
      <c r="F202" s="150"/>
      <c r="G202" s="151"/>
      <c r="H202" s="150"/>
      <c r="I202" s="150"/>
      <c r="J202" s="150"/>
      <c r="K202" s="150"/>
      <c r="L202" s="150"/>
      <c r="M202" s="150"/>
      <c r="N202" s="150"/>
      <c r="O202" s="150"/>
      <c r="P202" s="150"/>
      <c r="Q202" s="150"/>
      <c r="R202" s="150"/>
      <c r="S202" s="150"/>
      <c r="T202" s="150"/>
      <c r="U202" s="150"/>
      <c r="V202" s="150"/>
      <c r="W202" s="150"/>
      <c r="X202" s="150"/>
      <c r="Y202" s="150"/>
      <c r="Z202" s="150"/>
    </row>
    <row r="203" spans="1:26" ht="15.75" customHeight="1">
      <c r="A203" s="150"/>
      <c r="B203" s="150"/>
      <c r="C203" s="150"/>
      <c r="D203" s="150"/>
      <c r="E203" s="150"/>
      <c r="F203" s="150"/>
      <c r="G203" s="151"/>
      <c r="H203" s="150"/>
      <c r="I203" s="150"/>
      <c r="J203" s="150"/>
      <c r="K203" s="150"/>
      <c r="L203" s="150"/>
      <c r="M203" s="150"/>
      <c r="N203" s="150"/>
      <c r="O203" s="150"/>
      <c r="P203" s="150"/>
      <c r="Q203" s="150"/>
      <c r="R203" s="150"/>
      <c r="S203" s="150"/>
      <c r="T203" s="150"/>
      <c r="U203" s="150"/>
      <c r="V203" s="150"/>
      <c r="W203" s="150"/>
      <c r="X203" s="150"/>
      <c r="Y203" s="150"/>
      <c r="Z203" s="150"/>
    </row>
    <row r="204" spans="1:26" ht="15.75" customHeight="1">
      <c r="A204" s="150"/>
      <c r="B204" s="150"/>
      <c r="C204" s="150"/>
      <c r="D204" s="150"/>
      <c r="E204" s="150"/>
      <c r="F204" s="150"/>
      <c r="G204" s="151"/>
      <c r="H204" s="150"/>
      <c r="I204" s="150"/>
      <c r="J204" s="150"/>
      <c r="K204" s="150"/>
      <c r="L204" s="150"/>
      <c r="M204" s="150"/>
      <c r="N204" s="150"/>
      <c r="O204" s="150"/>
      <c r="P204" s="150"/>
      <c r="Q204" s="150"/>
      <c r="R204" s="150"/>
      <c r="S204" s="150"/>
      <c r="T204" s="150"/>
      <c r="U204" s="150"/>
      <c r="V204" s="150"/>
      <c r="W204" s="150"/>
      <c r="X204" s="150"/>
      <c r="Y204" s="150"/>
      <c r="Z204" s="150"/>
    </row>
    <row r="205" spans="1:26" ht="15.75" customHeight="1">
      <c r="A205" s="150"/>
      <c r="B205" s="150"/>
      <c r="C205" s="150"/>
      <c r="D205" s="150"/>
      <c r="E205" s="150"/>
      <c r="F205" s="150"/>
      <c r="G205" s="151"/>
      <c r="H205" s="150"/>
      <c r="I205" s="150"/>
      <c r="J205" s="150"/>
      <c r="K205" s="150"/>
      <c r="L205" s="150"/>
      <c r="M205" s="150"/>
      <c r="N205" s="150"/>
      <c r="O205" s="150"/>
      <c r="P205" s="150"/>
      <c r="Q205" s="150"/>
      <c r="R205" s="150"/>
      <c r="S205" s="150"/>
      <c r="T205" s="150"/>
      <c r="U205" s="150"/>
      <c r="V205" s="150"/>
      <c r="W205" s="150"/>
      <c r="X205" s="150"/>
      <c r="Y205" s="150"/>
      <c r="Z205" s="150"/>
    </row>
    <row r="206" spans="1:26" ht="15.75" customHeight="1">
      <c r="A206" s="150"/>
      <c r="B206" s="150"/>
      <c r="C206" s="150"/>
      <c r="D206" s="150"/>
      <c r="E206" s="150"/>
      <c r="F206" s="150"/>
      <c r="G206" s="151"/>
      <c r="H206" s="150"/>
      <c r="I206" s="150"/>
      <c r="J206" s="150"/>
      <c r="K206" s="150"/>
      <c r="L206" s="150"/>
      <c r="M206" s="150"/>
      <c r="N206" s="150"/>
      <c r="O206" s="150"/>
      <c r="P206" s="150"/>
      <c r="Q206" s="150"/>
      <c r="R206" s="150"/>
      <c r="S206" s="150"/>
      <c r="T206" s="150"/>
      <c r="U206" s="150"/>
      <c r="V206" s="150"/>
      <c r="W206" s="150"/>
      <c r="X206" s="150"/>
      <c r="Y206" s="150"/>
      <c r="Z206" s="150"/>
    </row>
    <row r="207" spans="1:26" ht="15.75" customHeight="1">
      <c r="A207" s="150"/>
      <c r="B207" s="150"/>
      <c r="C207" s="150"/>
      <c r="D207" s="150"/>
      <c r="E207" s="150"/>
      <c r="F207" s="150"/>
      <c r="G207" s="151"/>
      <c r="H207" s="150"/>
      <c r="I207" s="150"/>
      <c r="J207" s="150"/>
      <c r="K207" s="150"/>
      <c r="L207" s="150"/>
      <c r="M207" s="150"/>
      <c r="N207" s="150"/>
      <c r="O207" s="150"/>
      <c r="P207" s="150"/>
      <c r="Q207" s="150"/>
      <c r="R207" s="150"/>
      <c r="S207" s="150"/>
      <c r="T207" s="150"/>
      <c r="U207" s="150"/>
      <c r="V207" s="150"/>
      <c r="W207" s="150"/>
      <c r="X207" s="150"/>
      <c r="Y207" s="150"/>
      <c r="Z207" s="150"/>
    </row>
    <row r="208" spans="1:26" ht="15.75" customHeight="1">
      <c r="A208" s="150"/>
      <c r="B208" s="150"/>
      <c r="C208" s="150"/>
      <c r="D208" s="150"/>
      <c r="E208" s="150"/>
      <c r="F208" s="150"/>
      <c r="G208" s="151"/>
      <c r="H208" s="150"/>
      <c r="I208" s="150"/>
      <c r="J208" s="150"/>
      <c r="K208" s="150"/>
      <c r="L208" s="150"/>
      <c r="M208" s="150"/>
      <c r="N208" s="150"/>
      <c r="O208" s="150"/>
      <c r="P208" s="150"/>
      <c r="Q208" s="150"/>
      <c r="R208" s="150"/>
      <c r="S208" s="150"/>
      <c r="T208" s="150"/>
      <c r="U208" s="150"/>
      <c r="V208" s="150"/>
      <c r="W208" s="150"/>
      <c r="X208" s="150"/>
      <c r="Y208" s="150"/>
      <c r="Z208" s="150"/>
    </row>
    <row r="209" spans="1:26" ht="15.75" customHeight="1">
      <c r="A209" s="150"/>
      <c r="B209" s="150"/>
      <c r="C209" s="150"/>
      <c r="D209" s="150"/>
      <c r="E209" s="150"/>
      <c r="F209" s="150"/>
      <c r="G209" s="151"/>
      <c r="H209" s="150"/>
      <c r="I209" s="150"/>
      <c r="J209" s="150"/>
      <c r="K209" s="150"/>
      <c r="L209" s="150"/>
      <c r="M209" s="150"/>
      <c r="N209" s="150"/>
      <c r="O209" s="150"/>
      <c r="P209" s="150"/>
      <c r="Q209" s="150"/>
      <c r="R209" s="150"/>
      <c r="S209" s="150"/>
      <c r="T209" s="150"/>
      <c r="U209" s="150"/>
      <c r="V209" s="150"/>
      <c r="W209" s="150"/>
      <c r="X209" s="150"/>
      <c r="Y209" s="150"/>
      <c r="Z209" s="150"/>
    </row>
    <row r="210" spans="1:26" ht="15.75" customHeight="1">
      <c r="A210" s="150"/>
      <c r="B210" s="150"/>
      <c r="C210" s="150"/>
      <c r="D210" s="150"/>
      <c r="E210" s="150"/>
      <c r="F210" s="150"/>
      <c r="G210" s="151"/>
      <c r="H210" s="150"/>
      <c r="I210" s="150"/>
      <c r="J210" s="150"/>
      <c r="K210" s="150"/>
      <c r="L210" s="150"/>
      <c r="M210" s="150"/>
      <c r="N210" s="150"/>
      <c r="O210" s="150"/>
      <c r="P210" s="150"/>
      <c r="Q210" s="150"/>
      <c r="R210" s="150"/>
      <c r="S210" s="150"/>
      <c r="T210" s="150"/>
      <c r="U210" s="150"/>
      <c r="V210" s="150"/>
      <c r="W210" s="150"/>
      <c r="X210" s="150"/>
      <c r="Y210" s="150"/>
      <c r="Z210" s="150"/>
    </row>
    <row r="211" spans="1:26" ht="15.75" customHeight="1">
      <c r="A211" s="150"/>
      <c r="B211" s="150"/>
      <c r="C211" s="150"/>
      <c r="D211" s="150"/>
      <c r="E211" s="150"/>
      <c r="F211" s="150"/>
      <c r="G211" s="151"/>
      <c r="H211" s="150"/>
      <c r="I211" s="150"/>
      <c r="J211" s="150"/>
      <c r="K211" s="150"/>
      <c r="L211" s="150"/>
      <c r="M211" s="150"/>
      <c r="N211" s="150"/>
      <c r="O211" s="150"/>
      <c r="P211" s="150"/>
      <c r="Q211" s="150"/>
      <c r="R211" s="150"/>
      <c r="S211" s="150"/>
      <c r="T211" s="150"/>
      <c r="U211" s="150"/>
      <c r="V211" s="150"/>
      <c r="W211" s="150"/>
      <c r="X211" s="150"/>
      <c r="Y211" s="150"/>
      <c r="Z211" s="150"/>
    </row>
    <row r="212" spans="1:26" ht="15.75" customHeight="1">
      <c r="A212" s="150"/>
      <c r="B212" s="150"/>
      <c r="C212" s="150"/>
      <c r="D212" s="150"/>
      <c r="E212" s="150"/>
      <c r="F212" s="150"/>
      <c r="G212" s="151"/>
      <c r="H212" s="150"/>
      <c r="I212" s="150"/>
      <c r="J212" s="150"/>
      <c r="K212" s="150"/>
      <c r="L212" s="150"/>
      <c r="M212" s="150"/>
      <c r="N212" s="150"/>
      <c r="O212" s="150"/>
      <c r="P212" s="150"/>
      <c r="Q212" s="150"/>
      <c r="R212" s="150"/>
      <c r="S212" s="150"/>
      <c r="T212" s="150"/>
      <c r="U212" s="150"/>
      <c r="V212" s="150"/>
      <c r="W212" s="150"/>
      <c r="X212" s="150"/>
      <c r="Y212" s="150"/>
      <c r="Z212" s="150"/>
    </row>
    <row r="213" spans="1:26" ht="15.75" customHeight="1">
      <c r="A213" s="150"/>
      <c r="B213" s="150"/>
      <c r="C213" s="150"/>
      <c r="D213" s="150"/>
      <c r="E213" s="150"/>
      <c r="F213" s="150"/>
      <c r="G213" s="151"/>
      <c r="H213" s="150"/>
      <c r="I213" s="150"/>
      <c r="J213" s="150"/>
      <c r="K213" s="150"/>
      <c r="L213" s="150"/>
      <c r="M213" s="150"/>
      <c r="N213" s="150"/>
      <c r="O213" s="150"/>
      <c r="P213" s="150"/>
      <c r="Q213" s="150"/>
      <c r="R213" s="150"/>
      <c r="S213" s="150"/>
      <c r="T213" s="150"/>
      <c r="U213" s="150"/>
      <c r="V213" s="150"/>
      <c r="W213" s="150"/>
      <c r="X213" s="150"/>
      <c r="Y213" s="150"/>
      <c r="Z213" s="150"/>
    </row>
    <row r="214" spans="1:26" ht="15.75" customHeight="1">
      <c r="A214" s="150"/>
      <c r="B214" s="150"/>
      <c r="C214" s="150"/>
      <c r="D214" s="150"/>
      <c r="E214" s="150"/>
      <c r="F214" s="150"/>
      <c r="G214" s="151"/>
      <c r="H214" s="150"/>
      <c r="I214" s="150"/>
      <c r="J214" s="150"/>
      <c r="K214" s="150"/>
      <c r="L214" s="150"/>
      <c r="M214" s="150"/>
      <c r="N214" s="150"/>
      <c r="O214" s="150"/>
      <c r="P214" s="150"/>
      <c r="Q214" s="150"/>
      <c r="R214" s="150"/>
      <c r="S214" s="150"/>
      <c r="T214" s="150"/>
      <c r="U214" s="150"/>
      <c r="V214" s="150"/>
      <c r="W214" s="150"/>
      <c r="X214" s="150"/>
      <c r="Y214" s="150"/>
      <c r="Z214" s="150"/>
    </row>
    <row r="215" spans="1:26" ht="15.75" customHeight="1">
      <c r="A215" s="150"/>
      <c r="B215" s="150"/>
      <c r="C215" s="150"/>
      <c r="D215" s="150"/>
      <c r="E215" s="150"/>
      <c r="F215" s="150"/>
      <c r="G215" s="151"/>
      <c r="H215" s="150"/>
      <c r="I215" s="150"/>
      <c r="J215" s="150"/>
      <c r="K215" s="150"/>
      <c r="L215" s="150"/>
      <c r="M215" s="150"/>
      <c r="N215" s="150"/>
      <c r="O215" s="150"/>
      <c r="P215" s="150"/>
      <c r="Q215" s="150"/>
      <c r="R215" s="150"/>
      <c r="S215" s="150"/>
      <c r="T215" s="150"/>
      <c r="U215" s="150"/>
      <c r="V215" s="150"/>
      <c r="W215" s="150"/>
      <c r="X215" s="150"/>
      <c r="Y215" s="150"/>
      <c r="Z215" s="150"/>
    </row>
    <row r="216" spans="1:26" ht="15.75" customHeight="1">
      <c r="A216" s="150"/>
      <c r="B216" s="150"/>
      <c r="C216" s="150"/>
      <c r="D216" s="150"/>
      <c r="E216" s="150"/>
      <c r="F216" s="150"/>
      <c r="G216" s="151"/>
      <c r="H216" s="150"/>
      <c r="I216" s="150"/>
      <c r="J216" s="150"/>
      <c r="K216" s="150"/>
      <c r="L216" s="150"/>
      <c r="M216" s="150"/>
      <c r="N216" s="150"/>
      <c r="O216" s="150"/>
      <c r="P216" s="150"/>
      <c r="Q216" s="150"/>
      <c r="R216" s="150"/>
      <c r="S216" s="150"/>
      <c r="T216" s="150"/>
      <c r="U216" s="150"/>
      <c r="V216" s="150"/>
      <c r="W216" s="150"/>
      <c r="X216" s="150"/>
      <c r="Y216" s="150"/>
      <c r="Z216" s="150"/>
    </row>
    <row r="217" spans="1:26" ht="15.75" customHeight="1">
      <c r="A217" s="150"/>
      <c r="B217" s="150"/>
      <c r="C217" s="150"/>
      <c r="D217" s="150"/>
      <c r="E217" s="150"/>
      <c r="F217" s="150"/>
      <c r="G217" s="151"/>
      <c r="H217" s="150"/>
      <c r="I217" s="150"/>
      <c r="J217" s="150"/>
      <c r="K217" s="150"/>
      <c r="L217" s="150"/>
      <c r="M217" s="150"/>
      <c r="N217" s="150"/>
      <c r="O217" s="150"/>
      <c r="P217" s="150"/>
      <c r="Q217" s="150"/>
      <c r="R217" s="150"/>
      <c r="S217" s="150"/>
      <c r="T217" s="150"/>
      <c r="U217" s="150"/>
      <c r="V217" s="150"/>
      <c r="W217" s="150"/>
      <c r="X217" s="150"/>
      <c r="Y217" s="150"/>
      <c r="Z217" s="150"/>
    </row>
    <row r="218" spans="1:26" ht="15.75" customHeight="1">
      <c r="A218" s="150"/>
      <c r="B218" s="150"/>
      <c r="C218" s="150"/>
      <c r="D218" s="150"/>
      <c r="E218" s="150"/>
      <c r="F218" s="150"/>
      <c r="G218" s="151"/>
      <c r="H218" s="150"/>
      <c r="I218" s="150"/>
      <c r="J218" s="150"/>
      <c r="K218" s="150"/>
      <c r="L218" s="150"/>
      <c r="M218" s="150"/>
      <c r="N218" s="150"/>
      <c r="O218" s="150"/>
      <c r="P218" s="150"/>
      <c r="Q218" s="150"/>
      <c r="R218" s="150"/>
      <c r="S218" s="150"/>
      <c r="T218" s="150"/>
      <c r="U218" s="150"/>
      <c r="V218" s="150"/>
      <c r="W218" s="150"/>
      <c r="X218" s="150"/>
      <c r="Y218" s="150"/>
      <c r="Z218" s="150"/>
    </row>
    <row r="219" spans="1:26" ht="15.75" customHeight="1">
      <c r="A219" s="150"/>
      <c r="B219" s="150"/>
      <c r="C219" s="150"/>
      <c r="D219" s="150"/>
      <c r="E219" s="150"/>
      <c r="F219" s="150"/>
      <c r="G219" s="151"/>
      <c r="H219" s="150"/>
      <c r="I219" s="150"/>
      <c r="J219" s="150"/>
      <c r="K219" s="150"/>
      <c r="L219" s="150"/>
      <c r="M219" s="150"/>
      <c r="N219" s="150"/>
      <c r="O219" s="150"/>
      <c r="P219" s="150"/>
      <c r="Q219" s="150"/>
      <c r="R219" s="150"/>
      <c r="S219" s="150"/>
      <c r="T219" s="150"/>
      <c r="U219" s="150"/>
      <c r="V219" s="150"/>
      <c r="W219" s="150"/>
      <c r="X219" s="150"/>
      <c r="Y219" s="150"/>
      <c r="Z219" s="150"/>
    </row>
    <row r="220" spans="1:26" ht="15.75" customHeight="1">
      <c r="A220" s="150"/>
      <c r="B220" s="150"/>
      <c r="C220" s="150"/>
      <c r="D220" s="150"/>
      <c r="E220" s="150"/>
      <c r="F220" s="150"/>
      <c r="G220" s="151"/>
      <c r="H220" s="150"/>
      <c r="I220" s="150"/>
      <c r="J220" s="150"/>
      <c r="K220" s="150"/>
      <c r="L220" s="150"/>
      <c r="M220" s="150"/>
      <c r="N220" s="150"/>
      <c r="O220" s="150"/>
      <c r="P220" s="150"/>
      <c r="Q220" s="150"/>
      <c r="R220" s="150"/>
      <c r="S220" s="150"/>
      <c r="T220" s="150"/>
      <c r="U220" s="150"/>
      <c r="V220" s="150"/>
      <c r="W220" s="150"/>
      <c r="X220" s="150"/>
      <c r="Y220" s="150"/>
      <c r="Z220" s="150"/>
    </row>
    <row r="221" spans="1:26" ht="15.75" customHeight="1">
      <c r="A221" s="150"/>
      <c r="B221" s="150"/>
      <c r="C221" s="150"/>
      <c r="D221" s="150"/>
      <c r="E221" s="150"/>
      <c r="F221" s="150"/>
      <c r="G221" s="151"/>
      <c r="H221" s="150"/>
      <c r="I221" s="150"/>
      <c r="J221" s="150"/>
      <c r="K221" s="150"/>
      <c r="L221" s="150"/>
      <c r="M221" s="150"/>
      <c r="N221" s="150"/>
      <c r="O221" s="150"/>
      <c r="P221" s="150"/>
      <c r="Q221" s="150"/>
      <c r="R221" s="150"/>
      <c r="S221" s="150"/>
      <c r="T221" s="150"/>
      <c r="U221" s="150"/>
      <c r="V221" s="150"/>
      <c r="W221" s="150"/>
      <c r="X221" s="150"/>
      <c r="Y221" s="150"/>
      <c r="Z221" s="150"/>
    </row>
    <row r="222" spans="1:26" ht="15.75" customHeight="1">
      <c r="A222" s="150"/>
      <c r="B222" s="150"/>
      <c r="C222" s="150"/>
      <c r="D222" s="150"/>
      <c r="E222" s="150"/>
      <c r="F222" s="150"/>
      <c r="G222" s="151"/>
      <c r="H222" s="150"/>
      <c r="I222" s="150"/>
      <c r="J222" s="150"/>
      <c r="K222" s="150"/>
      <c r="L222" s="150"/>
      <c r="M222" s="150"/>
      <c r="N222" s="150"/>
      <c r="O222" s="150"/>
      <c r="P222" s="150"/>
      <c r="Q222" s="150"/>
      <c r="R222" s="150"/>
      <c r="S222" s="150"/>
      <c r="T222" s="150"/>
      <c r="U222" s="150"/>
      <c r="V222" s="150"/>
      <c r="W222" s="150"/>
      <c r="X222" s="150"/>
      <c r="Y222" s="150"/>
      <c r="Z222" s="150"/>
    </row>
    <row r="223" spans="1:26" ht="15.75" customHeight="1">
      <c r="A223" s="150"/>
      <c r="B223" s="150"/>
      <c r="C223" s="150"/>
      <c r="D223" s="150"/>
      <c r="E223" s="150"/>
      <c r="F223" s="150"/>
      <c r="G223" s="151"/>
      <c r="H223" s="150"/>
      <c r="I223" s="150"/>
      <c r="J223" s="150"/>
      <c r="K223" s="150"/>
      <c r="L223" s="150"/>
      <c r="M223" s="150"/>
      <c r="N223" s="150"/>
      <c r="O223" s="150"/>
      <c r="P223" s="150"/>
      <c r="Q223" s="150"/>
      <c r="R223" s="150"/>
      <c r="S223" s="150"/>
      <c r="T223" s="150"/>
      <c r="U223" s="150"/>
      <c r="V223" s="150"/>
      <c r="W223" s="150"/>
      <c r="X223" s="150"/>
      <c r="Y223" s="150"/>
      <c r="Z223" s="150"/>
    </row>
    <row r="224" spans="1:26" ht="15.75" customHeight="1">
      <c r="A224" s="150"/>
      <c r="B224" s="150"/>
      <c r="C224" s="150"/>
      <c r="D224" s="150"/>
      <c r="E224" s="150"/>
      <c r="F224" s="150"/>
      <c r="G224" s="151"/>
      <c r="H224" s="150"/>
      <c r="I224" s="150"/>
      <c r="J224" s="150"/>
      <c r="K224" s="150"/>
      <c r="L224" s="150"/>
      <c r="M224" s="150"/>
      <c r="N224" s="150"/>
      <c r="O224" s="150"/>
      <c r="P224" s="150"/>
      <c r="Q224" s="150"/>
      <c r="R224" s="150"/>
      <c r="S224" s="150"/>
      <c r="T224" s="150"/>
      <c r="U224" s="150"/>
      <c r="V224" s="150"/>
      <c r="W224" s="150"/>
      <c r="X224" s="150"/>
      <c r="Y224" s="150"/>
      <c r="Z224" s="150"/>
    </row>
    <row r="225" spans="1:26" ht="15.75" customHeight="1">
      <c r="A225" s="150"/>
      <c r="B225" s="150"/>
      <c r="C225" s="150"/>
      <c r="D225" s="150"/>
      <c r="E225" s="150"/>
      <c r="F225" s="150"/>
      <c r="G225" s="151"/>
      <c r="H225" s="150"/>
      <c r="I225" s="150"/>
      <c r="J225" s="150"/>
      <c r="K225" s="150"/>
      <c r="L225" s="150"/>
      <c r="M225" s="150"/>
      <c r="N225" s="150"/>
      <c r="O225" s="150"/>
      <c r="P225" s="150"/>
      <c r="Q225" s="150"/>
      <c r="R225" s="150"/>
      <c r="S225" s="150"/>
      <c r="T225" s="150"/>
      <c r="U225" s="150"/>
      <c r="V225" s="150"/>
      <c r="W225" s="150"/>
      <c r="X225" s="150"/>
      <c r="Y225" s="150"/>
      <c r="Z225" s="150"/>
    </row>
    <row r="226" spans="1:26" ht="15.75" customHeight="1">
      <c r="A226" s="150"/>
      <c r="B226" s="150"/>
      <c r="C226" s="150"/>
      <c r="D226" s="150"/>
      <c r="E226" s="150"/>
      <c r="F226" s="150"/>
      <c r="G226" s="151"/>
      <c r="H226" s="150"/>
      <c r="I226" s="150"/>
      <c r="J226" s="150"/>
      <c r="K226" s="150"/>
      <c r="L226" s="150"/>
      <c r="M226" s="150"/>
      <c r="N226" s="150"/>
      <c r="O226" s="150"/>
      <c r="P226" s="150"/>
      <c r="Q226" s="150"/>
      <c r="R226" s="150"/>
      <c r="S226" s="150"/>
      <c r="T226" s="150"/>
      <c r="U226" s="150"/>
      <c r="V226" s="150"/>
      <c r="W226" s="150"/>
      <c r="X226" s="150"/>
      <c r="Y226" s="150"/>
      <c r="Z226" s="150"/>
    </row>
    <row r="227" spans="1:26" ht="15.75" customHeight="1">
      <c r="A227" s="150"/>
      <c r="B227" s="150"/>
      <c r="C227" s="150"/>
      <c r="D227" s="150"/>
      <c r="E227" s="150"/>
      <c r="F227" s="150"/>
      <c r="G227" s="151"/>
      <c r="H227" s="150"/>
      <c r="I227" s="150"/>
      <c r="J227" s="150"/>
      <c r="K227" s="150"/>
      <c r="L227" s="150"/>
      <c r="M227" s="150"/>
      <c r="N227" s="150"/>
      <c r="O227" s="150"/>
      <c r="P227" s="150"/>
      <c r="Q227" s="150"/>
      <c r="R227" s="150"/>
      <c r="S227" s="150"/>
      <c r="T227" s="150"/>
      <c r="U227" s="150"/>
      <c r="V227" s="150"/>
      <c r="W227" s="150"/>
      <c r="X227" s="150"/>
      <c r="Y227" s="150"/>
      <c r="Z227" s="150"/>
    </row>
    <row r="228" spans="1:26" ht="15.75" customHeight="1">
      <c r="A228" s="150"/>
      <c r="B228" s="150"/>
      <c r="C228" s="150"/>
      <c r="D228" s="150"/>
      <c r="E228" s="150"/>
      <c r="F228" s="150"/>
      <c r="G228" s="151"/>
      <c r="H228" s="150"/>
      <c r="I228" s="150"/>
      <c r="J228" s="150"/>
      <c r="K228" s="150"/>
      <c r="L228" s="150"/>
      <c r="M228" s="150"/>
      <c r="N228" s="150"/>
      <c r="O228" s="150"/>
      <c r="P228" s="150"/>
      <c r="Q228" s="150"/>
      <c r="R228" s="150"/>
      <c r="S228" s="150"/>
      <c r="T228" s="150"/>
      <c r="U228" s="150"/>
      <c r="V228" s="150"/>
      <c r="W228" s="150"/>
      <c r="X228" s="150"/>
      <c r="Y228" s="150"/>
      <c r="Z228" s="150"/>
    </row>
    <row r="229" spans="1:26" ht="15.75" customHeight="1">
      <c r="A229" s="150"/>
      <c r="B229" s="150"/>
      <c r="C229" s="150"/>
      <c r="D229" s="150"/>
      <c r="E229" s="150"/>
      <c r="F229" s="150"/>
      <c r="G229" s="151"/>
      <c r="H229" s="150"/>
      <c r="I229" s="150"/>
      <c r="J229" s="150"/>
      <c r="K229" s="150"/>
      <c r="L229" s="150"/>
      <c r="M229" s="150"/>
      <c r="N229" s="150"/>
      <c r="O229" s="150"/>
      <c r="P229" s="150"/>
      <c r="Q229" s="150"/>
      <c r="R229" s="150"/>
      <c r="S229" s="150"/>
      <c r="T229" s="150"/>
      <c r="U229" s="150"/>
      <c r="V229" s="150"/>
      <c r="W229" s="150"/>
      <c r="X229" s="150"/>
      <c r="Y229" s="150"/>
      <c r="Z229" s="150"/>
    </row>
    <row r="230" spans="1:26" ht="15.75" customHeight="1">
      <c r="A230" s="150"/>
      <c r="B230" s="150"/>
      <c r="C230" s="150"/>
      <c r="D230" s="150"/>
      <c r="E230" s="150"/>
      <c r="F230" s="150"/>
      <c r="G230" s="151"/>
      <c r="H230" s="150"/>
      <c r="I230" s="150"/>
      <c r="J230" s="150"/>
      <c r="K230" s="150"/>
      <c r="L230" s="150"/>
      <c r="M230" s="150"/>
      <c r="N230" s="150"/>
      <c r="O230" s="150"/>
      <c r="P230" s="150"/>
      <c r="Q230" s="150"/>
      <c r="R230" s="150"/>
      <c r="S230" s="150"/>
      <c r="T230" s="150"/>
      <c r="U230" s="150"/>
      <c r="V230" s="150"/>
      <c r="W230" s="150"/>
      <c r="X230" s="150"/>
      <c r="Y230" s="150"/>
      <c r="Z230" s="150"/>
    </row>
    <row r="231" spans="1:26" ht="15.75" customHeight="1">
      <c r="A231" s="150"/>
      <c r="B231" s="150"/>
      <c r="C231" s="150"/>
      <c r="D231" s="150"/>
      <c r="E231" s="150"/>
      <c r="F231" s="150"/>
      <c r="G231" s="151"/>
      <c r="H231" s="150"/>
      <c r="I231" s="150"/>
      <c r="J231" s="150"/>
      <c r="K231" s="150"/>
      <c r="L231" s="150"/>
      <c r="M231" s="150"/>
      <c r="N231" s="150"/>
      <c r="O231" s="150"/>
      <c r="P231" s="150"/>
      <c r="Q231" s="150"/>
      <c r="R231" s="150"/>
      <c r="S231" s="150"/>
      <c r="T231" s="150"/>
      <c r="U231" s="150"/>
      <c r="V231" s="150"/>
      <c r="W231" s="150"/>
      <c r="X231" s="150"/>
      <c r="Y231" s="150"/>
      <c r="Z231" s="150"/>
    </row>
    <row r="232" spans="1:26" ht="15.75" customHeight="1">
      <c r="A232" s="150"/>
      <c r="B232" s="150"/>
      <c r="C232" s="150"/>
      <c r="D232" s="150"/>
      <c r="E232" s="150"/>
      <c r="F232" s="150"/>
      <c r="G232" s="151"/>
      <c r="H232" s="150"/>
      <c r="I232" s="150"/>
      <c r="J232" s="150"/>
      <c r="K232" s="150"/>
      <c r="L232" s="150"/>
      <c r="M232" s="150"/>
      <c r="N232" s="150"/>
      <c r="O232" s="150"/>
      <c r="P232" s="150"/>
      <c r="Q232" s="150"/>
      <c r="R232" s="150"/>
      <c r="S232" s="150"/>
      <c r="T232" s="150"/>
      <c r="U232" s="150"/>
      <c r="V232" s="150"/>
      <c r="W232" s="150"/>
      <c r="X232" s="150"/>
      <c r="Y232" s="150"/>
      <c r="Z232" s="150"/>
    </row>
    <row r="233" spans="1:26" ht="15.75" customHeight="1">
      <c r="A233" s="150"/>
      <c r="B233" s="150"/>
      <c r="C233" s="150"/>
      <c r="D233" s="150"/>
      <c r="E233" s="150"/>
      <c r="F233" s="150"/>
      <c r="G233" s="151"/>
      <c r="H233" s="150"/>
      <c r="I233" s="150"/>
      <c r="J233" s="150"/>
      <c r="K233" s="150"/>
      <c r="L233" s="150"/>
      <c r="M233" s="150"/>
      <c r="N233" s="150"/>
      <c r="O233" s="150"/>
      <c r="P233" s="150"/>
      <c r="Q233" s="150"/>
      <c r="R233" s="150"/>
      <c r="S233" s="150"/>
      <c r="T233" s="150"/>
      <c r="U233" s="150"/>
      <c r="V233" s="150"/>
      <c r="W233" s="150"/>
      <c r="X233" s="150"/>
      <c r="Y233" s="150"/>
      <c r="Z233" s="150"/>
    </row>
    <row r="234" spans="1:26" ht="15.75" customHeight="1">
      <c r="A234" s="150"/>
      <c r="B234" s="150"/>
      <c r="C234" s="150"/>
      <c r="D234" s="150"/>
      <c r="E234" s="150"/>
      <c r="F234" s="150"/>
      <c r="G234" s="151"/>
      <c r="H234" s="150"/>
      <c r="I234" s="150"/>
      <c r="J234" s="150"/>
      <c r="K234" s="150"/>
      <c r="L234" s="150"/>
      <c r="M234" s="150"/>
      <c r="N234" s="150"/>
      <c r="O234" s="150"/>
      <c r="P234" s="150"/>
      <c r="Q234" s="150"/>
      <c r="R234" s="150"/>
      <c r="S234" s="150"/>
      <c r="T234" s="150"/>
      <c r="U234" s="150"/>
      <c r="V234" s="150"/>
      <c r="W234" s="150"/>
      <c r="X234" s="150"/>
      <c r="Y234" s="150"/>
      <c r="Z234" s="150"/>
    </row>
    <row r="235" spans="1:26" ht="15.75" customHeight="1">
      <c r="A235" s="150"/>
      <c r="B235" s="150"/>
      <c r="C235" s="150"/>
      <c r="D235" s="150"/>
      <c r="E235" s="150"/>
      <c r="F235" s="150"/>
      <c r="G235" s="151"/>
      <c r="H235" s="150"/>
      <c r="I235" s="150"/>
      <c r="J235" s="150"/>
      <c r="K235" s="150"/>
      <c r="L235" s="150"/>
      <c r="M235" s="150"/>
      <c r="N235" s="150"/>
      <c r="O235" s="150"/>
      <c r="P235" s="150"/>
      <c r="Q235" s="150"/>
      <c r="R235" s="150"/>
      <c r="S235" s="150"/>
      <c r="T235" s="150"/>
      <c r="U235" s="150"/>
      <c r="V235" s="150"/>
      <c r="W235" s="150"/>
      <c r="X235" s="150"/>
      <c r="Y235" s="150"/>
      <c r="Z235" s="150"/>
    </row>
    <row r="236" spans="1:26" ht="15.75" customHeight="1">
      <c r="A236" s="150"/>
      <c r="B236" s="150"/>
      <c r="C236" s="150"/>
      <c r="D236" s="150"/>
      <c r="E236" s="150"/>
      <c r="F236" s="150"/>
      <c r="G236" s="151"/>
      <c r="H236" s="150"/>
      <c r="I236" s="150"/>
      <c r="J236" s="150"/>
      <c r="K236" s="150"/>
      <c r="L236" s="150"/>
      <c r="M236" s="150"/>
      <c r="N236" s="150"/>
      <c r="O236" s="150"/>
      <c r="P236" s="150"/>
      <c r="Q236" s="150"/>
      <c r="R236" s="150"/>
      <c r="S236" s="150"/>
      <c r="T236" s="150"/>
      <c r="U236" s="150"/>
      <c r="V236" s="150"/>
      <c r="W236" s="150"/>
      <c r="X236" s="150"/>
      <c r="Y236" s="150"/>
      <c r="Z236" s="150"/>
    </row>
    <row r="237" spans="1:26" ht="15.75" customHeight="1">
      <c r="A237" s="150"/>
      <c r="B237" s="150"/>
      <c r="C237" s="150"/>
      <c r="D237" s="150"/>
      <c r="E237" s="150"/>
      <c r="F237" s="150"/>
      <c r="G237" s="151"/>
      <c r="H237" s="150"/>
      <c r="I237" s="150"/>
      <c r="J237" s="150"/>
      <c r="K237" s="150"/>
      <c r="L237" s="150"/>
      <c r="M237" s="150"/>
      <c r="N237" s="150"/>
      <c r="O237" s="150"/>
      <c r="P237" s="150"/>
      <c r="Q237" s="150"/>
      <c r="R237" s="150"/>
      <c r="S237" s="150"/>
      <c r="T237" s="150"/>
      <c r="U237" s="150"/>
      <c r="V237" s="150"/>
      <c r="W237" s="150"/>
      <c r="X237" s="150"/>
      <c r="Y237" s="150"/>
      <c r="Z237" s="150"/>
    </row>
    <row r="238" spans="1:26" ht="15.75" customHeight="1">
      <c r="A238" s="150"/>
      <c r="B238" s="150"/>
      <c r="C238" s="150"/>
      <c r="D238" s="150"/>
      <c r="E238" s="150"/>
      <c r="F238" s="150"/>
      <c r="G238" s="151"/>
      <c r="H238" s="150"/>
      <c r="I238" s="150"/>
      <c r="J238" s="150"/>
      <c r="K238" s="150"/>
      <c r="L238" s="150"/>
      <c r="M238" s="150"/>
      <c r="N238" s="150"/>
      <c r="O238" s="150"/>
      <c r="P238" s="150"/>
      <c r="Q238" s="150"/>
      <c r="R238" s="150"/>
      <c r="S238" s="150"/>
      <c r="T238" s="150"/>
      <c r="U238" s="150"/>
      <c r="V238" s="150"/>
      <c r="W238" s="150"/>
      <c r="X238" s="150"/>
      <c r="Y238" s="150"/>
      <c r="Z238" s="150"/>
    </row>
    <row r="239" spans="1:26" ht="15.75" customHeight="1">
      <c r="A239" s="150"/>
      <c r="B239" s="150"/>
      <c r="C239" s="150"/>
      <c r="D239" s="150"/>
      <c r="E239" s="150"/>
      <c r="F239" s="150"/>
      <c r="G239" s="151"/>
      <c r="H239" s="150"/>
      <c r="I239" s="150"/>
      <c r="J239" s="150"/>
      <c r="K239" s="150"/>
      <c r="L239" s="150"/>
      <c r="M239" s="150"/>
      <c r="N239" s="150"/>
      <c r="O239" s="150"/>
      <c r="P239" s="150"/>
      <c r="Q239" s="150"/>
      <c r="R239" s="150"/>
      <c r="S239" s="150"/>
      <c r="T239" s="150"/>
      <c r="U239" s="150"/>
      <c r="V239" s="150"/>
      <c r="W239" s="150"/>
      <c r="X239" s="150"/>
      <c r="Y239" s="150"/>
      <c r="Z239" s="150"/>
    </row>
    <row r="240" spans="1:26" ht="15.75" customHeight="1">
      <c r="A240" s="150"/>
      <c r="B240" s="150"/>
      <c r="C240" s="150"/>
      <c r="D240" s="150"/>
      <c r="E240" s="150"/>
      <c r="F240" s="150"/>
      <c r="G240" s="151"/>
      <c r="H240" s="150"/>
      <c r="I240" s="150"/>
      <c r="J240" s="150"/>
      <c r="K240" s="150"/>
      <c r="L240" s="150"/>
      <c r="M240" s="150"/>
      <c r="N240" s="150"/>
      <c r="O240" s="150"/>
      <c r="P240" s="150"/>
      <c r="Q240" s="150"/>
      <c r="R240" s="150"/>
      <c r="S240" s="150"/>
      <c r="T240" s="150"/>
      <c r="U240" s="150"/>
      <c r="V240" s="150"/>
      <c r="W240" s="150"/>
      <c r="X240" s="150"/>
      <c r="Y240" s="150"/>
      <c r="Z240" s="150"/>
    </row>
    <row r="241" spans="1:26" ht="15.75" customHeight="1">
      <c r="A241" s="150"/>
      <c r="B241" s="150"/>
      <c r="C241" s="150"/>
      <c r="D241" s="150"/>
      <c r="E241" s="150"/>
      <c r="F241" s="150"/>
      <c r="G241" s="151"/>
      <c r="H241" s="150"/>
      <c r="I241" s="150"/>
      <c r="J241" s="150"/>
      <c r="K241" s="150"/>
      <c r="L241" s="150"/>
      <c r="M241" s="150"/>
      <c r="N241" s="150"/>
      <c r="O241" s="150"/>
      <c r="P241" s="150"/>
      <c r="Q241" s="150"/>
      <c r="R241" s="150"/>
      <c r="S241" s="150"/>
      <c r="T241" s="150"/>
      <c r="U241" s="150"/>
      <c r="V241" s="150"/>
      <c r="W241" s="150"/>
      <c r="X241" s="150"/>
      <c r="Y241" s="150"/>
      <c r="Z241" s="150"/>
    </row>
    <row r="242" spans="1:26" ht="15.75" customHeight="1">
      <c r="A242" s="150"/>
      <c r="B242" s="150"/>
      <c r="C242" s="150"/>
      <c r="D242" s="150"/>
      <c r="E242" s="150"/>
      <c r="F242" s="150"/>
      <c r="G242" s="151"/>
      <c r="H242" s="150"/>
      <c r="I242" s="150"/>
      <c r="J242" s="150"/>
      <c r="K242" s="150"/>
      <c r="L242" s="150"/>
      <c r="M242" s="150"/>
      <c r="N242" s="150"/>
      <c r="O242" s="150"/>
      <c r="P242" s="150"/>
      <c r="Q242" s="150"/>
      <c r="R242" s="150"/>
      <c r="S242" s="150"/>
      <c r="T242" s="150"/>
      <c r="U242" s="150"/>
      <c r="V242" s="150"/>
      <c r="W242" s="150"/>
      <c r="X242" s="150"/>
      <c r="Y242" s="150"/>
      <c r="Z242" s="150"/>
    </row>
    <row r="243" spans="1:26" ht="15.75" customHeight="1">
      <c r="A243" s="150"/>
      <c r="B243" s="150"/>
      <c r="C243" s="150"/>
      <c r="D243" s="150"/>
      <c r="E243" s="150"/>
      <c r="F243" s="150"/>
      <c r="G243" s="151"/>
      <c r="H243" s="150"/>
      <c r="I243" s="150"/>
      <c r="J243" s="150"/>
      <c r="K243" s="150"/>
      <c r="L243" s="150"/>
      <c r="M243" s="150"/>
      <c r="N243" s="150"/>
      <c r="O243" s="150"/>
      <c r="P243" s="150"/>
      <c r="Q243" s="150"/>
      <c r="R243" s="150"/>
      <c r="S243" s="150"/>
      <c r="T243" s="150"/>
      <c r="U243" s="150"/>
      <c r="V243" s="150"/>
      <c r="W243" s="150"/>
      <c r="X243" s="150"/>
      <c r="Y243" s="150"/>
      <c r="Z243" s="150"/>
    </row>
    <row r="244" spans="1:26" ht="15.75" customHeight="1">
      <c r="A244" s="150"/>
      <c r="B244" s="150"/>
      <c r="C244" s="150"/>
      <c r="D244" s="150"/>
      <c r="E244" s="150"/>
      <c r="F244" s="150"/>
      <c r="G244" s="151"/>
      <c r="H244" s="150"/>
      <c r="I244" s="150"/>
      <c r="J244" s="150"/>
      <c r="K244" s="150"/>
      <c r="L244" s="150"/>
      <c r="M244" s="150"/>
      <c r="N244" s="150"/>
      <c r="O244" s="150"/>
      <c r="P244" s="150"/>
      <c r="Q244" s="150"/>
      <c r="R244" s="150"/>
      <c r="S244" s="150"/>
      <c r="T244" s="150"/>
      <c r="U244" s="150"/>
      <c r="V244" s="150"/>
      <c r="W244" s="150"/>
      <c r="X244" s="150"/>
      <c r="Y244" s="150"/>
      <c r="Z244" s="150"/>
    </row>
    <row r="245" spans="1:26" ht="15.75" customHeight="1">
      <c r="A245" s="150"/>
      <c r="B245" s="150"/>
      <c r="C245" s="150"/>
      <c r="D245" s="150"/>
      <c r="E245" s="150"/>
      <c r="F245" s="150"/>
      <c r="G245" s="151"/>
      <c r="H245" s="150"/>
      <c r="I245" s="150"/>
      <c r="J245" s="150"/>
      <c r="K245" s="150"/>
      <c r="L245" s="150"/>
      <c r="M245" s="150"/>
      <c r="N245" s="150"/>
      <c r="O245" s="150"/>
      <c r="P245" s="150"/>
      <c r="Q245" s="150"/>
      <c r="R245" s="150"/>
      <c r="S245" s="150"/>
      <c r="T245" s="150"/>
      <c r="U245" s="150"/>
      <c r="V245" s="150"/>
      <c r="W245" s="150"/>
      <c r="X245" s="150"/>
      <c r="Y245" s="150"/>
      <c r="Z245" s="150"/>
    </row>
    <row r="246" spans="1:26" ht="15.75" customHeight="1">
      <c r="A246" s="150"/>
      <c r="B246" s="150"/>
      <c r="C246" s="150"/>
      <c r="D246" s="150"/>
      <c r="E246" s="150"/>
      <c r="F246" s="150"/>
      <c r="G246" s="151"/>
      <c r="H246" s="150"/>
      <c r="I246" s="150"/>
      <c r="J246" s="150"/>
      <c r="K246" s="150"/>
      <c r="L246" s="150"/>
      <c r="M246" s="150"/>
      <c r="N246" s="150"/>
      <c r="O246" s="150"/>
      <c r="P246" s="150"/>
      <c r="Q246" s="150"/>
      <c r="R246" s="150"/>
      <c r="S246" s="150"/>
      <c r="T246" s="150"/>
      <c r="U246" s="150"/>
      <c r="V246" s="150"/>
      <c r="W246" s="150"/>
      <c r="X246" s="150"/>
      <c r="Y246" s="150"/>
      <c r="Z246" s="150"/>
    </row>
    <row r="247" spans="1:26" ht="15.75" customHeight="1">
      <c r="A247" s="150"/>
      <c r="B247" s="150"/>
      <c r="C247" s="150"/>
      <c r="D247" s="150"/>
      <c r="E247" s="150"/>
      <c r="F247" s="150"/>
      <c r="G247" s="151"/>
      <c r="H247" s="150"/>
      <c r="I247" s="150"/>
      <c r="J247" s="150"/>
      <c r="K247" s="150"/>
      <c r="L247" s="150"/>
      <c r="M247" s="150"/>
      <c r="N247" s="150"/>
      <c r="O247" s="150"/>
      <c r="P247" s="150"/>
      <c r="Q247" s="150"/>
      <c r="R247" s="150"/>
      <c r="S247" s="150"/>
      <c r="T247" s="150"/>
      <c r="U247" s="150"/>
      <c r="V247" s="150"/>
      <c r="W247" s="150"/>
      <c r="X247" s="150"/>
      <c r="Y247" s="150"/>
      <c r="Z247" s="150"/>
    </row>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E27:E29"/>
    <mergeCell ref="F27:F29"/>
    <mergeCell ref="G27:G29"/>
    <mergeCell ref="A41:B41"/>
    <mergeCell ref="A42:B42"/>
    <mergeCell ref="A27:A29"/>
    <mergeCell ref="B27:B29"/>
    <mergeCell ref="D27:D29"/>
    <mergeCell ref="C41:C42"/>
    <mergeCell ref="D41:F41"/>
    <mergeCell ref="H15:H17"/>
    <mergeCell ref="A15:A17"/>
    <mergeCell ref="A18:A20"/>
    <mergeCell ref="B18:B20"/>
    <mergeCell ref="D18:D20"/>
    <mergeCell ref="E18:E20"/>
    <mergeCell ref="F18:F20"/>
    <mergeCell ref="G18:G20"/>
    <mergeCell ref="B15:B17"/>
    <mergeCell ref="D15:D17"/>
    <mergeCell ref="E15:E17"/>
    <mergeCell ref="F15:F17"/>
    <mergeCell ref="G15:G17"/>
    <mergeCell ref="H9:H11"/>
    <mergeCell ref="A9:A11"/>
    <mergeCell ref="B12:B14"/>
    <mergeCell ref="D12:D14"/>
    <mergeCell ref="E12:E14"/>
    <mergeCell ref="F12:F14"/>
    <mergeCell ref="G12:G14"/>
    <mergeCell ref="H12:H14"/>
    <mergeCell ref="A12:A14"/>
    <mergeCell ref="B9:B11"/>
    <mergeCell ref="D9:D11"/>
    <mergeCell ref="E9:E11"/>
    <mergeCell ref="F9:F11"/>
    <mergeCell ref="G9:G11"/>
    <mergeCell ref="A1:H1"/>
    <mergeCell ref="B6:B8"/>
    <mergeCell ref="D6:D8"/>
    <mergeCell ref="E6:E8"/>
    <mergeCell ref="F6:F8"/>
    <mergeCell ref="G6:G8"/>
    <mergeCell ref="H6:H8"/>
    <mergeCell ref="A6:A8"/>
    <mergeCell ref="G24:G26"/>
    <mergeCell ref="H24:H26"/>
    <mergeCell ref="A22:A23"/>
    <mergeCell ref="B22:B23"/>
    <mergeCell ref="E22:E23"/>
    <mergeCell ref="F22:F23"/>
    <mergeCell ref="G22:G23"/>
    <mergeCell ref="H22:H23"/>
    <mergeCell ref="A24:A26"/>
    <mergeCell ref="E24:E26"/>
    <mergeCell ref="F24:F26"/>
    <mergeCell ref="D22:D23"/>
    <mergeCell ref="D24:D26"/>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Z1000"/>
  <sheetViews>
    <sheetView workbookViewId="0"/>
  </sheetViews>
  <sheetFormatPr defaultColWidth="10.109375" defaultRowHeight="15" customHeight="1"/>
  <cols>
    <col min="1" max="1" width="3.77734375" customWidth="1"/>
    <col min="2" max="2" width="35.88671875" customWidth="1"/>
    <col min="3" max="3" width="9.109375" customWidth="1"/>
    <col min="4" max="4" width="8.21875" customWidth="1"/>
    <col min="5" max="5" width="5.44140625" customWidth="1"/>
    <col min="6" max="6" width="90.44140625" customWidth="1"/>
    <col min="7" max="7" width="2.88671875" customWidth="1"/>
    <col min="8" max="8" width="24.77734375" customWidth="1"/>
    <col min="9" max="26" width="7" customWidth="1"/>
  </cols>
  <sheetData>
    <row r="1" spans="1:26" ht="18" customHeight="1">
      <c r="A1" s="1"/>
      <c r="B1" s="348"/>
      <c r="C1" s="380"/>
      <c r="D1" s="380"/>
      <c r="E1" s="380"/>
      <c r="F1" s="57"/>
      <c r="G1" s="1"/>
      <c r="H1" s="173"/>
      <c r="I1" s="1"/>
      <c r="J1" s="1"/>
      <c r="K1" s="1"/>
      <c r="L1" s="1"/>
      <c r="M1" s="1"/>
      <c r="N1" s="1"/>
      <c r="O1" s="1"/>
      <c r="P1" s="1"/>
      <c r="Q1" s="1"/>
      <c r="R1" s="1"/>
      <c r="S1" s="1"/>
      <c r="T1" s="1"/>
      <c r="U1" s="1"/>
      <c r="V1" s="1"/>
      <c r="W1" s="1"/>
      <c r="X1" s="1"/>
      <c r="Y1" s="1"/>
      <c r="Z1" s="1"/>
    </row>
    <row r="2" spans="1:26" ht="18" customHeight="1">
      <c r="A2" s="1"/>
      <c r="B2" s="174" t="s">
        <v>1379</v>
      </c>
      <c r="C2" s="175"/>
      <c r="D2" s="175"/>
      <c r="E2" s="175"/>
      <c r="F2" s="57"/>
      <c r="G2" s="1"/>
      <c r="H2" s="173"/>
      <c r="I2" s="1"/>
      <c r="J2" s="1"/>
      <c r="K2" s="1"/>
      <c r="L2" s="1"/>
      <c r="M2" s="1"/>
      <c r="N2" s="1"/>
      <c r="O2" s="1"/>
      <c r="P2" s="1"/>
      <c r="Q2" s="1"/>
      <c r="R2" s="1"/>
      <c r="S2" s="1"/>
      <c r="T2" s="1"/>
      <c r="U2" s="1"/>
      <c r="V2" s="1"/>
      <c r="W2" s="1"/>
      <c r="X2" s="1"/>
      <c r="Y2" s="1"/>
      <c r="Z2" s="1"/>
    </row>
    <row r="3" spans="1:26" ht="18" customHeight="1">
      <c r="A3" s="48" t="s">
        <v>1</v>
      </c>
      <c r="B3" s="47" t="s">
        <v>1380</v>
      </c>
      <c r="C3" s="47" t="s">
        <v>59</v>
      </c>
      <c r="D3" s="47" t="s">
        <v>1381</v>
      </c>
      <c r="E3" s="176" t="s">
        <v>1382</v>
      </c>
      <c r="F3" s="47" t="s">
        <v>5</v>
      </c>
      <c r="G3" s="1"/>
      <c r="H3" s="173"/>
      <c r="I3" s="1"/>
      <c r="J3" s="1"/>
      <c r="K3" s="1"/>
      <c r="L3" s="1"/>
      <c r="M3" s="1"/>
      <c r="N3" s="1"/>
      <c r="O3" s="1"/>
      <c r="P3" s="1"/>
      <c r="Q3" s="1"/>
      <c r="R3" s="1"/>
      <c r="S3" s="1"/>
      <c r="T3" s="1"/>
      <c r="U3" s="1"/>
      <c r="V3" s="1"/>
      <c r="W3" s="1"/>
      <c r="X3" s="1"/>
      <c r="Y3" s="1"/>
      <c r="Z3" s="1"/>
    </row>
    <row r="4" spans="1:26" ht="18" customHeight="1">
      <c r="A4" s="61" t="s">
        <v>6</v>
      </c>
      <c r="B4" s="51" t="s">
        <v>1383</v>
      </c>
      <c r="C4" s="52"/>
      <c r="D4" s="52"/>
      <c r="E4" s="52"/>
      <c r="F4" s="177" t="s">
        <v>1384</v>
      </c>
      <c r="G4" s="1"/>
      <c r="H4" s="178">
        <f>'1. GTPM'!D22</f>
        <v>12589720490.333073</v>
      </c>
      <c r="I4" s="1"/>
      <c r="J4" s="1"/>
      <c r="K4" s="1"/>
      <c r="L4" s="1"/>
      <c r="M4" s="1"/>
      <c r="N4" s="1"/>
      <c r="O4" s="1"/>
      <c r="P4" s="1"/>
      <c r="Q4" s="1"/>
      <c r="R4" s="1"/>
      <c r="S4" s="1"/>
      <c r="T4" s="1"/>
      <c r="U4" s="1"/>
      <c r="V4" s="1"/>
      <c r="W4" s="1"/>
      <c r="X4" s="1"/>
      <c r="Y4" s="1"/>
      <c r="Z4" s="1"/>
    </row>
    <row r="5" spans="1:26" ht="50.45">
      <c r="A5" s="64">
        <v>1</v>
      </c>
      <c r="B5" s="179" t="s">
        <v>1385</v>
      </c>
      <c r="C5" s="180">
        <v>1</v>
      </c>
      <c r="D5" s="181">
        <v>4</v>
      </c>
      <c r="E5" s="64">
        <f>$C$5*D5</f>
        <v>4</v>
      </c>
      <c r="F5" s="100" t="s">
        <v>1386</v>
      </c>
      <c r="G5" s="1"/>
      <c r="H5" s="173"/>
      <c r="I5" s="1"/>
      <c r="J5" s="1"/>
      <c r="K5" s="1"/>
      <c r="L5" s="1"/>
      <c r="M5" s="1"/>
      <c r="N5" s="1"/>
      <c r="O5" s="1"/>
      <c r="P5" s="1"/>
      <c r="Q5" s="1"/>
      <c r="R5" s="1"/>
      <c r="S5" s="1"/>
      <c r="T5" s="1"/>
      <c r="U5" s="1"/>
      <c r="V5" s="1"/>
      <c r="W5" s="1"/>
      <c r="X5" s="1"/>
      <c r="Y5" s="1"/>
      <c r="Z5" s="1"/>
    </row>
    <row r="6" spans="1:26" ht="100.9">
      <c r="A6" s="64">
        <f t="shared" ref="A6:A17" si="0">A5+1</f>
        <v>2</v>
      </c>
      <c r="B6" s="179" t="s">
        <v>1387</v>
      </c>
      <c r="C6" s="180">
        <v>1</v>
      </c>
      <c r="D6" s="181">
        <v>3</v>
      </c>
      <c r="E6" s="64">
        <f>$C$6*D6</f>
        <v>3</v>
      </c>
      <c r="F6" s="100" t="s">
        <v>1388</v>
      </c>
      <c r="G6" s="1"/>
      <c r="H6" s="173"/>
      <c r="I6" s="1"/>
      <c r="J6" s="1"/>
      <c r="K6" s="1"/>
      <c r="L6" s="1"/>
      <c r="M6" s="1"/>
      <c r="N6" s="1"/>
      <c r="O6" s="1"/>
      <c r="P6" s="1"/>
      <c r="Q6" s="1"/>
      <c r="R6" s="1"/>
      <c r="S6" s="1"/>
      <c r="T6" s="1"/>
      <c r="U6" s="1"/>
      <c r="V6" s="1"/>
      <c r="W6" s="1"/>
      <c r="X6" s="1"/>
      <c r="Y6" s="1"/>
      <c r="Z6" s="1"/>
    </row>
    <row r="7" spans="1:26" ht="117.6">
      <c r="A7" s="64">
        <f t="shared" si="0"/>
        <v>3</v>
      </c>
      <c r="B7" s="179" t="s">
        <v>1389</v>
      </c>
      <c r="C7" s="180">
        <v>1</v>
      </c>
      <c r="D7" s="181">
        <v>3</v>
      </c>
      <c r="E7" s="64">
        <f>$C$7*D7</f>
        <v>3</v>
      </c>
      <c r="F7" s="143" t="s">
        <v>1390</v>
      </c>
      <c r="G7" s="1"/>
      <c r="H7" s="173"/>
      <c r="I7" s="1"/>
      <c r="J7" s="1"/>
      <c r="K7" s="1"/>
      <c r="L7" s="1"/>
      <c r="M7" s="1"/>
      <c r="N7" s="1"/>
      <c r="O7" s="1"/>
      <c r="P7" s="1"/>
      <c r="Q7" s="1"/>
      <c r="R7" s="1"/>
      <c r="S7" s="1"/>
      <c r="T7" s="1"/>
      <c r="U7" s="1"/>
      <c r="V7" s="1"/>
      <c r="W7" s="1"/>
      <c r="X7" s="1"/>
      <c r="Y7" s="1"/>
      <c r="Z7" s="1"/>
    </row>
    <row r="8" spans="1:26" ht="100.9">
      <c r="A8" s="64">
        <f t="shared" si="0"/>
        <v>4</v>
      </c>
      <c r="B8" s="179" t="s">
        <v>1391</v>
      </c>
      <c r="C8" s="180">
        <v>2</v>
      </c>
      <c r="D8" s="181">
        <v>3</v>
      </c>
      <c r="E8" s="64">
        <f>$C$8*D8</f>
        <v>6</v>
      </c>
      <c r="F8" s="100" t="s">
        <v>1392</v>
      </c>
      <c r="G8" s="1"/>
      <c r="H8" s="173"/>
      <c r="I8" s="1"/>
      <c r="J8" s="1"/>
      <c r="K8" s="1"/>
      <c r="L8" s="1"/>
      <c r="M8" s="1"/>
      <c r="N8" s="1"/>
      <c r="O8" s="1"/>
      <c r="P8" s="1"/>
      <c r="Q8" s="1"/>
      <c r="R8" s="1"/>
      <c r="S8" s="1"/>
      <c r="T8" s="1"/>
      <c r="U8" s="1"/>
      <c r="V8" s="1"/>
      <c r="W8" s="1"/>
      <c r="X8" s="1"/>
      <c r="Y8" s="1"/>
      <c r="Z8" s="1"/>
    </row>
    <row r="9" spans="1:26" ht="33.6">
      <c r="A9" s="64">
        <f t="shared" si="0"/>
        <v>5</v>
      </c>
      <c r="B9" s="179" t="s">
        <v>1393</v>
      </c>
      <c r="C9" s="182">
        <v>1</v>
      </c>
      <c r="D9" s="322">
        <v>3</v>
      </c>
      <c r="E9" s="64">
        <f>$C$9*D9</f>
        <v>3</v>
      </c>
      <c r="F9" s="100" t="s">
        <v>1394</v>
      </c>
      <c r="G9" s="1"/>
      <c r="H9" s="183"/>
      <c r="I9" s="1"/>
      <c r="J9" s="1"/>
      <c r="K9" s="1"/>
      <c r="L9" s="1"/>
      <c r="M9" s="1"/>
      <c r="N9" s="1"/>
      <c r="O9" s="1"/>
      <c r="P9" s="1"/>
      <c r="Q9" s="1"/>
      <c r="R9" s="1"/>
      <c r="S9" s="1"/>
      <c r="T9" s="1"/>
      <c r="U9" s="1"/>
      <c r="V9" s="1"/>
      <c r="W9" s="1"/>
      <c r="X9" s="1"/>
      <c r="Y9" s="1"/>
      <c r="Z9" s="1"/>
    </row>
    <row r="10" spans="1:26" ht="18" customHeight="1">
      <c r="A10" s="184">
        <f t="shared" si="0"/>
        <v>6</v>
      </c>
      <c r="B10" s="179" t="s">
        <v>1395</v>
      </c>
      <c r="C10" s="182">
        <v>0.5</v>
      </c>
      <c r="D10" s="322">
        <v>3</v>
      </c>
      <c r="E10" s="64">
        <f>$C$10*D10</f>
        <v>1.5</v>
      </c>
      <c r="F10" s="100" t="s">
        <v>1396</v>
      </c>
      <c r="G10" s="1"/>
      <c r="H10" s="173"/>
      <c r="I10" s="53"/>
      <c r="J10" s="53"/>
      <c r="K10" s="53"/>
      <c r="L10" s="53"/>
      <c r="M10" s="53"/>
      <c r="N10" s="53"/>
      <c r="O10" s="53"/>
      <c r="P10" s="53"/>
      <c r="Q10" s="53"/>
      <c r="R10" s="53"/>
      <c r="S10" s="53"/>
      <c r="T10" s="53"/>
      <c r="U10" s="53"/>
      <c r="V10" s="53"/>
      <c r="W10" s="53"/>
      <c r="X10" s="53"/>
      <c r="Y10" s="53"/>
      <c r="Z10" s="53"/>
    </row>
    <row r="11" spans="1:26" ht="18" customHeight="1">
      <c r="A11" s="64">
        <f t="shared" si="0"/>
        <v>7</v>
      </c>
      <c r="B11" s="179" t="s">
        <v>1397</v>
      </c>
      <c r="C11" s="182">
        <v>0.5</v>
      </c>
      <c r="D11" s="322">
        <v>3</v>
      </c>
      <c r="E11" s="64">
        <f>$C$11*D11</f>
        <v>1.5</v>
      </c>
      <c r="F11" s="143" t="s">
        <v>1398</v>
      </c>
      <c r="G11" s="1"/>
      <c r="H11" s="173"/>
      <c r="I11" s="1"/>
      <c r="J11" s="1"/>
      <c r="K11" s="1"/>
      <c r="L11" s="1"/>
      <c r="M11" s="1"/>
      <c r="N11" s="1"/>
      <c r="O11" s="1"/>
      <c r="P11" s="1"/>
      <c r="Q11" s="1"/>
      <c r="R11" s="1"/>
      <c r="S11" s="1"/>
      <c r="T11" s="1"/>
      <c r="U11" s="1"/>
      <c r="V11" s="1"/>
      <c r="W11" s="1"/>
      <c r="X11" s="1"/>
      <c r="Y11" s="1"/>
      <c r="Z11" s="1"/>
    </row>
    <row r="12" spans="1:26" ht="18" customHeight="1">
      <c r="A12" s="64">
        <f t="shared" si="0"/>
        <v>8</v>
      </c>
      <c r="B12" s="179" t="s">
        <v>1399</v>
      </c>
      <c r="C12" s="180">
        <v>1</v>
      </c>
      <c r="D12" s="181">
        <v>3</v>
      </c>
      <c r="E12" s="64">
        <f>$C$12*D12</f>
        <v>3</v>
      </c>
      <c r="F12" s="185" t="s">
        <v>1400</v>
      </c>
      <c r="G12" s="1"/>
      <c r="H12" s="173"/>
      <c r="I12" s="1"/>
      <c r="J12" s="1"/>
      <c r="K12" s="1"/>
      <c r="L12" s="1"/>
      <c r="M12" s="1"/>
      <c r="N12" s="1"/>
      <c r="O12" s="1"/>
      <c r="P12" s="1"/>
      <c r="Q12" s="1"/>
      <c r="R12" s="1"/>
      <c r="S12" s="1"/>
      <c r="T12" s="1"/>
      <c r="U12" s="1"/>
      <c r="V12" s="1"/>
      <c r="W12" s="1"/>
      <c r="X12" s="1"/>
      <c r="Y12" s="1"/>
      <c r="Z12" s="1"/>
    </row>
    <row r="13" spans="1:26" ht="18" customHeight="1">
      <c r="A13" s="64">
        <f t="shared" si="0"/>
        <v>9</v>
      </c>
      <c r="B13" s="179" t="s">
        <v>1401</v>
      </c>
      <c r="C13" s="180">
        <v>1</v>
      </c>
      <c r="D13" s="181">
        <v>3</v>
      </c>
      <c r="E13" s="64">
        <f>$C$13*D13</f>
        <v>3</v>
      </c>
      <c r="F13" s="143" t="s">
        <v>1402</v>
      </c>
      <c r="G13" s="1"/>
      <c r="H13" s="173"/>
      <c r="I13" s="1"/>
      <c r="J13" s="1"/>
      <c r="K13" s="1"/>
      <c r="L13" s="1"/>
      <c r="M13" s="1"/>
      <c r="N13" s="1"/>
      <c r="O13" s="1"/>
      <c r="P13" s="1"/>
      <c r="Q13" s="1"/>
      <c r="R13" s="1"/>
      <c r="S13" s="1"/>
      <c r="T13" s="1"/>
      <c r="U13" s="1"/>
      <c r="V13" s="1"/>
      <c r="W13" s="1"/>
      <c r="X13" s="1"/>
      <c r="Y13" s="1"/>
      <c r="Z13" s="1"/>
    </row>
    <row r="14" spans="1:26" ht="18" customHeight="1">
      <c r="A14" s="64">
        <f t="shared" si="0"/>
        <v>10</v>
      </c>
      <c r="B14" s="179" t="s">
        <v>1403</v>
      </c>
      <c r="C14" s="180">
        <v>1</v>
      </c>
      <c r="D14" s="181">
        <v>3</v>
      </c>
      <c r="E14" s="64">
        <f>$C$14*D14</f>
        <v>3</v>
      </c>
      <c r="F14" s="143" t="s">
        <v>1404</v>
      </c>
      <c r="G14" s="1"/>
      <c r="H14" s="173"/>
      <c r="I14" s="1"/>
      <c r="J14" s="1"/>
      <c r="K14" s="1"/>
      <c r="L14" s="1"/>
      <c r="M14" s="1"/>
      <c r="N14" s="1"/>
      <c r="O14" s="1"/>
      <c r="P14" s="1"/>
      <c r="Q14" s="1"/>
      <c r="R14" s="1"/>
      <c r="S14" s="1"/>
      <c r="T14" s="1"/>
      <c r="U14" s="1"/>
      <c r="V14" s="1"/>
      <c r="W14" s="1"/>
      <c r="X14" s="1"/>
      <c r="Y14" s="1"/>
      <c r="Z14" s="1"/>
    </row>
    <row r="15" spans="1:26" ht="18" customHeight="1">
      <c r="A15" s="64">
        <f t="shared" si="0"/>
        <v>11</v>
      </c>
      <c r="B15" s="179" t="s">
        <v>1405</v>
      </c>
      <c r="C15" s="180">
        <v>2</v>
      </c>
      <c r="D15" s="181">
        <v>2</v>
      </c>
      <c r="E15" s="64">
        <f>$C$15*D15</f>
        <v>4</v>
      </c>
      <c r="F15" s="143" t="s">
        <v>1406</v>
      </c>
      <c r="G15" s="1"/>
      <c r="H15" s="173"/>
      <c r="I15" s="1"/>
      <c r="J15" s="1"/>
      <c r="K15" s="1"/>
      <c r="L15" s="1"/>
      <c r="M15" s="1"/>
      <c r="N15" s="1"/>
      <c r="O15" s="1"/>
      <c r="P15" s="1"/>
      <c r="Q15" s="1"/>
      <c r="R15" s="1"/>
      <c r="S15" s="1"/>
      <c r="T15" s="1"/>
      <c r="U15" s="1"/>
      <c r="V15" s="1"/>
      <c r="W15" s="1"/>
      <c r="X15" s="1"/>
      <c r="Y15" s="1"/>
      <c r="Z15" s="1"/>
    </row>
    <row r="16" spans="1:26" ht="18" customHeight="1">
      <c r="A16" s="64">
        <f t="shared" si="0"/>
        <v>12</v>
      </c>
      <c r="B16" s="179" t="s">
        <v>1407</v>
      </c>
      <c r="C16" s="180">
        <v>1</v>
      </c>
      <c r="D16" s="181">
        <v>2</v>
      </c>
      <c r="E16" s="64">
        <f>$C$16*D16</f>
        <v>2</v>
      </c>
      <c r="F16" s="143" t="s">
        <v>1408</v>
      </c>
      <c r="G16" s="1"/>
      <c r="H16" s="173"/>
      <c r="I16" s="1"/>
      <c r="J16" s="1"/>
      <c r="K16" s="1"/>
      <c r="L16" s="1"/>
      <c r="M16" s="1"/>
      <c r="N16" s="1"/>
      <c r="O16" s="1"/>
      <c r="P16" s="1"/>
      <c r="Q16" s="1"/>
      <c r="R16" s="1"/>
      <c r="S16" s="1"/>
      <c r="T16" s="1"/>
      <c r="U16" s="1"/>
      <c r="V16" s="1"/>
      <c r="W16" s="1"/>
      <c r="X16" s="1"/>
      <c r="Y16" s="1"/>
      <c r="Z16" s="1"/>
    </row>
    <row r="17" spans="1:26" ht="18" customHeight="1">
      <c r="A17" s="64">
        <f t="shared" si="0"/>
        <v>13</v>
      </c>
      <c r="B17" s="179" t="s">
        <v>1409</v>
      </c>
      <c r="C17" s="180">
        <v>1</v>
      </c>
      <c r="D17" s="181">
        <v>1</v>
      </c>
      <c r="E17" s="64">
        <f>$C17*D17</f>
        <v>1</v>
      </c>
      <c r="F17" s="143" t="s">
        <v>1410</v>
      </c>
      <c r="G17" s="1"/>
      <c r="H17" s="173"/>
      <c r="I17" s="1"/>
      <c r="J17" s="1"/>
      <c r="K17" s="1"/>
      <c r="L17" s="1"/>
      <c r="M17" s="1"/>
      <c r="N17" s="1"/>
      <c r="O17" s="1"/>
      <c r="P17" s="1"/>
      <c r="Q17" s="1"/>
      <c r="R17" s="1"/>
      <c r="S17" s="1"/>
      <c r="T17" s="1"/>
      <c r="U17" s="1"/>
      <c r="V17" s="1"/>
      <c r="W17" s="1"/>
      <c r="X17" s="1"/>
      <c r="Y17" s="1"/>
      <c r="Z17" s="1"/>
    </row>
    <row r="18" spans="1:26" ht="18" customHeight="1">
      <c r="A18" s="61" t="s">
        <v>24</v>
      </c>
      <c r="B18" s="51" t="s">
        <v>1411</v>
      </c>
      <c r="C18" s="49"/>
      <c r="D18" s="49"/>
      <c r="E18" s="61">
        <f>SUM(E5:E17)</f>
        <v>38</v>
      </c>
      <c r="F18" s="50"/>
      <c r="G18" s="1"/>
      <c r="H18" s="173"/>
      <c r="I18" s="1"/>
      <c r="J18" s="1"/>
      <c r="K18" s="1"/>
      <c r="L18" s="1"/>
      <c r="M18" s="1"/>
      <c r="N18" s="1"/>
      <c r="O18" s="1"/>
      <c r="P18" s="1"/>
      <c r="Q18" s="1"/>
      <c r="R18" s="1"/>
      <c r="S18" s="1"/>
      <c r="T18" s="1"/>
      <c r="U18" s="1"/>
      <c r="V18" s="1"/>
      <c r="W18" s="1"/>
      <c r="X18" s="1"/>
      <c r="Y18" s="1"/>
      <c r="Z18" s="1"/>
    </row>
    <row r="19" spans="1:26" ht="18" customHeight="1">
      <c r="A19" s="3"/>
      <c r="B19" s="186" t="s">
        <v>1412</v>
      </c>
      <c r="C19" s="5"/>
      <c r="D19" s="5"/>
      <c r="E19" s="187">
        <f>0.6+(0.01*E18)</f>
        <v>0.98</v>
      </c>
      <c r="F19" s="73"/>
      <c r="G19" s="1"/>
      <c r="H19" s="173"/>
      <c r="I19" s="1"/>
      <c r="J19" s="1"/>
      <c r="K19" s="1"/>
      <c r="L19" s="1"/>
      <c r="M19" s="1"/>
      <c r="N19" s="1"/>
      <c r="O19" s="1"/>
      <c r="P19" s="1"/>
      <c r="Q19" s="1"/>
      <c r="R19" s="1"/>
      <c r="S19" s="1"/>
      <c r="T19" s="1"/>
      <c r="U19" s="1"/>
      <c r="V19" s="1"/>
      <c r="W19" s="1"/>
      <c r="X19" s="1"/>
      <c r="Y19" s="1"/>
      <c r="Z19" s="1"/>
    </row>
    <row r="20" spans="1:26" ht="18" customHeight="1">
      <c r="A20" s="1"/>
      <c r="B20" s="1"/>
      <c r="C20" s="1"/>
      <c r="D20" s="1"/>
      <c r="E20" s="1"/>
      <c r="F20" s="57"/>
      <c r="G20" s="1"/>
      <c r="H20" s="173"/>
      <c r="I20" s="1"/>
      <c r="J20" s="1"/>
      <c r="K20" s="1"/>
      <c r="L20" s="1"/>
      <c r="M20" s="1"/>
      <c r="N20" s="1"/>
      <c r="O20" s="1"/>
      <c r="P20" s="1"/>
      <c r="Q20" s="1"/>
      <c r="R20" s="1"/>
      <c r="S20" s="1"/>
      <c r="T20" s="1"/>
      <c r="U20" s="1"/>
      <c r="V20" s="1"/>
      <c r="W20" s="1"/>
      <c r="X20" s="1"/>
      <c r="Y20" s="1"/>
      <c r="Z20" s="1"/>
    </row>
    <row r="21" spans="1:26" ht="18" customHeight="1">
      <c r="A21" s="1"/>
      <c r="B21" s="1"/>
      <c r="C21" s="1"/>
      <c r="D21" s="1"/>
      <c r="E21" s="1"/>
      <c r="F21" s="57"/>
      <c r="G21" s="1"/>
      <c r="H21" s="173"/>
      <c r="I21" s="1"/>
      <c r="J21" s="1"/>
      <c r="K21" s="1"/>
      <c r="L21" s="1"/>
      <c r="M21" s="1"/>
      <c r="N21" s="1"/>
      <c r="O21" s="1"/>
      <c r="P21" s="1"/>
      <c r="Q21" s="1"/>
      <c r="R21" s="1"/>
      <c r="S21" s="1"/>
      <c r="T21" s="1"/>
      <c r="U21" s="1"/>
      <c r="V21" s="1"/>
      <c r="W21" s="1"/>
      <c r="X21" s="1"/>
      <c r="Y21" s="1"/>
      <c r="Z21" s="1"/>
    </row>
    <row r="22" spans="1:26" ht="18" customHeight="1">
      <c r="A22" s="1"/>
      <c r="B22" s="1"/>
      <c r="C22" s="1"/>
      <c r="D22" s="1"/>
      <c r="E22" s="1"/>
      <c r="F22" s="57"/>
      <c r="G22" s="1"/>
      <c r="H22" s="173"/>
      <c r="I22" s="1"/>
      <c r="J22" s="1"/>
      <c r="K22" s="1"/>
      <c r="L22" s="1"/>
      <c r="M22" s="1"/>
      <c r="N22" s="1"/>
      <c r="O22" s="1"/>
      <c r="P22" s="1"/>
      <c r="Q22" s="1"/>
      <c r="R22" s="1"/>
      <c r="S22" s="1"/>
      <c r="T22" s="1"/>
      <c r="U22" s="1"/>
      <c r="V22" s="1"/>
      <c r="W22" s="1"/>
      <c r="X22" s="1"/>
      <c r="Y22" s="1"/>
      <c r="Z22" s="1"/>
    </row>
    <row r="23" spans="1:26" ht="18" customHeight="1">
      <c r="A23" s="1"/>
      <c r="B23" s="1"/>
      <c r="C23" s="1"/>
      <c r="D23" s="1"/>
      <c r="E23" s="1"/>
      <c r="F23" s="57"/>
      <c r="G23" s="1"/>
      <c r="H23" s="173"/>
      <c r="I23" s="1"/>
      <c r="J23" s="1"/>
      <c r="K23" s="1"/>
      <c r="L23" s="1"/>
      <c r="M23" s="1"/>
      <c r="N23" s="1"/>
      <c r="O23" s="1"/>
      <c r="P23" s="1"/>
      <c r="Q23" s="1"/>
      <c r="R23" s="1"/>
      <c r="S23" s="1"/>
      <c r="T23" s="1"/>
      <c r="U23" s="1"/>
      <c r="V23" s="1"/>
      <c r="W23" s="1"/>
      <c r="X23" s="1"/>
      <c r="Y23" s="1"/>
      <c r="Z23" s="1"/>
    </row>
    <row r="24" spans="1:26" ht="18" customHeight="1">
      <c r="A24" s="1"/>
      <c r="B24" s="1"/>
      <c r="C24" s="1"/>
      <c r="D24" s="1"/>
      <c r="E24" s="1"/>
      <c r="F24" s="57"/>
      <c r="G24" s="1"/>
      <c r="H24" s="173"/>
      <c r="I24" s="1"/>
      <c r="J24" s="1"/>
      <c r="K24" s="1"/>
      <c r="L24" s="1"/>
      <c r="M24" s="1"/>
      <c r="N24" s="1"/>
      <c r="O24" s="1"/>
      <c r="P24" s="1"/>
      <c r="Q24" s="1"/>
      <c r="R24" s="1"/>
      <c r="S24" s="1"/>
      <c r="T24" s="1"/>
      <c r="U24" s="1"/>
      <c r="V24" s="1"/>
      <c r="W24" s="1"/>
      <c r="X24" s="1"/>
      <c r="Y24" s="1"/>
      <c r="Z24" s="1"/>
    </row>
    <row r="25" spans="1:26" ht="18" customHeight="1">
      <c r="A25" s="1"/>
      <c r="B25" s="1"/>
      <c r="C25" s="1"/>
      <c r="D25" s="1"/>
      <c r="E25" s="1"/>
      <c r="F25" s="57"/>
      <c r="G25" s="1"/>
      <c r="H25" s="173"/>
      <c r="I25" s="1"/>
      <c r="J25" s="1"/>
      <c r="K25" s="1"/>
      <c r="L25" s="1"/>
      <c r="M25" s="1"/>
      <c r="N25" s="1"/>
      <c r="O25" s="1"/>
      <c r="P25" s="1"/>
      <c r="Q25" s="1"/>
      <c r="R25" s="1"/>
      <c r="S25" s="1"/>
      <c r="T25" s="1"/>
      <c r="U25" s="1"/>
      <c r="V25" s="1"/>
      <c r="W25" s="1"/>
      <c r="X25" s="1"/>
      <c r="Y25" s="1"/>
      <c r="Z25" s="1"/>
    </row>
    <row r="26" spans="1:26" ht="18" customHeight="1">
      <c r="A26" s="1"/>
      <c r="B26" s="1"/>
      <c r="C26" s="1"/>
      <c r="D26" s="1"/>
      <c r="E26" s="1"/>
      <c r="F26" s="57"/>
      <c r="G26" s="1"/>
      <c r="H26" s="173"/>
      <c r="I26" s="1"/>
      <c r="J26" s="1"/>
      <c r="K26" s="1"/>
      <c r="L26" s="1"/>
      <c r="M26" s="1"/>
      <c r="N26" s="1"/>
      <c r="O26" s="1"/>
      <c r="P26" s="1"/>
      <c r="Q26" s="1"/>
      <c r="R26" s="1"/>
      <c r="S26" s="1"/>
      <c r="T26" s="1"/>
      <c r="U26" s="1"/>
      <c r="V26" s="1"/>
      <c r="W26" s="1"/>
      <c r="X26" s="1"/>
      <c r="Y26" s="1"/>
      <c r="Z26" s="1"/>
    </row>
    <row r="27" spans="1:26" ht="18" customHeight="1">
      <c r="A27" s="1"/>
      <c r="B27" s="1"/>
      <c r="C27" s="1"/>
      <c r="D27" s="1"/>
      <c r="E27" s="1"/>
      <c r="F27" s="57"/>
      <c r="G27" s="1"/>
      <c r="H27" s="173"/>
      <c r="I27" s="1"/>
      <c r="J27" s="1"/>
      <c r="K27" s="1"/>
      <c r="L27" s="1"/>
      <c r="M27" s="1"/>
      <c r="N27" s="1"/>
      <c r="O27" s="1"/>
      <c r="P27" s="1"/>
      <c r="Q27" s="1"/>
      <c r="R27" s="1"/>
      <c r="S27" s="1"/>
      <c r="T27" s="1"/>
      <c r="U27" s="1"/>
      <c r="V27" s="1"/>
      <c r="W27" s="1"/>
      <c r="X27" s="1"/>
      <c r="Y27" s="1"/>
      <c r="Z27" s="1"/>
    </row>
    <row r="28" spans="1:26" ht="18" customHeight="1">
      <c r="A28" s="1"/>
      <c r="B28" s="1"/>
      <c r="C28" s="1"/>
      <c r="D28" s="1"/>
      <c r="E28" s="1"/>
      <c r="F28" s="57"/>
      <c r="G28" s="1"/>
      <c r="H28" s="173"/>
      <c r="I28" s="1"/>
      <c r="J28" s="1"/>
      <c r="K28" s="1"/>
      <c r="L28" s="1"/>
      <c r="M28" s="1"/>
      <c r="N28" s="1"/>
      <c r="O28" s="1"/>
      <c r="P28" s="1"/>
      <c r="Q28" s="1"/>
      <c r="R28" s="1"/>
      <c r="S28" s="1"/>
      <c r="T28" s="1"/>
      <c r="U28" s="1"/>
      <c r="V28" s="1"/>
      <c r="W28" s="1"/>
      <c r="X28" s="1"/>
      <c r="Y28" s="1"/>
      <c r="Z28" s="1"/>
    </row>
    <row r="29" spans="1:26" ht="18" customHeight="1">
      <c r="A29" s="1"/>
      <c r="B29" s="1"/>
      <c r="C29" s="1"/>
      <c r="D29" s="1"/>
      <c r="E29" s="1"/>
      <c r="F29" s="57"/>
      <c r="G29" s="1"/>
      <c r="H29" s="173"/>
      <c r="I29" s="1"/>
      <c r="J29" s="1"/>
      <c r="K29" s="1"/>
      <c r="L29" s="1"/>
      <c r="M29" s="1"/>
      <c r="N29" s="1"/>
      <c r="O29" s="1"/>
      <c r="P29" s="1"/>
      <c r="Q29" s="1"/>
      <c r="R29" s="1"/>
      <c r="S29" s="1"/>
      <c r="T29" s="1"/>
      <c r="U29" s="1"/>
      <c r="V29" s="1"/>
      <c r="W29" s="1"/>
      <c r="X29" s="1"/>
      <c r="Y29" s="1"/>
      <c r="Z29" s="1"/>
    </row>
    <row r="30" spans="1:26" ht="18" customHeight="1">
      <c r="A30" s="1"/>
      <c r="B30" s="1"/>
      <c r="C30" s="1"/>
      <c r="D30" s="1"/>
      <c r="E30" s="1"/>
      <c r="F30" s="57"/>
      <c r="G30" s="1"/>
      <c r="H30" s="173"/>
      <c r="I30" s="1"/>
      <c r="J30" s="1"/>
      <c r="K30" s="1"/>
      <c r="L30" s="1"/>
      <c r="M30" s="1"/>
      <c r="N30" s="1"/>
      <c r="O30" s="1"/>
      <c r="P30" s="1"/>
      <c r="Q30" s="1"/>
      <c r="R30" s="1"/>
      <c r="S30" s="1"/>
      <c r="T30" s="1"/>
      <c r="U30" s="1"/>
      <c r="V30" s="1"/>
      <c r="W30" s="1"/>
      <c r="X30" s="1"/>
      <c r="Y30" s="1"/>
      <c r="Z30" s="1"/>
    </row>
    <row r="31" spans="1:26" ht="18" customHeight="1">
      <c r="A31" s="1"/>
      <c r="B31" s="1"/>
      <c r="C31" s="1"/>
      <c r="D31" s="1"/>
      <c r="E31" s="1"/>
      <c r="F31" s="57"/>
      <c r="G31" s="1"/>
      <c r="H31" s="173"/>
      <c r="I31" s="1"/>
      <c r="J31" s="1"/>
      <c r="K31" s="1"/>
      <c r="L31" s="1"/>
      <c r="M31" s="1"/>
      <c r="N31" s="1"/>
      <c r="O31" s="1"/>
      <c r="P31" s="1"/>
      <c r="Q31" s="1"/>
      <c r="R31" s="1"/>
      <c r="S31" s="1"/>
      <c r="T31" s="1"/>
      <c r="U31" s="1"/>
      <c r="V31" s="1"/>
      <c r="W31" s="1"/>
      <c r="X31" s="1"/>
      <c r="Y31" s="1"/>
      <c r="Z31" s="1"/>
    </row>
    <row r="32" spans="1:26" ht="18" customHeight="1">
      <c r="A32" s="1"/>
      <c r="B32" s="1"/>
      <c r="C32" s="1"/>
      <c r="D32" s="1"/>
      <c r="E32" s="1"/>
      <c r="F32" s="57"/>
      <c r="G32" s="1"/>
      <c r="H32" s="173"/>
      <c r="I32" s="1"/>
      <c r="J32" s="1"/>
      <c r="K32" s="1"/>
      <c r="L32" s="1"/>
      <c r="M32" s="1"/>
      <c r="N32" s="1"/>
      <c r="O32" s="1"/>
      <c r="P32" s="1"/>
      <c r="Q32" s="1"/>
      <c r="R32" s="1"/>
      <c r="S32" s="1"/>
      <c r="T32" s="1"/>
      <c r="U32" s="1"/>
      <c r="V32" s="1"/>
      <c r="W32" s="1"/>
      <c r="X32" s="1"/>
      <c r="Y32" s="1"/>
      <c r="Z32" s="1"/>
    </row>
    <row r="33" spans="1:26" ht="18" customHeight="1">
      <c r="A33" s="1"/>
      <c r="B33" s="1"/>
      <c r="C33" s="1"/>
      <c r="D33" s="1"/>
      <c r="E33" s="1"/>
      <c r="F33" s="57"/>
      <c r="G33" s="1"/>
      <c r="H33" s="173"/>
      <c r="I33" s="1"/>
      <c r="J33" s="1"/>
      <c r="K33" s="1"/>
      <c r="L33" s="1"/>
      <c r="M33" s="1"/>
      <c r="N33" s="1"/>
      <c r="O33" s="1"/>
      <c r="P33" s="1"/>
      <c r="Q33" s="1"/>
      <c r="R33" s="1"/>
      <c r="S33" s="1"/>
      <c r="T33" s="1"/>
      <c r="U33" s="1"/>
      <c r="V33" s="1"/>
      <c r="W33" s="1"/>
      <c r="X33" s="1"/>
      <c r="Y33" s="1"/>
      <c r="Z33" s="1"/>
    </row>
    <row r="34" spans="1:26" ht="18" customHeight="1">
      <c r="A34" s="1"/>
      <c r="B34" s="1"/>
      <c r="C34" s="1"/>
      <c r="D34" s="1"/>
      <c r="E34" s="1"/>
      <c r="F34" s="57"/>
      <c r="G34" s="1"/>
      <c r="H34" s="173"/>
      <c r="I34" s="1"/>
      <c r="J34" s="1"/>
      <c r="K34" s="1"/>
      <c r="L34" s="1"/>
      <c r="M34" s="1"/>
      <c r="N34" s="1"/>
      <c r="O34" s="1"/>
      <c r="P34" s="1"/>
      <c r="Q34" s="1"/>
      <c r="R34" s="1"/>
      <c r="S34" s="1"/>
      <c r="T34" s="1"/>
      <c r="U34" s="1"/>
      <c r="V34" s="1"/>
      <c r="W34" s="1"/>
      <c r="X34" s="1"/>
      <c r="Y34" s="1"/>
      <c r="Z34" s="1"/>
    </row>
    <row r="35" spans="1:26" ht="18" customHeight="1">
      <c r="A35" s="1"/>
      <c r="B35" s="1"/>
      <c r="C35" s="1"/>
      <c r="D35" s="1"/>
      <c r="E35" s="1"/>
      <c r="F35" s="57"/>
      <c r="G35" s="1"/>
      <c r="H35" s="173"/>
      <c r="I35" s="1"/>
      <c r="J35" s="1"/>
      <c r="K35" s="1"/>
      <c r="L35" s="1"/>
      <c r="M35" s="1"/>
      <c r="N35" s="1"/>
      <c r="O35" s="1"/>
      <c r="P35" s="1"/>
      <c r="Q35" s="1"/>
      <c r="R35" s="1"/>
      <c r="S35" s="1"/>
      <c r="T35" s="1"/>
      <c r="U35" s="1"/>
      <c r="V35" s="1"/>
      <c r="W35" s="1"/>
      <c r="X35" s="1"/>
      <c r="Y35" s="1"/>
      <c r="Z35" s="1"/>
    </row>
    <row r="36" spans="1:26" ht="18" customHeight="1">
      <c r="A36" s="1"/>
      <c r="B36" s="1"/>
      <c r="C36" s="1"/>
      <c r="D36" s="1"/>
      <c r="E36" s="1"/>
      <c r="F36" s="57"/>
      <c r="G36" s="1"/>
      <c r="H36" s="173"/>
      <c r="I36" s="1"/>
      <c r="J36" s="1"/>
      <c r="K36" s="1"/>
      <c r="L36" s="1"/>
      <c r="M36" s="1"/>
      <c r="N36" s="1"/>
      <c r="O36" s="1"/>
      <c r="P36" s="1"/>
      <c r="Q36" s="1"/>
      <c r="R36" s="1"/>
      <c r="S36" s="1"/>
      <c r="T36" s="1"/>
      <c r="U36" s="1"/>
      <c r="V36" s="1"/>
      <c r="W36" s="1"/>
      <c r="X36" s="1"/>
      <c r="Y36" s="1"/>
      <c r="Z36" s="1"/>
    </row>
    <row r="37" spans="1:26" ht="18" customHeight="1">
      <c r="A37" s="1"/>
      <c r="B37" s="1"/>
      <c r="C37" s="1"/>
      <c r="D37" s="1"/>
      <c r="E37" s="1"/>
      <c r="F37" s="57"/>
      <c r="G37" s="1"/>
      <c r="H37" s="173"/>
      <c r="I37" s="1"/>
      <c r="J37" s="1"/>
      <c r="K37" s="1"/>
      <c r="L37" s="1"/>
      <c r="M37" s="1"/>
      <c r="N37" s="1"/>
      <c r="O37" s="1"/>
      <c r="P37" s="1"/>
      <c r="Q37" s="1"/>
      <c r="R37" s="1"/>
      <c r="S37" s="1"/>
      <c r="T37" s="1"/>
      <c r="U37" s="1"/>
      <c r="V37" s="1"/>
      <c r="W37" s="1"/>
      <c r="X37" s="1"/>
      <c r="Y37" s="1"/>
      <c r="Z37" s="1"/>
    </row>
    <row r="38" spans="1:26" ht="18" customHeight="1">
      <c r="A38" s="1"/>
      <c r="B38" s="1"/>
      <c r="C38" s="1"/>
      <c r="D38" s="1"/>
      <c r="E38" s="1"/>
      <c r="F38" s="57"/>
      <c r="G38" s="1"/>
      <c r="H38" s="173"/>
      <c r="I38" s="1"/>
      <c r="J38" s="1"/>
      <c r="K38" s="1"/>
      <c r="L38" s="1"/>
      <c r="M38" s="1"/>
      <c r="N38" s="1"/>
      <c r="O38" s="1"/>
      <c r="P38" s="1"/>
      <c r="Q38" s="1"/>
      <c r="R38" s="1"/>
      <c r="S38" s="1"/>
      <c r="T38" s="1"/>
      <c r="U38" s="1"/>
      <c r="V38" s="1"/>
      <c r="W38" s="1"/>
      <c r="X38" s="1"/>
      <c r="Y38" s="1"/>
      <c r="Z38" s="1"/>
    </row>
    <row r="39" spans="1:26" ht="18" customHeight="1">
      <c r="A39" s="1"/>
      <c r="B39" s="1"/>
      <c r="C39" s="1"/>
      <c r="D39" s="1"/>
      <c r="E39" s="1"/>
      <c r="F39" s="57"/>
      <c r="G39" s="1"/>
      <c r="H39" s="173"/>
      <c r="I39" s="1"/>
      <c r="J39" s="1"/>
      <c r="K39" s="1"/>
      <c r="L39" s="1"/>
      <c r="M39" s="1"/>
      <c r="N39" s="1"/>
      <c r="O39" s="1"/>
      <c r="P39" s="1"/>
      <c r="Q39" s="1"/>
      <c r="R39" s="1"/>
      <c r="S39" s="1"/>
      <c r="T39" s="1"/>
      <c r="U39" s="1"/>
      <c r="V39" s="1"/>
      <c r="W39" s="1"/>
      <c r="X39" s="1"/>
      <c r="Y39" s="1"/>
      <c r="Z39" s="1"/>
    </row>
    <row r="40" spans="1:26" ht="18" customHeight="1">
      <c r="A40" s="1"/>
      <c r="B40" s="1"/>
      <c r="C40" s="1"/>
      <c r="D40" s="1"/>
      <c r="E40" s="1"/>
      <c r="F40" s="57"/>
      <c r="G40" s="1"/>
      <c r="H40" s="173"/>
      <c r="I40" s="1"/>
      <c r="J40" s="1"/>
      <c r="K40" s="1"/>
      <c r="L40" s="1"/>
      <c r="M40" s="1"/>
      <c r="N40" s="1"/>
      <c r="O40" s="1"/>
      <c r="P40" s="1"/>
      <c r="Q40" s="1"/>
      <c r="R40" s="1"/>
      <c r="S40" s="1"/>
      <c r="T40" s="1"/>
      <c r="U40" s="1"/>
      <c r="V40" s="1"/>
      <c r="W40" s="1"/>
      <c r="X40" s="1"/>
      <c r="Y40" s="1"/>
      <c r="Z40" s="1"/>
    </row>
    <row r="41" spans="1:26" ht="18" customHeight="1">
      <c r="A41" s="1"/>
      <c r="B41" s="1"/>
      <c r="C41" s="1"/>
      <c r="D41" s="1"/>
      <c r="E41" s="1"/>
      <c r="F41" s="57"/>
      <c r="G41" s="1"/>
      <c r="H41" s="173"/>
      <c r="I41" s="1"/>
      <c r="J41" s="1"/>
      <c r="K41" s="1"/>
      <c r="L41" s="1"/>
      <c r="M41" s="1"/>
      <c r="N41" s="1"/>
      <c r="O41" s="1"/>
      <c r="P41" s="1"/>
      <c r="Q41" s="1"/>
      <c r="R41" s="1"/>
      <c r="S41" s="1"/>
      <c r="T41" s="1"/>
      <c r="U41" s="1"/>
      <c r="V41" s="1"/>
      <c r="W41" s="1"/>
      <c r="X41" s="1"/>
      <c r="Y41" s="1"/>
      <c r="Z41" s="1"/>
    </row>
    <row r="42" spans="1:26" ht="18" customHeight="1">
      <c r="A42" s="1"/>
      <c r="B42" s="1"/>
      <c r="C42" s="1"/>
      <c r="D42" s="1"/>
      <c r="E42" s="1"/>
      <c r="F42" s="57"/>
      <c r="G42" s="1"/>
      <c r="H42" s="173"/>
      <c r="I42" s="1"/>
      <c r="J42" s="1"/>
      <c r="K42" s="1"/>
      <c r="L42" s="1"/>
      <c r="M42" s="1"/>
      <c r="N42" s="1"/>
      <c r="O42" s="1"/>
      <c r="P42" s="1"/>
      <c r="Q42" s="1"/>
      <c r="R42" s="1"/>
      <c r="S42" s="1"/>
      <c r="T42" s="1"/>
      <c r="U42" s="1"/>
      <c r="V42" s="1"/>
      <c r="W42" s="1"/>
      <c r="X42" s="1"/>
      <c r="Y42" s="1"/>
      <c r="Z42" s="1"/>
    </row>
    <row r="43" spans="1:26" ht="18" customHeight="1">
      <c r="A43" s="1"/>
      <c r="B43" s="1"/>
      <c r="C43" s="1"/>
      <c r="D43" s="1"/>
      <c r="E43" s="1"/>
      <c r="F43" s="57"/>
      <c r="G43" s="1"/>
      <c r="H43" s="173"/>
      <c r="I43" s="1"/>
      <c r="J43" s="1"/>
      <c r="K43" s="1"/>
      <c r="L43" s="1"/>
      <c r="M43" s="1"/>
      <c r="N43" s="1"/>
      <c r="O43" s="1"/>
      <c r="P43" s="1"/>
      <c r="Q43" s="1"/>
      <c r="R43" s="1"/>
      <c r="S43" s="1"/>
      <c r="T43" s="1"/>
      <c r="U43" s="1"/>
      <c r="V43" s="1"/>
      <c r="W43" s="1"/>
      <c r="X43" s="1"/>
      <c r="Y43" s="1"/>
      <c r="Z43" s="1"/>
    </row>
    <row r="44" spans="1:26" ht="18" customHeight="1">
      <c r="A44" s="1"/>
      <c r="B44" s="1"/>
      <c r="C44" s="1"/>
      <c r="D44" s="1"/>
      <c r="E44" s="1"/>
      <c r="F44" s="57"/>
      <c r="G44" s="1"/>
      <c r="H44" s="173"/>
      <c r="I44" s="1"/>
      <c r="J44" s="1"/>
      <c r="K44" s="1"/>
      <c r="L44" s="1"/>
      <c r="M44" s="1"/>
      <c r="N44" s="1"/>
      <c r="O44" s="1"/>
      <c r="P44" s="1"/>
      <c r="Q44" s="1"/>
      <c r="R44" s="1"/>
      <c r="S44" s="1"/>
      <c r="T44" s="1"/>
      <c r="U44" s="1"/>
      <c r="V44" s="1"/>
      <c r="W44" s="1"/>
      <c r="X44" s="1"/>
      <c r="Y44" s="1"/>
      <c r="Z44" s="1"/>
    </row>
    <row r="45" spans="1:26" ht="18" customHeight="1">
      <c r="A45" s="1"/>
      <c r="B45" s="1"/>
      <c r="C45" s="1"/>
      <c r="D45" s="1"/>
      <c r="E45" s="1"/>
      <c r="F45" s="57"/>
      <c r="G45" s="1"/>
      <c r="H45" s="173"/>
      <c r="I45" s="1"/>
      <c r="J45" s="1"/>
      <c r="K45" s="1"/>
      <c r="L45" s="1"/>
      <c r="M45" s="1"/>
      <c r="N45" s="1"/>
      <c r="O45" s="1"/>
      <c r="P45" s="1"/>
      <c r="Q45" s="1"/>
      <c r="R45" s="1"/>
      <c r="S45" s="1"/>
      <c r="T45" s="1"/>
      <c r="U45" s="1"/>
      <c r="V45" s="1"/>
      <c r="W45" s="1"/>
      <c r="X45" s="1"/>
      <c r="Y45" s="1"/>
      <c r="Z45" s="1"/>
    </row>
    <row r="46" spans="1:26" ht="18" customHeight="1">
      <c r="A46" s="1"/>
      <c r="B46" s="1"/>
      <c r="C46" s="1"/>
      <c r="D46" s="1"/>
      <c r="E46" s="1"/>
      <c r="F46" s="57"/>
      <c r="G46" s="1"/>
      <c r="H46" s="173"/>
      <c r="I46" s="1"/>
      <c r="J46" s="1"/>
      <c r="K46" s="1"/>
      <c r="L46" s="1"/>
      <c r="M46" s="1"/>
      <c r="N46" s="1"/>
      <c r="O46" s="1"/>
      <c r="P46" s="1"/>
      <c r="Q46" s="1"/>
      <c r="R46" s="1"/>
      <c r="S46" s="1"/>
      <c r="T46" s="1"/>
      <c r="U46" s="1"/>
      <c r="V46" s="1"/>
      <c r="W46" s="1"/>
      <c r="X46" s="1"/>
      <c r="Y46" s="1"/>
      <c r="Z46" s="1"/>
    </row>
    <row r="47" spans="1:26" ht="18" customHeight="1">
      <c r="A47" s="1"/>
      <c r="B47" s="1"/>
      <c r="C47" s="1"/>
      <c r="D47" s="1"/>
      <c r="E47" s="1"/>
      <c r="F47" s="57"/>
      <c r="G47" s="1"/>
      <c r="H47" s="173"/>
      <c r="I47" s="1"/>
      <c r="J47" s="1"/>
      <c r="K47" s="1"/>
      <c r="L47" s="1"/>
      <c r="M47" s="1"/>
      <c r="N47" s="1"/>
      <c r="O47" s="1"/>
      <c r="P47" s="1"/>
      <c r="Q47" s="1"/>
      <c r="R47" s="1"/>
      <c r="S47" s="1"/>
      <c r="T47" s="1"/>
      <c r="U47" s="1"/>
      <c r="V47" s="1"/>
      <c r="W47" s="1"/>
      <c r="X47" s="1"/>
      <c r="Y47" s="1"/>
      <c r="Z47" s="1"/>
    </row>
    <row r="48" spans="1:26" ht="18" customHeight="1">
      <c r="A48" s="1"/>
      <c r="B48" s="1"/>
      <c r="C48" s="1"/>
      <c r="D48" s="1"/>
      <c r="E48" s="1"/>
      <c r="F48" s="57"/>
      <c r="G48" s="1"/>
      <c r="H48" s="173"/>
      <c r="I48" s="1"/>
      <c r="J48" s="1"/>
      <c r="K48" s="1"/>
      <c r="L48" s="1"/>
      <c r="M48" s="1"/>
      <c r="N48" s="1"/>
      <c r="O48" s="1"/>
      <c r="P48" s="1"/>
      <c r="Q48" s="1"/>
      <c r="R48" s="1"/>
      <c r="S48" s="1"/>
      <c r="T48" s="1"/>
      <c r="U48" s="1"/>
      <c r="V48" s="1"/>
      <c r="W48" s="1"/>
      <c r="X48" s="1"/>
      <c r="Y48" s="1"/>
      <c r="Z48" s="1"/>
    </row>
    <row r="49" spans="1:26" ht="18" customHeight="1">
      <c r="A49" s="1"/>
      <c r="B49" s="1"/>
      <c r="C49" s="1"/>
      <c r="D49" s="1"/>
      <c r="E49" s="1"/>
      <c r="F49" s="57"/>
      <c r="G49" s="1"/>
      <c r="H49" s="173"/>
      <c r="I49" s="1"/>
      <c r="J49" s="1"/>
      <c r="K49" s="1"/>
      <c r="L49" s="1"/>
      <c r="M49" s="1"/>
      <c r="N49" s="1"/>
      <c r="O49" s="1"/>
      <c r="P49" s="1"/>
      <c r="Q49" s="1"/>
      <c r="R49" s="1"/>
      <c r="S49" s="1"/>
      <c r="T49" s="1"/>
      <c r="U49" s="1"/>
      <c r="V49" s="1"/>
      <c r="W49" s="1"/>
      <c r="X49" s="1"/>
      <c r="Y49" s="1"/>
      <c r="Z49" s="1"/>
    </row>
    <row r="50" spans="1:26" ht="18" customHeight="1">
      <c r="A50" s="1"/>
      <c r="B50" s="1"/>
      <c r="C50" s="1"/>
      <c r="D50" s="1"/>
      <c r="E50" s="1"/>
      <c r="F50" s="57"/>
      <c r="G50" s="1"/>
      <c r="H50" s="173"/>
      <c r="I50" s="1"/>
      <c r="J50" s="1"/>
      <c r="K50" s="1"/>
      <c r="L50" s="1"/>
      <c r="M50" s="1"/>
      <c r="N50" s="1"/>
      <c r="O50" s="1"/>
      <c r="P50" s="1"/>
      <c r="Q50" s="1"/>
      <c r="R50" s="1"/>
      <c r="S50" s="1"/>
      <c r="T50" s="1"/>
      <c r="U50" s="1"/>
      <c r="V50" s="1"/>
      <c r="W50" s="1"/>
      <c r="X50" s="1"/>
      <c r="Y50" s="1"/>
      <c r="Z50" s="1"/>
    </row>
    <row r="51" spans="1:26" ht="18" customHeight="1">
      <c r="A51" s="1"/>
      <c r="B51" s="1"/>
      <c r="C51" s="1"/>
      <c r="D51" s="1"/>
      <c r="E51" s="1"/>
      <c r="F51" s="57"/>
      <c r="G51" s="1"/>
      <c r="H51" s="173"/>
      <c r="I51" s="1"/>
      <c r="J51" s="1"/>
      <c r="K51" s="1"/>
      <c r="L51" s="1"/>
      <c r="M51" s="1"/>
      <c r="N51" s="1"/>
      <c r="O51" s="1"/>
      <c r="P51" s="1"/>
      <c r="Q51" s="1"/>
      <c r="R51" s="1"/>
      <c r="S51" s="1"/>
      <c r="T51" s="1"/>
      <c r="U51" s="1"/>
      <c r="V51" s="1"/>
      <c r="W51" s="1"/>
      <c r="X51" s="1"/>
      <c r="Y51" s="1"/>
      <c r="Z51" s="1"/>
    </row>
    <row r="52" spans="1:26" ht="18" customHeight="1">
      <c r="A52" s="1"/>
      <c r="B52" s="1"/>
      <c r="C52" s="1"/>
      <c r="D52" s="1"/>
      <c r="E52" s="1"/>
      <c r="F52" s="57"/>
      <c r="G52" s="1"/>
      <c r="H52" s="173"/>
      <c r="I52" s="1"/>
      <c r="J52" s="1"/>
      <c r="K52" s="1"/>
      <c r="L52" s="1"/>
      <c r="M52" s="1"/>
      <c r="N52" s="1"/>
      <c r="O52" s="1"/>
      <c r="P52" s="1"/>
      <c r="Q52" s="1"/>
      <c r="R52" s="1"/>
      <c r="S52" s="1"/>
      <c r="T52" s="1"/>
      <c r="U52" s="1"/>
      <c r="V52" s="1"/>
      <c r="W52" s="1"/>
      <c r="X52" s="1"/>
      <c r="Y52" s="1"/>
      <c r="Z52" s="1"/>
    </row>
    <row r="53" spans="1:26" ht="18" customHeight="1">
      <c r="A53" s="1"/>
      <c r="B53" s="1"/>
      <c r="C53" s="1"/>
      <c r="D53" s="1"/>
      <c r="E53" s="1"/>
      <c r="F53" s="57"/>
      <c r="G53" s="1"/>
      <c r="H53" s="173"/>
      <c r="I53" s="1"/>
      <c r="J53" s="1"/>
      <c r="K53" s="1"/>
      <c r="L53" s="1"/>
      <c r="M53" s="1"/>
      <c r="N53" s="1"/>
      <c r="O53" s="1"/>
      <c r="P53" s="1"/>
      <c r="Q53" s="1"/>
      <c r="R53" s="1"/>
      <c r="S53" s="1"/>
      <c r="T53" s="1"/>
      <c r="U53" s="1"/>
      <c r="V53" s="1"/>
      <c r="W53" s="1"/>
      <c r="X53" s="1"/>
      <c r="Y53" s="1"/>
      <c r="Z53" s="1"/>
    </row>
    <row r="54" spans="1:26" ht="18" customHeight="1">
      <c r="A54" s="1"/>
      <c r="B54" s="1"/>
      <c r="C54" s="1"/>
      <c r="D54" s="1"/>
      <c r="E54" s="1"/>
      <c r="F54" s="57"/>
      <c r="G54" s="1"/>
      <c r="H54" s="173"/>
      <c r="I54" s="1"/>
      <c r="J54" s="1"/>
      <c r="K54" s="1"/>
      <c r="L54" s="1"/>
      <c r="M54" s="1"/>
      <c r="N54" s="1"/>
      <c r="O54" s="1"/>
      <c r="P54" s="1"/>
      <c r="Q54" s="1"/>
      <c r="R54" s="1"/>
      <c r="S54" s="1"/>
      <c r="T54" s="1"/>
      <c r="U54" s="1"/>
      <c r="V54" s="1"/>
      <c r="W54" s="1"/>
      <c r="X54" s="1"/>
      <c r="Y54" s="1"/>
      <c r="Z54" s="1"/>
    </row>
    <row r="55" spans="1:26" ht="18" customHeight="1">
      <c r="A55" s="1"/>
      <c r="B55" s="1"/>
      <c r="C55" s="1"/>
      <c r="D55" s="1"/>
      <c r="E55" s="1"/>
      <c r="F55" s="57"/>
      <c r="G55" s="1"/>
      <c r="H55" s="173"/>
      <c r="I55" s="1"/>
      <c r="J55" s="1"/>
      <c r="K55" s="1"/>
      <c r="L55" s="1"/>
      <c r="M55" s="1"/>
      <c r="N55" s="1"/>
      <c r="O55" s="1"/>
      <c r="P55" s="1"/>
      <c r="Q55" s="1"/>
      <c r="R55" s="1"/>
      <c r="S55" s="1"/>
      <c r="T55" s="1"/>
      <c r="U55" s="1"/>
      <c r="V55" s="1"/>
      <c r="W55" s="1"/>
      <c r="X55" s="1"/>
      <c r="Y55" s="1"/>
      <c r="Z55" s="1"/>
    </row>
    <row r="56" spans="1:26" ht="18" customHeight="1">
      <c r="A56" s="1"/>
      <c r="B56" s="1"/>
      <c r="C56" s="1"/>
      <c r="D56" s="1"/>
      <c r="E56" s="1"/>
      <c r="F56" s="57"/>
      <c r="G56" s="1"/>
      <c r="H56" s="173"/>
      <c r="I56" s="1"/>
      <c r="J56" s="1"/>
      <c r="K56" s="1"/>
      <c r="L56" s="1"/>
      <c r="M56" s="1"/>
      <c r="N56" s="1"/>
      <c r="O56" s="1"/>
      <c r="P56" s="1"/>
      <c r="Q56" s="1"/>
      <c r="R56" s="1"/>
      <c r="S56" s="1"/>
      <c r="T56" s="1"/>
      <c r="U56" s="1"/>
      <c r="V56" s="1"/>
      <c r="W56" s="1"/>
      <c r="X56" s="1"/>
      <c r="Y56" s="1"/>
      <c r="Z56" s="1"/>
    </row>
    <row r="57" spans="1:26" ht="18" customHeight="1">
      <c r="A57" s="1"/>
      <c r="B57" s="1"/>
      <c r="C57" s="1"/>
      <c r="D57" s="1"/>
      <c r="E57" s="1"/>
      <c r="F57" s="57"/>
      <c r="G57" s="1"/>
      <c r="H57" s="173"/>
      <c r="I57" s="1"/>
      <c r="J57" s="1"/>
      <c r="K57" s="1"/>
      <c r="L57" s="1"/>
      <c r="M57" s="1"/>
      <c r="N57" s="1"/>
      <c r="O57" s="1"/>
      <c r="P57" s="1"/>
      <c r="Q57" s="1"/>
      <c r="R57" s="1"/>
      <c r="S57" s="1"/>
      <c r="T57" s="1"/>
      <c r="U57" s="1"/>
      <c r="V57" s="1"/>
      <c r="W57" s="1"/>
      <c r="X57" s="1"/>
      <c r="Y57" s="1"/>
      <c r="Z57" s="1"/>
    </row>
    <row r="58" spans="1:26" ht="18" customHeight="1">
      <c r="A58" s="1"/>
      <c r="B58" s="1"/>
      <c r="C58" s="1"/>
      <c r="D58" s="1"/>
      <c r="E58" s="1"/>
      <c r="F58" s="57"/>
      <c r="G58" s="1"/>
      <c r="H58" s="173"/>
      <c r="I58" s="1"/>
      <c r="J58" s="1"/>
      <c r="K58" s="1"/>
      <c r="L58" s="1"/>
      <c r="M58" s="1"/>
      <c r="N58" s="1"/>
      <c r="O58" s="1"/>
      <c r="P58" s="1"/>
      <c r="Q58" s="1"/>
      <c r="R58" s="1"/>
      <c r="S58" s="1"/>
      <c r="T58" s="1"/>
      <c r="U58" s="1"/>
      <c r="V58" s="1"/>
      <c r="W58" s="1"/>
      <c r="X58" s="1"/>
      <c r="Y58" s="1"/>
      <c r="Z58" s="1"/>
    </row>
    <row r="59" spans="1:26" ht="18" customHeight="1">
      <c r="A59" s="1"/>
      <c r="B59" s="1"/>
      <c r="C59" s="1"/>
      <c r="D59" s="1"/>
      <c r="E59" s="1"/>
      <c r="F59" s="57"/>
      <c r="G59" s="1"/>
      <c r="H59" s="173"/>
      <c r="I59" s="1"/>
      <c r="J59" s="1"/>
      <c r="K59" s="1"/>
      <c r="L59" s="1"/>
      <c r="M59" s="1"/>
      <c r="N59" s="1"/>
      <c r="O59" s="1"/>
      <c r="P59" s="1"/>
      <c r="Q59" s="1"/>
      <c r="R59" s="1"/>
      <c r="S59" s="1"/>
      <c r="T59" s="1"/>
      <c r="U59" s="1"/>
      <c r="V59" s="1"/>
      <c r="W59" s="1"/>
      <c r="X59" s="1"/>
      <c r="Y59" s="1"/>
      <c r="Z59" s="1"/>
    </row>
    <row r="60" spans="1:26" ht="18" customHeight="1">
      <c r="A60" s="1"/>
      <c r="B60" s="1"/>
      <c r="C60" s="1"/>
      <c r="D60" s="1"/>
      <c r="E60" s="1"/>
      <c r="F60" s="57"/>
      <c r="G60" s="1"/>
      <c r="H60" s="173"/>
      <c r="I60" s="1"/>
      <c r="J60" s="1"/>
      <c r="K60" s="1"/>
      <c r="L60" s="1"/>
      <c r="M60" s="1"/>
      <c r="N60" s="1"/>
      <c r="O60" s="1"/>
      <c r="P60" s="1"/>
      <c r="Q60" s="1"/>
      <c r="R60" s="1"/>
      <c r="S60" s="1"/>
      <c r="T60" s="1"/>
      <c r="U60" s="1"/>
      <c r="V60" s="1"/>
      <c r="W60" s="1"/>
      <c r="X60" s="1"/>
      <c r="Y60" s="1"/>
      <c r="Z60" s="1"/>
    </row>
    <row r="61" spans="1:26" ht="18" customHeight="1">
      <c r="A61" s="1"/>
      <c r="B61" s="1"/>
      <c r="C61" s="1"/>
      <c r="D61" s="1"/>
      <c r="E61" s="1"/>
      <c r="F61" s="57"/>
      <c r="G61" s="1"/>
      <c r="H61" s="173"/>
      <c r="I61" s="1"/>
      <c r="J61" s="1"/>
      <c r="K61" s="1"/>
      <c r="L61" s="1"/>
      <c r="M61" s="1"/>
      <c r="N61" s="1"/>
      <c r="O61" s="1"/>
      <c r="P61" s="1"/>
      <c r="Q61" s="1"/>
      <c r="R61" s="1"/>
      <c r="S61" s="1"/>
      <c r="T61" s="1"/>
      <c r="U61" s="1"/>
      <c r="V61" s="1"/>
      <c r="W61" s="1"/>
      <c r="X61" s="1"/>
      <c r="Y61" s="1"/>
      <c r="Z61" s="1"/>
    </row>
    <row r="62" spans="1:26" ht="18" customHeight="1">
      <c r="A62" s="1"/>
      <c r="B62" s="1"/>
      <c r="C62" s="1"/>
      <c r="D62" s="1"/>
      <c r="E62" s="1"/>
      <c r="F62" s="57"/>
      <c r="G62" s="1"/>
      <c r="H62" s="173"/>
      <c r="I62" s="1"/>
      <c r="J62" s="1"/>
      <c r="K62" s="1"/>
      <c r="L62" s="1"/>
      <c r="M62" s="1"/>
      <c r="N62" s="1"/>
      <c r="O62" s="1"/>
      <c r="P62" s="1"/>
      <c r="Q62" s="1"/>
      <c r="R62" s="1"/>
      <c r="S62" s="1"/>
      <c r="T62" s="1"/>
      <c r="U62" s="1"/>
      <c r="V62" s="1"/>
      <c r="W62" s="1"/>
      <c r="X62" s="1"/>
      <c r="Y62" s="1"/>
      <c r="Z62" s="1"/>
    </row>
    <row r="63" spans="1:26" ht="18" customHeight="1">
      <c r="A63" s="1"/>
      <c r="B63" s="1"/>
      <c r="C63" s="1"/>
      <c r="D63" s="1"/>
      <c r="E63" s="1"/>
      <c r="F63" s="57"/>
      <c r="G63" s="1"/>
      <c r="H63" s="173"/>
      <c r="I63" s="1"/>
      <c r="J63" s="1"/>
      <c r="K63" s="1"/>
      <c r="L63" s="1"/>
      <c r="M63" s="1"/>
      <c r="N63" s="1"/>
      <c r="O63" s="1"/>
      <c r="P63" s="1"/>
      <c r="Q63" s="1"/>
      <c r="R63" s="1"/>
      <c r="S63" s="1"/>
      <c r="T63" s="1"/>
      <c r="U63" s="1"/>
      <c r="V63" s="1"/>
      <c r="W63" s="1"/>
      <c r="X63" s="1"/>
      <c r="Y63" s="1"/>
      <c r="Z63" s="1"/>
    </row>
    <row r="64" spans="1:26" ht="18" customHeight="1">
      <c r="A64" s="1"/>
      <c r="B64" s="1"/>
      <c r="C64" s="1"/>
      <c r="D64" s="1"/>
      <c r="E64" s="1"/>
      <c r="F64" s="57"/>
      <c r="G64" s="1"/>
      <c r="H64" s="173"/>
      <c r="I64" s="1"/>
      <c r="J64" s="1"/>
      <c r="K64" s="1"/>
      <c r="L64" s="1"/>
      <c r="M64" s="1"/>
      <c r="N64" s="1"/>
      <c r="O64" s="1"/>
      <c r="P64" s="1"/>
      <c r="Q64" s="1"/>
      <c r="R64" s="1"/>
      <c r="S64" s="1"/>
      <c r="T64" s="1"/>
      <c r="U64" s="1"/>
      <c r="V64" s="1"/>
      <c r="W64" s="1"/>
      <c r="X64" s="1"/>
      <c r="Y64" s="1"/>
      <c r="Z64" s="1"/>
    </row>
    <row r="65" spans="1:26" ht="18" customHeight="1">
      <c r="A65" s="1"/>
      <c r="B65" s="1"/>
      <c r="C65" s="1"/>
      <c r="D65" s="1"/>
      <c r="E65" s="1"/>
      <c r="F65" s="57"/>
      <c r="G65" s="1"/>
      <c r="H65" s="173"/>
      <c r="I65" s="1"/>
      <c r="J65" s="1"/>
      <c r="K65" s="1"/>
      <c r="L65" s="1"/>
      <c r="M65" s="1"/>
      <c r="N65" s="1"/>
      <c r="O65" s="1"/>
      <c r="P65" s="1"/>
      <c r="Q65" s="1"/>
      <c r="R65" s="1"/>
      <c r="S65" s="1"/>
      <c r="T65" s="1"/>
      <c r="U65" s="1"/>
      <c r="V65" s="1"/>
      <c r="W65" s="1"/>
      <c r="X65" s="1"/>
      <c r="Y65" s="1"/>
      <c r="Z65" s="1"/>
    </row>
    <row r="66" spans="1:26" ht="18" customHeight="1">
      <c r="A66" s="1"/>
      <c r="B66" s="1"/>
      <c r="C66" s="1"/>
      <c r="D66" s="1"/>
      <c r="E66" s="1"/>
      <c r="F66" s="57"/>
      <c r="G66" s="1"/>
      <c r="H66" s="173"/>
      <c r="I66" s="1"/>
      <c r="J66" s="1"/>
      <c r="K66" s="1"/>
      <c r="L66" s="1"/>
      <c r="M66" s="1"/>
      <c r="N66" s="1"/>
      <c r="O66" s="1"/>
      <c r="P66" s="1"/>
      <c r="Q66" s="1"/>
      <c r="R66" s="1"/>
      <c r="S66" s="1"/>
      <c r="T66" s="1"/>
      <c r="U66" s="1"/>
      <c r="V66" s="1"/>
      <c r="W66" s="1"/>
      <c r="X66" s="1"/>
      <c r="Y66" s="1"/>
      <c r="Z66" s="1"/>
    </row>
    <row r="67" spans="1:26" ht="18" customHeight="1">
      <c r="A67" s="1"/>
      <c r="B67" s="1"/>
      <c r="C67" s="1"/>
      <c r="D67" s="1"/>
      <c r="E67" s="1"/>
      <c r="F67" s="57"/>
      <c r="G67" s="1"/>
      <c r="H67" s="173"/>
      <c r="I67" s="1"/>
      <c r="J67" s="1"/>
      <c r="K67" s="1"/>
      <c r="L67" s="1"/>
      <c r="M67" s="1"/>
      <c r="N67" s="1"/>
      <c r="O67" s="1"/>
      <c r="P67" s="1"/>
      <c r="Q67" s="1"/>
      <c r="R67" s="1"/>
      <c r="S67" s="1"/>
      <c r="T67" s="1"/>
      <c r="U67" s="1"/>
      <c r="V67" s="1"/>
      <c r="W67" s="1"/>
      <c r="X67" s="1"/>
      <c r="Y67" s="1"/>
      <c r="Z67" s="1"/>
    </row>
    <row r="68" spans="1:26" ht="18" customHeight="1">
      <c r="A68" s="1"/>
      <c r="B68" s="1"/>
      <c r="C68" s="1"/>
      <c r="D68" s="1"/>
      <c r="E68" s="1"/>
      <c r="F68" s="57"/>
      <c r="G68" s="1"/>
      <c r="H68" s="173"/>
      <c r="I68" s="1"/>
      <c r="J68" s="1"/>
      <c r="K68" s="1"/>
      <c r="L68" s="1"/>
      <c r="M68" s="1"/>
      <c r="N68" s="1"/>
      <c r="O68" s="1"/>
      <c r="P68" s="1"/>
      <c r="Q68" s="1"/>
      <c r="R68" s="1"/>
      <c r="S68" s="1"/>
      <c r="T68" s="1"/>
      <c r="U68" s="1"/>
      <c r="V68" s="1"/>
      <c r="W68" s="1"/>
      <c r="X68" s="1"/>
      <c r="Y68" s="1"/>
      <c r="Z68" s="1"/>
    </row>
    <row r="69" spans="1:26" ht="18" customHeight="1">
      <c r="A69" s="1"/>
      <c r="B69" s="1"/>
      <c r="C69" s="1"/>
      <c r="D69" s="1"/>
      <c r="E69" s="1"/>
      <c r="F69" s="57"/>
      <c r="G69" s="1"/>
      <c r="H69" s="173"/>
      <c r="I69" s="1"/>
      <c r="J69" s="1"/>
      <c r="K69" s="1"/>
      <c r="L69" s="1"/>
      <c r="M69" s="1"/>
      <c r="N69" s="1"/>
      <c r="O69" s="1"/>
      <c r="P69" s="1"/>
      <c r="Q69" s="1"/>
      <c r="R69" s="1"/>
      <c r="S69" s="1"/>
      <c r="T69" s="1"/>
      <c r="U69" s="1"/>
      <c r="V69" s="1"/>
      <c r="W69" s="1"/>
      <c r="X69" s="1"/>
      <c r="Y69" s="1"/>
      <c r="Z69" s="1"/>
    </row>
    <row r="70" spans="1:26" ht="18" customHeight="1">
      <c r="A70" s="1"/>
      <c r="B70" s="1"/>
      <c r="C70" s="1"/>
      <c r="D70" s="1"/>
      <c r="E70" s="1"/>
      <c r="F70" s="57"/>
      <c r="G70" s="1"/>
      <c r="H70" s="173"/>
      <c r="I70" s="1"/>
      <c r="J70" s="1"/>
      <c r="K70" s="1"/>
      <c r="L70" s="1"/>
      <c r="M70" s="1"/>
      <c r="N70" s="1"/>
      <c r="O70" s="1"/>
      <c r="P70" s="1"/>
      <c r="Q70" s="1"/>
      <c r="R70" s="1"/>
      <c r="S70" s="1"/>
      <c r="T70" s="1"/>
      <c r="U70" s="1"/>
      <c r="V70" s="1"/>
      <c r="W70" s="1"/>
      <c r="X70" s="1"/>
      <c r="Y70" s="1"/>
      <c r="Z70" s="1"/>
    </row>
    <row r="71" spans="1:26" ht="18" customHeight="1">
      <c r="A71" s="1"/>
      <c r="B71" s="1"/>
      <c r="C71" s="1"/>
      <c r="D71" s="1"/>
      <c r="E71" s="1"/>
      <c r="F71" s="57"/>
      <c r="G71" s="1"/>
      <c r="H71" s="173"/>
      <c r="I71" s="1"/>
      <c r="J71" s="1"/>
      <c r="K71" s="1"/>
      <c r="L71" s="1"/>
      <c r="M71" s="1"/>
      <c r="N71" s="1"/>
      <c r="O71" s="1"/>
      <c r="P71" s="1"/>
      <c r="Q71" s="1"/>
      <c r="R71" s="1"/>
      <c r="S71" s="1"/>
      <c r="T71" s="1"/>
      <c r="U71" s="1"/>
      <c r="V71" s="1"/>
      <c r="W71" s="1"/>
      <c r="X71" s="1"/>
      <c r="Y71" s="1"/>
      <c r="Z71" s="1"/>
    </row>
    <row r="72" spans="1:26" ht="18" customHeight="1">
      <c r="A72" s="1"/>
      <c r="B72" s="1"/>
      <c r="C72" s="1"/>
      <c r="D72" s="1"/>
      <c r="E72" s="1"/>
      <c r="F72" s="57"/>
      <c r="G72" s="1"/>
      <c r="H72" s="173"/>
      <c r="I72" s="1"/>
      <c r="J72" s="1"/>
      <c r="K72" s="1"/>
      <c r="L72" s="1"/>
      <c r="M72" s="1"/>
      <c r="N72" s="1"/>
      <c r="O72" s="1"/>
      <c r="P72" s="1"/>
      <c r="Q72" s="1"/>
      <c r="R72" s="1"/>
      <c r="S72" s="1"/>
      <c r="T72" s="1"/>
      <c r="U72" s="1"/>
      <c r="V72" s="1"/>
      <c r="W72" s="1"/>
      <c r="X72" s="1"/>
      <c r="Y72" s="1"/>
      <c r="Z72" s="1"/>
    </row>
    <row r="73" spans="1:26" ht="18" customHeight="1">
      <c r="A73" s="1"/>
      <c r="B73" s="1"/>
      <c r="C73" s="1"/>
      <c r="D73" s="1"/>
      <c r="E73" s="1"/>
      <c r="F73" s="57"/>
      <c r="G73" s="1"/>
      <c r="H73" s="173"/>
      <c r="I73" s="1"/>
      <c r="J73" s="1"/>
      <c r="K73" s="1"/>
      <c r="L73" s="1"/>
      <c r="M73" s="1"/>
      <c r="N73" s="1"/>
      <c r="O73" s="1"/>
      <c r="P73" s="1"/>
      <c r="Q73" s="1"/>
      <c r="R73" s="1"/>
      <c r="S73" s="1"/>
      <c r="T73" s="1"/>
      <c r="U73" s="1"/>
      <c r="V73" s="1"/>
      <c r="W73" s="1"/>
      <c r="X73" s="1"/>
      <c r="Y73" s="1"/>
      <c r="Z73" s="1"/>
    </row>
    <row r="74" spans="1:26" ht="18" customHeight="1">
      <c r="A74" s="1"/>
      <c r="B74" s="1"/>
      <c r="C74" s="1"/>
      <c r="D74" s="1"/>
      <c r="E74" s="1"/>
      <c r="F74" s="57"/>
      <c r="G74" s="1"/>
      <c r="H74" s="173"/>
      <c r="I74" s="1"/>
      <c r="J74" s="1"/>
      <c r="K74" s="1"/>
      <c r="L74" s="1"/>
      <c r="M74" s="1"/>
      <c r="N74" s="1"/>
      <c r="O74" s="1"/>
      <c r="P74" s="1"/>
      <c r="Q74" s="1"/>
      <c r="R74" s="1"/>
      <c r="S74" s="1"/>
      <c r="T74" s="1"/>
      <c r="U74" s="1"/>
      <c r="V74" s="1"/>
      <c r="W74" s="1"/>
      <c r="X74" s="1"/>
      <c r="Y74" s="1"/>
      <c r="Z74" s="1"/>
    </row>
    <row r="75" spans="1:26" ht="18" customHeight="1">
      <c r="A75" s="1"/>
      <c r="B75" s="1"/>
      <c r="C75" s="1"/>
      <c r="D75" s="1"/>
      <c r="E75" s="1"/>
      <c r="F75" s="57"/>
      <c r="G75" s="1"/>
      <c r="H75" s="173"/>
      <c r="I75" s="1"/>
      <c r="J75" s="1"/>
      <c r="K75" s="1"/>
      <c r="L75" s="1"/>
      <c r="M75" s="1"/>
      <c r="N75" s="1"/>
      <c r="O75" s="1"/>
      <c r="P75" s="1"/>
      <c r="Q75" s="1"/>
      <c r="R75" s="1"/>
      <c r="S75" s="1"/>
      <c r="T75" s="1"/>
      <c r="U75" s="1"/>
      <c r="V75" s="1"/>
      <c r="W75" s="1"/>
      <c r="X75" s="1"/>
      <c r="Y75" s="1"/>
      <c r="Z75" s="1"/>
    </row>
    <row r="76" spans="1:26" ht="18" customHeight="1">
      <c r="A76" s="1"/>
      <c r="B76" s="1"/>
      <c r="C76" s="1"/>
      <c r="D76" s="1"/>
      <c r="E76" s="1"/>
      <c r="F76" s="57"/>
      <c r="G76" s="1"/>
      <c r="H76" s="173"/>
      <c r="I76" s="1"/>
      <c r="J76" s="1"/>
      <c r="K76" s="1"/>
      <c r="L76" s="1"/>
      <c r="M76" s="1"/>
      <c r="N76" s="1"/>
      <c r="O76" s="1"/>
      <c r="P76" s="1"/>
      <c r="Q76" s="1"/>
      <c r="R76" s="1"/>
      <c r="S76" s="1"/>
      <c r="T76" s="1"/>
      <c r="U76" s="1"/>
      <c r="V76" s="1"/>
      <c r="W76" s="1"/>
      <c r="X76" s="1"/>
      <c r="Y76" s="1"/>
      <c r="Z76" s="1"/>
    </row>
    <row r="77" spans="1:26" ht="18" customHeight="1">
      <c r="A77" s="1"/>
      <c r="B77" s="1"/>
      <c r="C77" s="1"/>
      <c r="D77" s="1"/>
      <c r="E77" s="1"/>
      <c r="F77" s="57"/>
      <c r="G77" s="1"/>
      <c r="H77" s="173"/>
      <c r="I77" s="1"/>
      <c r="J77" s="1"/>
      <c r="K77" s="1"/>
      <c r="L77" s="1"/>
      <c r="M77" s="1"/>
      <c r="N77" s="1"/>
      <c r="O77" s="1"/>
      <c r="P77" s="1"/>
      <c r="Q77" s="1"/>
      <c r="R77" s="1"/>
      <c r="S77" s="1"/>
      <c r="T77" s="1"/>
      <c r="U77" s="1"/>
      <c r="V77" s="1"/>
      <c r="W77" s="1"/>
      <c r="X77" s="1"/>
      <c r="Y77" s="1"/>
      <c r="Z77" s="1"/>
    </row>
    <row r="78" spans="1:26" ht="18" customHeight="1">
      <c r="A78" s="1"/>
      <c r="B78" s="1"/>
      <c r="C78" s="1"/>
      <c r="D78" s="1"/>
      <c r="E78" s="1"/>
      <c r="F78" s="57"/>
      <c r="G78" s="1"/>
      <c r="H78" s="173"/>
      <c r="I78" s="1"/>
      <c r="J78" s="1"/>
      <c r="K78" s="1"/>
      <c r="L78" s="1"/>
      <c r="M78" s="1"/>
      <c r="N78" s="1"/>
      <c r="O78" s="1"/>
      <c r="P78" s="1"/>
      <c r="Q78" s="1"/>
      <c r="R78" s="1"/>
      <c r="S78" s="1"/>
      <c r="T78" s="1"/>
      <c r="U78" s="1"/>
      <c r="V78" s="1"/>
      <c r="W78" s="1"/>
      <c r="X78" s="1"/>
      <c r="Y78" s="1"/>
      <c r="Z78" s="1"/>
    </row>
    <row r="79" spans="1:26" ht="18" customHeight="1">
      <c r="A79" s="1"/>
      <c r="B79" s="1"/>
      <c r="C79" s="1"/>
      <c r="D79" s="1"/>
      <c r="E79" s="1"/>
      <c r="F79" s="57"/>
      <c r="G79" s="1"/>
      <c r="H79" s="173"/>
      <c r="I79" s="1"/>
      <c r="J79" s="1"/>
      <c r="K79" s="1"/>
      <c r="L79" s="1"/>
      <c r="M79" s="1"/>
      <c r="N79" s="1"/>
      <c r="O79" s="1"/>
      <c r="P79" s="1"/>
      <c r="Q79" s="1"/>
      <c r="R79" s="1"/>
      <c r="S79" s="1"/>
      <c r="T79" s="1"/>
      <c r="U79" s="1"/>
      <c r="V79" s="1"/>
      <c r="W79" s="1"/>
      <c r="X79" s="1"/>
      <c r="Y79" s="1"/>
      <c r="Z79" s="1"/>
    </row>
    <row r="80" spans="1:26" ht="18" customHeight="1">
      <c r="A80" s="1"/>
      <c r="B80" s="1"/>
      <c r="C80" s="1"/>
      <c r="D80" s="1"/>
      <c r="E80" s="1"/>
      <c r="F80" s="57"/>
      <c r="G80" s="1"/>
      <c r="H80" s="173"/>
      <c r="I80" s="1"/>
      <c r="J80" s="1"/>
      <c r="K80" s="1"/>
      <c r="L80" s="1"/>
      <c r="M80" s="1"/>
      <c r="N80" s="1"/>
      <c r="O80" s="1"/>
      <c r="P80" s="1"/>
      <c r="Q80" s="1"/>
      <c r="R80" s="1"/>
      <c r="S80" s="1"/>
      <c r="T80" s="1"/>
      <c r="U80" s="1"/>
      <c r="V80" s="1"/>
      <c r="W80" s="1"/>
      <c r="X80" s="1"/>
      <c r="Y80" s="1"/>
      <c r="Z80" s="1"/>
    </row>
    <row r="81" spans="1:26" ht="18" customHeight="1">
      <c r="A81" s="1"/>
      <c r="B81" s="1"/>
      <c r="C81" s="1"/>
      <c r="D81" s="1"/>
      <c r="E81" s="1"/>
      <c r="F81" s="57"/>
      <c r="G81" s="1"/>
      <c r="H81" s="173"/>
      <c r="I81" s="1"/>
      <c r="J81" s="1"/>
      <c r="K81" s="1"/>
      <c r="L81" s="1"/>
      <c r="M81" s="1"/>
      <c r="N81" s="1"/>
      <c r="O81" s="1"/>
      <c r="P81" s="1"/>
      <c r="Q81" s="1"/>
      <c r="R81" s="1"/>
      <c r="S81" s="1"/>
      <c r="T81" s="1"/>
      <c r="U81" s="1"/>
      <c r="V81" s="1"/>
      <c r="W81" s="1"/>
      <c r="X81" s="1"/>
      <c r="Y81" s="1"/>
      <c r="Z81" s="1"/>
    </row>
    <row r="82" spans="1:26" ht="18" customHeight="1">
      <c r="A82" s="1"/>
      <c r="B82" s="1"/>
      <c r="C82" s="1"/>
      <c r="D82" s="1"/>
      <c r="E82" s="1"/>
      <c r="F82" s="57"/>
      <c r="G82" s="1"/>
      <c r="H82" s="173"/>
      <c r="I82" s="1"/>
      <c r="J82" s="1"/>
      <c r="K82" s="1"/>
      <c r="L82" s="1"/>
      <c r="M82" s="1"/>
      <c r="N82" s="1"/>
      <c r="O82" s="1"/>
      <c r="P82" s="1"/>
      <c r="Q82" s="1"/>
      <c r="R82" s="1"/>
      <c r="S82" s="1"/>
      <c r="T82" s="1"/>
      <c r="U82" s="1"/>
      <c r="V82" s="1"/>
      <c r="W82" s="1"/>
      <c r="X82" s="1"/>
      <c r="Y82" s="1"/>
      <c r="Z82" s="1"/>
    </row>
    <row r="83" spans="1:26" ht="18" customHeight="1">
      <c r="A83" s="1"/>
      <c r="B83" s="1"/>
      <c r="C83" s="1"/>
      <c r="D83" s="1"/>
      <c r="E83" s="1"/>
      <c r="F83" s="57"/>
      <c r="G83" s="1"/>
      <c r="H83" s="173"/>
      <c r="I83" s="1"/>
      <c r="J83" s="1"/>
      <c r="K83" s="1"/>
      <c r="L83" s="1"/>
      <c r="M83" s="1"/>
      <c r="N83" s="1"/>
      <c r="O83" s="1"/>
      <c r="P83" s="1"/>
      <c r="Q83" s="1"/>
      <c r="R83" s="1"/>
      <c r="S83" s="1"/>
      <c r="T83" s="1"/>
      <c r="U83" s="1"/>
      <c r="V83" s="1"/>
      <c r="W83" s="1"/>
      <c r="X83" s="1"/>
      <c r="Y83" s="1"/>
      <c r="Z83" s="1"/>
    </row>
    <row r="84" spans="1:26" ht="18" customHeight="1">
      <c r="A84" s="1"/>
      <c r="B84" s="1"/>
      <c r="C84" s="1"/>
      <c r="D84" s="1"/>
      <c r="E84" s="1"/>
      <c r="F84" s="57"/>
      <c r="G84" s="1"/>
      <c r="H84" s="173"/>
      <c r="I84" s="1"/>
      <c r="J84" s="1"/>
      <c r="K84" s="1"/>
      <c r="L84" s="1"/>
      <c r="M84" s="1"/>
      <c r="N84" s="1"/>
      <c r="O84" s="1"/>
      <c r="P84" s="1"/>
      <c r="Q84" s="1"/>
      <c r="R84" s="1"/>
      <c r="S84" s="1"/>
      <c r="T84" s="1"/>
      <c r="U84" s="1"/>
      <c r="V84" s="1"/>
      <c r="W84" s="1"/>
      <c r="X84" s="1"/>
      <c r="Y84" s="1"/>
      <c r="Z84" s="1"/>
    </row>
    <row r="85" spans="1:26" ht="18" customHeight="1">
      <c r="A85" s="1"/>
      <c r="B85" s="1"/>
      <c r="C85" s="1"/>
      <c r="D85" s="1"/>
      <c r="E85" s="1"/>
      <c r="F85" s="57"/>
      <c r="G85" s="1"/>
      <c r="H85" s="173"/>
      <c r="I85" s="1"/>
      <c r="J85" s="1"/>
      <c r="K85" s="1"/>
      <c r="L85" s="1"/>
      <c r="M85" s="1"/>
      <c r="N85" s="1"/>
      <c r="O85" s="1"/>
      <c r="P85" s="1"/>
      <c r="Q85" s="1"/>
      <c r="R85" s="1"/>
      <c r="S85" s="1"/>
      <c r="T85" s="1"/>
      <c r="U85" s="1"/>
      <c r="V85" s="1"/>
      <c r="W85" s="1"/>
      <c r="X85" s="1"/>
      <c r="Y85" s="1"/>
      <c r="Z85" s="1"/>
    </row>
    <row r="86" spans="1:26" ht="18" customHeight="1">
      <c r="A86" s="1"/>
      <c r="B86" s="1"/>
      <c r="C86" s="1"/>
      <c r="D86" s="1"/>
      <c r="E86" s="1"/>
      <c r="F86" s="57"/>
      <c r="G86" s="1"/>
      <c r="H86" s="173"/>
      <c r="I86" s="1"/>
      <c r="J86" s="1"/>
      <c r="K86" s="1"/>
      <c r="L86" s="1"/>
      <c r="M86" s="1"/>
      <c r="N86" s="1"/>
      <c r="O86" s="1"/>
      <c r="P86" s="1"/>
      <c r="Q86" s="1"/>
      <c r="R86" s="1"/>
      <c r="S86" s="1"/>
      <c r="T86" s="1"/>
      <c r="U86" s="1"/>
      <c r="V86" s="1"/>
      <c r="W86" s="1"/>
      <c r="X86" s="1"/>
      <c r="Y86" s="1"/>
      <c r="Z86" s="1"/>
    </row>
    <row r="87" spans="1:26" ht="18" customHeight="1">
      <c r="A87" s="1"/>
      <c r="B87" s="1"/>
      <c r="C87" s="1"/>
      <c r="D87" s="1"/>
      <c r="E87" s="1"/>
      <c r="F87" s="57"/>
      <c r="G87" s="1"/>
      <c r="H87" s="173"/>
      <c r="I87" s="1"/>
      <c r="J87" s="1"/>
      <c r="K87" s="1"/>
      <c r="L87" s="1"/>
      <c r="M87" s="1"/>
      <c r="N87" s="1"/>
      <c r="O87" s="1"/>
      <c r="P87" s="1"/>
      <c r="Q87" s="1"/>
      <c r="R87" s="1"/>
      <c r="S87" s="1"/>
      <c r="T87" s="1"/>
      <c r="U87" s="1"/>
      <c r="V87" s="1"/>
      <c r="W87" s="1"/>
      <c r="X87" s="1"/>
      <c r="Y87" s="1"/>
      <c r="Z87" s="1"/>
    </row>
    <row r="88" spans="1:26" ht="18" customHeight="1">
      <c r="A88" s="1"/>
      <c r="B88" s="1"/>
      <c r="C88" s="1"/>
      <c r="D88" s="1"/>
      <c r="E88" s="1"/>
      <c r="F88" s="57"/>
      <c r="G88" s="1"/>
      <c r="H88" s="173"/>
      <c r="I88" s="1"/>
      <c r="J88" s="1"/>
      <c r="K88" s="1"/>
      <c r="L88" s="1"/>
      <c r="M88" s="1"/>
      <c r="N88" s="1"/>
      <c r="O88" s="1"/>
      <c r="P88" s="1"/>
      <c r="Q88" s="1"/>
      <c r="R88" s="1"/>
      <c r="S88" s="1"/>
      <c r="T88" s="1"/>
      <c r="U88" s="1"/>
      <c r="V88" s="1"/>
      <c r="W88" s="1"/>
      <c r="X88" s="1"/>
      <c r="Y88" s="1"/>
      <c r="Z88" s="1"/>
    </row>
    <row r="89" spans="1:26" ht="18" customHeight="1">
      <c r="A89" s="1"/>
      <c r="B89" s="1"/>
      <c r="C89" s="1"/>
      <c r="D89" s="1"/>
      <c r="E89" s="1"/>
      <c r="F89" s="57"/>
      <c r="G89" s="1"/>
      <c r="H89" s="173"/>
      <c r="I89" s="1"/>
      <c r="J89" s="1"/>
      <c r="K89" s="1"/>
      <c r="L89" s="1"/>
      <c r="M89" s="1"/>
      <c r="N89" s="1"/>
      <c r="O89" s="1"/>
      <c r="P89" s="1"/>
      <c r="Q89" s="1"/>
      <c r="R89" s="1"/>
      <c r="S89" s="1"/>
      <c r="T89" s="1"/>
      <c r="U89" s="1"/>
      <c r="V89" s="1"/>
      <c r="W89" s="1"/>
      <c r="X89" s="1"/>
      <c r="Y89" s="1"/>
      <c r="Z89" s="1"/>
    </row>
    <row r="90" spans="1:26" ht="18" customHeight="1">
      <c r="A90" s="1"/>
      <c r="B90" s="1"/>
      <c r="C90" s="1"/>
      <c r="D90" s="1"/>
      <c r="E90" s="1"/>
      <c r="F90" s="57"/>
      <c r="G90" s="1"/>
      <c r="H90" s="173"/>
      <c r="I90" s="1"/>
      <c r="J90" s="1"/>
      <c r="K90" s="1"/>
      <c r="L90" s="1"/>
      <c r="M90" s="1"/>
      <c r="N90" s="1"/>
      <c r="O90" s="1"/>
      <c r="P90" s="1"/>
      <c r="Q90" s="1"/>
      <c r="R90" s="1"/>
      <c r="S90" s="1"/>
      <c r="T90" s="1"/>
      <c r="U90" s="1"/>
      <c r="V90" s="1"/>
      <c r="W90" s="1"/>
      <c r="X90" s="1"/>
      <c r="Y90" s="1"/>
      <c r="Z90" s="1"/>
    </row>
    <row r="91" spans="1:26" ht="18" customHeight="1">
      <c r="A91" s="1"/>
      <c r="B91" s="1"/>
      <c r="C91" s="1"/>
      <c r="D91" s="1"/>
      <c r="E91" s="1"/>
      <c r="F91" s="57"/>
      <c r="G91" s="1"/>
      <c r="H91" s="173"/>
      <c r="I91" s="1"/>
      <c r="J91" s="1"/>
      <c r="K91" s="1"/>
      <c r="L91" s="1"/>
      <c r="M91" s="1"/>
      <c r="N91" s="1"/>
      <c r="O91" s="1"/>
      <c r="P91" s="1"/>
      <c r="Q91" s="1"/>
      <c r="R91" s="1"/>
      <c r="S91" s="1"/>
      <c r="T91" s="1"/>
      <c r="U91" s="1"/>
      <c r="V91" s="1"/>
      <c r="W91" s="1"/>
      <c r="X91" s="1"/>
      <c r="Y91" s="1"/>
      <c r="Z91" s="1"/>
    </row>
    <row r="92" spans="1:26" ht="18" customHeight="1">
      <c r="A92" s="1"/>
      <c r="B92" s="1"/>
      <c r="C92" s="1"/>
      <c r="D92" s="1"/>
      <c r="E92" s="1"/>
      <c r="F92" s="57"/>
      <c r="G92" s="1"/>
      <c r="H92" s="173"/>
      <c r="I92" s="1"/>
      <c r="J92" s="1"/>
      <c r="K92" s="1"/>
      <c r="L92" s="1"/>
      <c r="M92" s="1"/>
      <c r="N92" s="1"/>
      <c r="O92" s="1"/>
      <c r="P92" s="1"/>
      <c r="Q92" s="1"/>
      <c r="R92" s="1"/>
      <c r="S92" s="1"/>
      <c r="T92" s="1"/>
      <c r="U92" s="1"/>
      <c r="V92" s="1"/>
      <c r="W92" s="1"/>
      <c r="X92" s="1"/>
      <c r="Y92" s="1"/>
      <c r="Z92" s="1"/>
    </row>
    <row r="93" spans="1:26" ht="18" customHeight="1">
      <c r="A93" s="1"/>
      <c r="B93" s="1"/>
      <c r="C93" s="1"/>
      <c r="D93" s="1"/>
      <c r="E93" s="1"/>
      <c r="F93" s="57"/>
      <c r="G93" s="1"/>
      <c r="H93" s="173"/>
      <c r="I93" s="1"/>
      <c r="J93" s="1"/>
      <c r="K93" s="1"/>
      <c r="L93" s="1"/>
      <c r="M93" s="1"/>
      <c r="N93" s="1"/>
      <c r="O93" s="1"/>
      <c r="P93" s="1"/>
      <c r="Q93" s="1"/>
      <c r="R93" s="1"/>
      <c r="S93" s="1"/>
      <c r="T93" s="1"/>
      <c r="U93" s="1"/>
      <c r="V93" s="1"/>
      <c r="W93" s="1"/>
      <c r="X93" s="1"/>
      <c r="Y93" s="1"/>
      <c r="Z93" s="1"/>
    </row>
    <row r="94" spans="1:26" ht="18" customHeight="1">
      <c r="A94" s="1"/>
      <c r="B94" s="1"/>
      <c r="C94" s="1"/>
      <c r="D94" s="1"/>
      <c r="E94" s="1"/>
      <c r="F94" s="57"/>
      <c r="G94" s="1"/>
      <c r="H94" s="173"/>
      <c r="I94" s="1"/>
      <c r="J94" s="1"/>
      <c r="K94" s="1"/>
      <c r="L94" s="1"/>
      <c r="M94" s="1"/>
      <c r="N94" s="1"/>
      <c r="O94" s="1"/>
      <c r="P94" s="1"/>
      <c r="Q94" s="1"/>
      <c r="R94" s="1"/>
      <c r="S94" s="1"/>
      <c r="T94" s="1"/>
      <c r="U94" s="1"/>
      <c r="V94" s="1"/>
      <c r="W94" s="1"/>
      <c r="X94" s="1"/>
      <c r="Y94" s="1"/>
      <c r="Z94" s="1"/>
    </row>
    <row r="95" spans="1:26" ht="18" customHeight="1">
      <c r="A95" s="1"/>
      <c r="B95" s="1"/>
      <c r="C95" s="1"/>
      <c r="D95" s="1"/>
      <c r="E95" s="1"/>
      <c r="F95" s="57"/>
      <c r="G95" s="1"/>
      <c r="H95" s="173"/>
      <c r="I95" s="1"/>
      <c r="J95" s="1"/>
      <c r="K95" s="1"/>
      <c r="L95" s="1"/>
      <c r="M95" s="1"/>
      <c r="N95" s="1"/>
      <c r="O95" s="1"/>
      <c r="P95" s="1"/>
      <c r="Q95" s="1"/>
      <c r="R95" s="1"/>
      <c r="S95" s="1"/>
      <c r="T95" s="1"/>
      <c r="U95" s="1"/>
      <c r="V95" s="1"/>
      <c r="W95" s="1"/>
      <c r="X95" s="1"/>
      <c r="Y95" s="1"/>
      <c r="Z95" s="1"/>
    </row>
    <row r="96" spans="1:26" ht="18" customHeight="1">
      <c r="A96" s="1"/>
      <c r="B96" s="1"/>
      <c r="C96" s="1"/>
      <c r="D96" s="1"/>
      <c r="E96" s="1"/>
      <c r="F96" s="57"/>
      <c r="G96" s="1"/>
      <c r="H96" s="173"/>
      <c r="I96" s="1"/>
      <c r="J96" s="1"/>
      <c r="K96" s="1"/>
      <c r="L96" s="1"/>
      <c r="M96" s="1"/>
      <c r="N96" s="1"/>
      <c r="O96" s="1"/>
      <c r="P96" s="1"/>
      <c r="Q96" s="1"/>
      <c r="R96" s="1"/>
      <c r="S96" s="1"/>
      <c r="T96" s="1"/>
      <c r="U96" s="1"/>
      <c r="V96" s="1"/>
      <c r="W96" s="1"/>
      <c r="X96" s="1"/>
      <c r="Y96" s="1"/>
      <c r="Z96" s="1"/>
    </row>
    <row r="97" spans="1:26" ht="18" customHeight="1">
      <c r="A97" s="1"/>
      <c r="B97" s="1"/>
      <c r="C97" s="1"/>
      <c r="D97" s="1"/>
      <c r="E97" s="1"/>
      <c r="F97" s="57"/>
      <c r="G97" s="1"/>
      <c r="H97" s="173"/>
      <c r="I97" s="1"/>
      <c r="J97" s="1"/>
      <c r="K97" s="1"/>
      <c r="L97" s="1"/>
      <c r="M97" s="1"/>
      <c r="N97" s="1"/>
      <c r="O97" s="1"/>
      <c r="P97" s="1"/>
      <c r="Q97" s="1"/>
      <c r="R97" s="1"/>
      <c r="S97" s="1"/>
      <c r="T97" s="1"/>
      <c r="U97" s="1"/>
      <c r="V97" s="1"/>
      <c r="W97" s="1"/>
      <c r="X97" s="1"/>
      <c r="Y97" s="1"/>
      <c r="Z97" s="1"/>
    </row>
    <row r="98" spans="1:26" ht="18" customHeight="1">
      <c r="A98" s="1"/>
      <c r="B98" s="1"/>
      <c r="C98" s="1"/>
      <c r="D98" s="1"/>
      <c r="E98" s="1"/>
      <c r="F98" s="57"/>
      <c r="G98" s="1"/>
      <c r="H98" s="173"/>
      <c r="I98" s="1"/>
      <c r="J98" s="1"/>
      <c r="K98" s="1"/>
      <c r="L98" s="1"/>
      <c r="M98" s="1"/>
      <c r="N98" s="1"/>
      <c r="O98" s="1"/>
      <c r="P98" s="1"/>
      <c r="Q98" s="1"/>
      <c r="R98" s="1"/>
      <c r="S98" s="1"/>
      <c r="T98" s="1"/>
      <c r="U98" s="1"/>
      <c r="V98" s="1"/>
      <c r="W98" s="1"/>
      <c r="X98" s="1"/>
      <c r="Y98" s="1"/>
      <c r="Z98" s="1"/>
    </row>
    <row r="99" spans="1:26" ht="18" customHeight="1">
      <c r="A99" s="1"/>
      <c r="B99" s="1"/>
      <c r="C99" s="1"/>
      <c r="D99" s="1"/>
      <c r="E99" s="1"/>
      <c r="F99" s="57"/>
      <c r="G99" s="1"/>
      <c r="H99" s="173"/>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57"/>
      <c r="G100" s="1"/>
      <c r="H100" s="173"/>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57"/>
      <c r="G101" s="1"/>
      <c r="H101" s="173"/>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57"/>
      <c r="G102" s="1"/>
      <c r="H102" s="173"/>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57"/>
      <c r="G103" s="1"/>
      <c r="H103" s="173"/>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57"/>
      <c r="G104" s="1"/>
      <c r="H104" s="173"/>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57"/>
      <c r="G105" s="1"/>
      <c r="H105" s="173"/>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57"/>
      <c r="G106" s="1"/>
      <c r="H106" s="173"/>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57"/>
      <c r="G107" s="1"/>
      <c r="H107" s="173"/>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57"/>
      <c r="G108" s="1"/>
      <c r="H108" s="173"/>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57"/>
      <c r="G109" s="1"/>
      <c r="H109" s="173"/>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57"/>
      <c r="G110" s="1"/>
      <c r="H110" s="173"/>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57"/>
      <c r="G111" s="1"/>
      <c r="H111" s="173"/>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57"/>
      <c r="G112" s="1"/>
      <c r="H112" s="173"/>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57"/>
      <c r="G113" s="1"/>
      <c r="H113" s="173"/>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57"/>
      <c r="G114" s="1"/>
      <c r="H114" s="173"/>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57"/>
      <c r="G115" s="1"/>
      <c r="H115" s="173"/>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57"/>
      <c r="G116" s="1"/>
      <c r="H116" s="173"/>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57"/>
      <c r="G117" s="1"/>
      <c r="H117" s="173"/>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57"/>
      <c r="G118" s="1"/>
      <c r="H118" s="173"/>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57"/>
      <c r="G119" s="1"/>
      <c r="H119" s="173"/>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57"/>
      <c r="G120" s="1"/>
      <c r="H120" s="173"/>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57"/>
      <c r="G121" s="1"/>
      <c r="H121" s="173"/>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57"/>
      <c r="G122" s="1"/>
      <c r="H122" s="173"/>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57"/>
      <c r="G123" s="1"/>
      <c r="H123" s="173"/>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57"/>
      <c r="G124" s="1"/>
      <c r="H124" s="173"/>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57"/>
      <c r="G125" s="1"/>
      <c r="H125" s="173"/>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57"/>
      <c r="G126" s="1"/>
      <c r="H126" s="173"/>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57"/>
      <c r="G127" s="1"/>
      <c r="H127" s="173"/>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57"/>
      <c r="G128" s="1"/>
      <c r="H128" s="173"/>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57"/>
      <c r="G129" s="1"/>
      <c r="H129" s="173"/>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57"/>
      <c r="G130" s="1"/>
      <c r="H130" s="173"/>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57"/>
      <c r="G131" s="1"/>
      <c r="H131" s="173"/>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57"/>
      <c r="G132" s="1"/>
      <c r="H132" s="173"/>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57"/>
      <c r="G133" s="1"/>
      <c r="H133" s="173"/>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57"/>
      <c r="G134" s="1"/>
      <c r="H134" s="173"/>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57"/>
      <c r="G135" s="1"/>
      <c r="H135" s="173"/>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57"/>
      <c r="G136" s="1"/>
      <c r="H136" s="173"/>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57"/>
      <c r="G137" s="1"/>
      <c r="H137" s="173"/>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57"/>
      <c r="G138" s="1"/>
      <c r="H138" s="173"/>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57"/>
      <c r="G139" s="1"/>
      <c r="H139" s="173"/>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57"/>
      <c r="G140" s="1"/>
      <c r="H140" s="173"/>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57"/>
      <c r="G141" s="1"/>
      <c r="H141" s="173"/>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57"/>
      <c r="G142" s="1"/>
      <c r="H142" s="173"/>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57"/>
      <c r="G143" s="1"/>
      <c r="H143" s="173"/>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57"/>
      <c r="G144" s="1"/>
      <c r="H144" s="173"/>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57"/>
      <c r="G145" s="1"/>
      <c r="H145" s="173"/>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57"/>
      <c r="G146" s="1"/>
      <c r="H146" s="173"/>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57"/>
      <c r="G147" s="1"/>
      <c r="H147" s="173"/>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57"/>
      <c r="G148" s="1"/>
      <c r="H148" s="173"/>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57"/>
      <c r="G149" s="1"/>
      <c r="H149" s="173"/>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57"/>
      <c r="G150" s="1"/>
      <c r="H150" s="173"/>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57"/>
      <c r="G151" s="1"/>
      <c r="H151" s="173"/>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57"/>
      <c r="G152" s="1"/>
      <c r="H152" s="173"/>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57"/>
      <c r="G153" s="1"/>
      <c r="H153" s="173"/>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57"/>
      <c r="G154" s="1"/>
      <c r="H154" s="173"/>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57"/>
      <c r="G155" s="1"/>
      <c r="H155" s="173"/>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57"/>
      <c r="G156" s="1"/>
      <c r="H156" s="173"/>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57"/>
      <c r="G157" s="1"/>
      <c r="H157" s="173"/>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57"/>
      <c r="G158" s="1"/>
      <c r="H158" s="173"/>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57"/>
      <c r="G159" s="1"/>
      <c r="H159" s="173"/>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57"/>
      <c r="G160" s="1"/>
      <c r="H160" s="173"/>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57"/>
      <c r="G161" s="1"/>
      <c r="H161" s="173"/>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57"/>
      <c r="G162" s="1"/>
      <c r="H162" s="173"/>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57"/>
      <c r="G163" s="1"/>
      <c r="H163" s="173"/>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57"/>
      <c r="G164" s="1"/>
      <c r="H164" s="173"/>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57"/>
      <c r="G165" s="1"/>
      <c r="H165" s="173"/>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57"/>
      <c r="G166" s="1"/>
      <c r="H166" s="173"/>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57"/>
      <c r="G167" s="1"/>
      <c r="H167" s="173"/>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57"/>
      <c r="G168" s="1"/>
      <c r="H168" s="173"/>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57"/>
      <c r="G169" s="1"/>
      <c r="H169" s="173"/>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57"/>
      <c r="G170" s="1"/>
      <c r="H170" s="173"/>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57"/>
      <c r="G171" s="1"/>
      <c r="H171" s="173"/>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57"/>
      <c r="G172" s="1"/>
      <c r="H172" s="173"/>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57"/>
      <c r="G173" s="1"/>
      <c r="H173" s="173"/>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57"/>
      <c r="G174" s="1"/>
      <c r="H174" s="173"/>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57"/>
      <c r="G175" s="1"/>
      <c r="H175" s="173"/>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57"/>
      <c r="G176" s="1"/>
      <c r="H176" s="173"/>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57"/>
      <c r="G177" s="1"/>
      <c r="H177" s="173"/>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57"/>
      <c r="G178" s="1"/>
      <c r="H178" s="173"/>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57"/>
      <c r="G179" s="1"/>
      <c r="H179" s="173"/>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57"/>
      <c r="G180" s="1"/>
      <c r="H180" s="173"/>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57"/>
      <c r="G181" s="1"/>
      <c r="H181" s="173"/>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57"/>
      <c r="G182" s="1"/>
      <c r="H182" s="173"/>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57"/>
      <c r="G183" s="1"/>
      <c r="H183" s="173"/>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57"/>
      <c r="G184" s="1"/>
      <c r="H184" s="173"/>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57"/>
      <c r="G185" s="1"/>
      <c r="H185" s="173"/>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57"/>
      <c r="G186" s="1"/>
      <c r="H186" s="173"/>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57"/>
      <c r="G187" s="1"/>
      <c r="H187" s="173"/>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57"/>
      <c r="G188" s="1"/>
      <c r="H188" s="173"/>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57"/>
      <c r="G189" s="1"/>
      <c r="H189" s="173"/>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57"/>
      <c r="G190" s="1"/>
      <c r="H190" s="173"/>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57"/>
      <c r="G191" s="1"/>
      <c r="H191" s="173"/>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57"/>
      <c r="G192" s="1"/>
      <c r="H192" s="173"/>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57"/>
      <c r="G193" s="1"/>
      <c r="H193" s="173"/>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57"/>
      <c r="G194" s="1"/>
      <c r="H194" s="173"/>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57"/>
      <c r="G195" s="1"/>
      <c r="H195" s="173"/>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57"/>
      <c r="G196" s="1"/>
      <c r="H196" s="173"/>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57"/>
      <c r="G197" s="1"/>
      <c r="H197" s="173"/>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57"/>
      <c r="G198" s="1"/>
      <c r="H198" s="173"/>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57"/>
      <c r="G199" s="1"/>
      <c r="H199" s="173"/>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57"/>
      <c r="G200" s="1"/>
      <c r="H200" s="173"/>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57"/>
      <c r="G201" s="1"/>
      <c r="H201" s="173"/>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57"/>
      <c r="G202" s="1"/>
      <c r="H202" s="173"/>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57"/>
      <c r="G203" s="1"/>
      <c r="H203" s="173"/>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57"/>
      <c r="G204" s="1"/>
      <c r="H204" s="173"/>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57"/>
      <c r="G205" s="1"/>
      <c r="H205" s="173"/>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57"/>
      <c r="G206" s="1"/>
      <c r="H206" s="173"/>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57"/>
      <c r="G207" s="1"/>
      <c r="H207" s="173"/>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57"/>
      <c r="G208" s="1"/>
      <c r="H208" s="173"/>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57"/>
      <c r="G209" s="1"/>
      <c r="H209" s="173"/>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57"/>
      <c r="G210" s="1"/>
      <c r="H210" s="173"/>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57"/>
      <c r="G211" s="1"/>
      <c r="H211" s="173"/>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57"/>
      <c r="G212" s="1"/>
      <c r="H212" s="173"/>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57"/>
      <c r="G213" s="1"/>
      <c r="H213" s="173"/>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57"/>
      <c r="G214" s="1"/>
      <c r="H214" s="173"/>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57"/>
      <c r="G215" s="1"/>
      <c r="H215" s="173"/>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57"/>
      <c r="G216" s="1"/>
      <c r="H216" s="173"/>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57"/>
      <c r="G217" s="1"/>
      <c r="H217" s="173"/>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57"/>
      <c r="G218" s="1"/>
      <c r="H218" s="173"/>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57"/>
      <c r="G219" s="1"/>
      <c r="H219" s="173"/>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57"/>
      <c r="G220" s="1"/>
      <c r="H220" s="173"/>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Z1000"/>
  <sheetViews>
    <sheetView workbookViewId="0"/>
  </sheetViews>
  <sheetFormatPr defaultColWidth="10.109375" defaultRowHeight="15" customHeight="1"/>
  <cols>
    <col min="1" max="1" width="5.44140625" customWidth="1"/>
    <col min="2" max="2" width="35.44140625" customWidth="1"/>
    <col min="3" max="3" width="10" customWidth="1"/>
    <col min="4" max="4" width="9.109375" customWidth="1"/>
    <col min="5" max="5" width="8.44140625" customWidth="1"/>
    <col min="6" max="6" width="14.6640625" customWidth="1"/>
    <col min="7" max="7" width="35.109375" customWidth="1"/>
    <col min="8" max="26" width="8.88671875" customWidth="1"/>
  </cols>
  <sheetData>
    <row r="1" spans="1:26" ht="16.5" customHeight="1">
      <c r="A1" s="188"/>
      <c r="B1" s="360" t="s">
        <v>1413</v>
      </c>
      <c r="C1" s="380"/>
      <c r="D1" s="380"/>
      <c r="E1" s="380"/>
      <c r="F1" s="380"/>
      <c r="G1" s="189"/>
      <c r="H1" s="188"/>
      <c r="I1" s="188"/>
      <c r="J1" s="188"/>
      <c r="K1" s="188"/>
      <c r="L1" s="188"/>
      <c r="M1" s="188"/>
      <c r="N1" s="188"/>
      <c r="O1" s="188"/>
      <c r="P1" s="188"/>
      <c r="Q1" s="188"/>
      <c r="R1" s="188"/>
      <c r="S1" s="188"/>
      <c r="T1" s="188"/>
      <c r="U1" s="188"/>
      <c r="V1" s="188"/>
      <c r="W1" s="188"/>
      <c r="X1" s="188"/>
      <c r="Y1" s="188"/>
      <c r="Z1" s="188"/>
    </row>
    <row r="2" spans="1:26" ht="16.5" customHeight="1">
      <c r="A2" s="188"/>
      <c r="B2" s="188"/>
      <c r="C2" s="188"/>
      <c r="D2" s="190"/>
      <c r="E2" s="190"/>
      <c r="F2" s="190"/>
      <c r="G2" s="189"/>
      <c r="H2" s="188"/>
      <c r="I2" s="188"/>
      <c r="J2" s="188"/>
      <c r="K2" s="188"/>
      <c r="L2" s="188"/>
      <c r="M2" s="188"/>
      <c r="N2" s="188"/>
      <c r="O2" s="188"/>
      <c r="P2" s="188"/>
      <c r="Q2" s="188"/>
      <c r="R2" s="188"/>
      <c r="S2" s="188"/>
      <c r="T2" s="188"/>
      <c r="U2" s="188"/>
      <c r="V2" s="188"/>
      <c r="W2" s="188"/>
      <c r="X2" s="188"/>
      <c r="Y2" s="188"/>
      <c r="Z2" s="188"/>
    </row>
    <row r="3" spans="1:26" ht="16.5" customHeight="1">
      <c r="A3" s="91" t="s">
        <v>116</v>
      </c>
      <c r="B3" s="91" t="s">
        <v>1318</v>
      </c>
      <c r="C3" s="91" t="s">
        <v>59</v>
      </c>
      <c r="D3" s="91" t="s">
        <v>1381</v>
      </c>
      <c r="E3" s="91" t="s">
        <v>1382</v>
      </c>
      <c r="F3" s="91" t="s">
        <v>1414</v>
      </c>
      <c r="G3" s="91" t="s">
        <v>5</v>
      </c>
      <c r="H3" s="188"/>
      <c r="I3" s="188"/>
      <c r="J3" s="188"/>
      <c r="K3" s="188"/>
      <c r="L3" s="188"/>
      <c r="M3" s="188"/>
      <c r="N3" s="188"/>
      <c r="O3" s="188"/>
      <c r="P3" s="188"/>
      <c r="Q3" s="188"/>
      <c r="R3" s="188"/>
      <c r="S3" s="188"/>
      <c r="T3" s="188"/>
      <c r="U3" s="188"/>
      <c r="V3" s="188"/>
      <c r="W3" s="188"/>
      <c r="X3" s="188"/>
      <c r="Y3" s="188"/>
      <c r="Z3" s="188"/>
    </row>
    <row r="4" spans="1:26" ht="16.5" customHeight="1">
      <c r="A4" s="91" t="s">
        <v>6</v>
      </c>
      <c r="B4" s="32" t="s">
        <v>1367</v>
      </c>
      <c r="C4" s="25"/>
      <c r="D4" s="79"/>
      <c r="E4" s="91">
        <f>SUM(E5:E12)</f>
        <v>15.5</v>
      </c>
      <c r="F4" s="79"/>
      <c r="G4" s="21"/>
      <c r="H4" s="188"/>
      <c r="I4" s="188"/>
      <c r="J4" s="188"/>
      <c r="K4" s="188"/>
      <c r="L4" s="188"/>
      <c r="M4" s="188"/>
      <c r="N4" s="188"/>
      <c r="O4" s="188"/>
      <c r="P4" s="188"/>
      <c r="Q4" s="188"/>
      <c r="R4" s="188"/>
      <c r="S4" s="188"/>
      <c r="T4" s="188"/>
      <c r="U4" s="188"/>
      <c r="V4" s="188"/>
      <c r="W4" s="188"/>
      <c r="X4" s="188"/>
      <c r="Y4" s="188"/>
      <c r="Z4" s="188"/>
    </row>
    <row r="5" spans="1:26" ht="51">
      <c r="A5" s="79">
        <v>1</v>
      </c>
      <c r="B5" s="25" t="s">
        <v>1415</v>
      </c>
      <c r="C5" s="79">
        <v>1.5</v>
      </c>
      <c r="D5" s="191">
        <v>3</v>
      </c>
      <c r="E5" s="79">
        <f t="shared" ref="E5:E12" si="0">C5*D5</f>
        <v>4.5</v>
      </c>
      <c r="F5" s="79">
        <f t="shared" ref="F5:F12" si="1">IF(E5&lt;=0,0,IF(E5&lt;=1,0.05,IF(E5&lt;=2,0.1,IF(E5&lt;=3,0.6,1))))</f>
        <v>1</v>
      </c>
      <c r="G5" s="192" t="s">
        <v>1416</v>
      </c>
      <c r="H5" s="188"/>
      <c r="I5" s="188"/>
      <c r="J5" s="188"/>
      <c r="K5" s="188"/>
      <c r="L5" s="188"/>
      <c r="M5" s="188"/>
      <c r="N5" s="188"/>
      <c r="O5" s="188"/>
      <c r="P5" s="188"/>
      <c r="Q5" s="188"/>
      <c r="R5" s="188"/>
      <c r="S5" s="188"/>
      <c r="T5" s="188"/>
      <c r="U5" s="188"/>
      <c r="V5" s="188"/>
      <c r="W5" s="188"/>
      <c r="X5" s="188"/>
      <c r="Y5" s="188"/>
      <c r="Z5" s="188"/>
    </row>
    <row r="6" spans="1:26" ht="51">
      <c r="A6" s="79">
        <v>2</v>
      </c>
      <c r="B6" s="25" t="s">
        <v>1417</v>
      </c>
      <c r="C6" s="79">
        <v>0.5</v>
      </c>
      <c r="D6" s="191">
        <v>3</v>
      </c>
      <c r="E6" s="79">
        <f t="shared" si="0"/>
        <v>1.5</v>
      </c>
      <c r="F6" s="79">
        <f t="shared" si="1"/>
        <v>0.1</v>
      </c>
      <c r="G6" s="192" t="s">
        <v>1418</v>
      </c>
      <c r="H6" s="188"/>
      <c r="I6" s="188"/>
      <c r="J6" s="188"/>
      <c r="K6" s="188"/>
      <c r="L6" s="188"/>
      <c r="M6" s="188"/>
      <c r="N6" s="188"/>
      <c r="O6" s="188"/>
      <c r="P6" s="188"/>
      <c r="Q6" s="188"/>
      <c r="R6" s="188"/>
      <c r="S6" s="188"/>
      <c r="T6" s="188"/>
      <c r="U6" s="188"/>
      <c r="V6" s="188"/>
      <c r="W6" s="188"/>
      <c r="X6" s="188"/>
      <c r="Y6" s="188"/>
      <c r="Z6" s="188"/>
    </row>
    <row r="7" spans="1:26" ht="34.15">
      <c r="A7" s="79">
        <v>3</v>
      </c>
      <c r="B7" s="25" t="s">
        <v>1419</v>
      </c>
      <c r="C7" s="79">
        <v>1</v>
      </c>
      <c r="D7" s="191">
        <v>3</v>
      </c>
      <c r="E7" s="79">
        <f t="shared" si="0"/>
        <v>3</v>
      </c>
      <c r="F7" s="79">
        <f t="shared" si="1"/>
        <v>0.6</v>
      </c>
      <c r="G7" s="192" t="s">
        <v>1420</v>
      </c>
      <c r="H7" s="188"/>
      <c r="I7" s="188"/>
      <c r="J7" s="188"/>
      <c r="K7" s="188"/>
      <c r="L7" s="188"/>
      <c r="M7" s="188"/>
      <c r="N7" s="188"/>
      <c r="O7" s="188"/>
      <c r="P7" s="188"/>
      <c r="Q7" s="188"/>
      <c r="R7" s="188"/>
      <c r="S7" s="188"/>
      <c r="T7" s="188"/>
      <c r="U7" s="188"/>
      <c r="V7" s="188"/>
      <c r="W7" s="188"/>
      <c r="X7" s="188"/>
      <c r="Y7" s="188"/>
      <c r="Z7" s="188"/>
    </row>
    <row r="8" spans="1:26" ht="51">
      <c r="A8" s="79">
        <v>4</v>
      </c>
      <c r="B8" s="25" t="s">
        <v>1421</v>
      </c>
      <c r="C8" s="79">
        <v>0.5</v>
      </c>
      <c r="D8" s="191">
        <v>3</v>
      </c>
      <c r="E8" s="79">
        <f t="shared" si="0"/>
        <v>1.5</v>
      </c>
      <c r="F8" s="79">
        <f t="shared" si="1"/>
        <v>0.1</v>
      </c>
      <c r="G8" s="192" t="s">
        <v>1422</v>
      </c>
      <c r="H8" s="188"/>
      <c r="I8" s="188"/>
      <c r="J8" s="188"/>
      <c r="K8" s="188"/>
      <c r="L8" s="188"/>
      <c r="M8" s="188"/>
      <c r="N8" s="188"/>
      <c r="O8" s="188"/>
      <c r="P8" s="188"/>
      <c r="Q8" s="188"/>
      <c r="R8" s="188"/>
      <c r="S8" s="188"/>
      <c r="T8" s="188"/>
      <c r="U8" s="188"/>
      <c r="V8" s="188"/>
      <c r="W8" s="188"/>
      <c r="X8" s="188"/>
      <c r="Y8" s="188"/>
      <c r="Z8" s="188"/>
    </row>
    <row r="9" spans="1:26" ht="34.15">
      <c r="A9" s="79">
        <v>5</v>
      </c>
      <c r="B9" s="25" t="s">
        <v>1423</v>
      </c>
      <c r="C9" s="79">
        <v>1</v>
      </c>
      <c r="D9" s="191">
        <v>2</v>
      </c>
      <c r="E9" s="79">
        <f t="shared" si="0"/>
        <v>2</v>
      </c>
      <c r="F9" s="79">
        <f t="shared" si="1"/>
        <v>0.1</v>
      </c>
      <c r="G9" s="192" t="s">
        <v>1424</v>
      </c>
      <c r="H9" s="188"/>
      <c r="I9" s="188"/>
      <c r="J9" s="188"/>
      <c r="K9" s="188"/>
      <c r="L9" s="188"/>
      <c r="M9" s="188"/>
      <c r="N9" s="188"/>
      <c r="O9" s="188"/>
      <c r="P9" s="188"/>
      <c r="Q9" s="188"/>
      <c r="R9" s="188"/>
      <c r="S9" s="188"/>
      <c r="T9" s="188"/>
      <c r="U9" s="188"/>
      <c r="V9" s="188"/>
      <c r="W9" s="188"/>
      <c r="X9" s="188"/>
      <c r="Y9" s="188"/>
      <c r="Z9" s="188"/>
    </row>
    <row r="10" spans="1:26" ht="84.6">
      <c r="A10" s="79">
        <v>6</v>
      </c>
      <c r="B10" s="25" t="s">
        <v>1345</v>
      </c>
      <c r="C10" s="79">
        <v>2</v>
      </c>
      <c r="D10" s="191">
        <v>3</v>
      </c>
      <c r="E10" s="79">
        <f t="shared" si="0"/>
        <v>6</v>
      </c>
      <c r="F10" s="79">
        <f t="shared" si="1"/>
        <v>1</v>
      </c>
      <c r="G10" s="192" t="s">
        <v>1425</v>
      </c>
      <c r="H10" s="188"/>
      <c r="I10" s="188"/>
      <c r="J10" s="188"/>
      <c r="K10" s="188"/>
      <c r="L10" s="188"/>
      <c r="M10" s="188"/>
      <c r="N10" s="188"/>
      <c r="O10" s="188"/>
      <c r="P10" s="188"/>
      <c r="Q10" s="188"/>
      <c r="R10" s="188"/>
      <c r="S10" s="188"/>
      <c r="T10" s="188"/>
      <c r="U10" s="188"/>
      <c r="V10" s="188"/>
      <c r="W10" s="188"/>
      <c r="X10" s="188"/>
      <c r="Y10" s="188"/>
      <c r="Z10" s="188"/>
    </row>
    <row r="11" spans="1:26" ht="34.15">
      <c r="A11" s="79">
        <v>7</v>
      </c>
      <c r="B11" s="25" t="s">
        <v>1426</v>
      </c>
      <c r="C11" s="79">
        <v>-1</v>
      </c>
      <c r="D11" s="191">
        <v>0</v>
      </c>
      <c r="E11" s="79">
        <f t="shared" si="0"/>
        <v>0</v>
      </c>
      <c r="F11" s="79">
        <f t="shared" si="1"/>
        <v>0</v>
      </c>
      <c r="G11" s="192" t="s">
        <v>1427</v>
      </c>
      <c r="H11" s="188"/>
      <c r="I11" s="188"/>
      <c r="J11" s="188"/>
      <c r="K11" s="188"/>
      <c r="L11" s="188"/>
      <c r="M11" s="188"/>
      <c r="N11" s="188"/>
      <c r="O11" s="188"/>
      <c r="P11" s="188"/>
      <c r="Q11" s="188"/>
      <c r="R11" s="188"/>
      <c r="S11" s="188"/>
      <c r="T11" s="188"/>
      <c r="U11" s="188"/>
      <c r="V11" s="188"/>
      <c r="W11" s="188"/>
      <c r="X11" s="188"/>
      <c r="Y11" s="188"/>
      <c r="Z11" s="188"/>
    </row>
    <row r="12" spans="1:26" ht="33.75" customHeight="1">
      <c r="A12" s="79">
        <v>8</v>
      </c>
      <c r="B12" s="25" t="s">
        <v>1428</v>
      </c>
      <c r="C12" s="79">
        <v>-1</v>
      </c>
      <c r="D12" s="191">
        <v>3</v>
      </c>
      <c r="E12" s="79">
        <f t="shared" si="0"/>
        <v>-3</v>
      </c>
      <c r="F12" s="79">
        <f t="shared" si="1"/>
        <v>0</v>
      </c>
      <c r="G12" s="192" t="s">
        <v>1429</v>
      </c>
      <c r="H12" s="188"/>
      <c r="I12" s="188"/>
      <c r="J12" s="188"/>
      <c r="K12" s="188"/>
      <c r="L12" s="188"/>
      <c r="M12" s="188"/>
      <c r="N12" s="188"/>
      <c r="O12" s="188"/>
      <c r="P12" s="188"/>
      <c r="Q12" s="188"/>
      <c r="R12" s="188"/>
      <c r="S12" s="188"/>
      <c r="T12" s="188"/>
      <c r="U12" s="188"/>
      <c r="V12" s="188"/>
      <c r="W12" s="188"/>
      <c r="X12" s="188"/>
      <c r="Y12" s="188"/>
      <c r="Z12" s="188"/>
    </row>
    <row r="13" spans="1:26" ht="16.5" customHeight="1">
      <c r="A13" s="91" t="s">
        <v>24</v>
      </c>
      <c r="B13" s="32" t="s">
        <v>18</v>
      </c>
      <c r="C13" s="25"/>
      <c r="D13" s="79"/>
      <c r="E13" s="91">
        <f>1.4+(-0.03*E4)</f>
        <v>0.93499999999999994</v>
      </c>
      <c r="F13" s="79"/>
      <c r="G13" s="21"/>
      <c r="H13" s="188"/>
      <c r="I13" s="188"/>
      <c r="J13" s="188"/>
      <c r="K13" s="188"/>
      <c r="L13" s="188"/>
      <c r="M13" s="188"/>
      <c r="N13" s="188"/>
      <c r="O13" s="188"/>
      <c r="P13" s="188"/>
      <c r="Q13" s="188"/>
      <c r="R13" s="188"/>
      <c r="S13" s="188"/>
      <c r="T13" s="188"/>
      <c r="U13" s="188"/>
      <c r="V13" s="188"/>
      <c r="W13" s="188"/>
      <c r="X13" s="188"/>
      <c r="Y13" s="188"/>
      <c r="Z13" s="188"/>
    </row>
    <row r="14" spans="1:26" ht="16.5" customHeight="1">
      <c r="A14" s="91" t="s">
        <v>27</v>
      </c>
      <c r="B14" s="32" t="s">
        <v>1430</v>
      </c>
      <c r="C14" s="25"/>
      <c r="D14" s="79"/>
      <c r="E14" s="79"/>
      <c r="F14" s="91">
        <f>SUM(F5:F13)</f>
        <v>2.9000000000000004</v>
      </c>
      <c r="G14" s="21"/>
      <c r="H14" s="188"/>
      <c r="I14" s="188"/>
      <c r="J14" s="188"/>
      <c r="K14" s="188"/>
      <c r="L14" s="188"/>
      <c r="M14" s="188"/>
      <c r="N14" s="188"/>
      <c r="O14" s="188"/>
      <c r="P14" s="188"/>
      <c r="Q14" s="188"/>
      <c r="R14" s="188"/>
      <c r="S14" s="188"/>
      <c r="T14" s="188"/>
      <c r="U14" s="188"/>
      <c r="V14" s="188"/>
      <c r="W14" s="188"/>
      <c r="X14" s="188"/>
      <c r="Y14" s="188"/>
      <c r="Z14" s="188"/>
    </row>
    <row r="15" spans="1:26" ht="16.5" customHeight="1">
      <c r="A15" s="91" t="s">
        <v>31</v>
      </c>
      <c r="B15" s="32" t="s">
        <v>25</v>
      </c>
      <c r="C15" s="25"/>
      <c r="D15" s="79"/>
      <c r="E15" s="79"/>
      <c r="F15" s="193">
        <f>IF(F14&lt;1,48-F14*8,IF(F14&lt;3,40-(F14-1)*7,26-(F14-3)*6/2.2))</f>
        <v>26.699999999999996</v>
      </c>
      <c r="G15" s="21"/>
      <c r="H15" s="188"/>
      <c r="I15" s="188"/>
      <c r="J15" s="188"/>
      <c r="K15" s="188"/>
      <c r="L15" s="188"/>
      <c r="M15" s="188"/>
      <c r="N15" s="188"/>
      <c r="O15" s="188"/>
      <c r="P15" s="188"/>
      <c r="Q15" s="188"/>
      <c r="R15" s="188"/>
      <c r="S15" s="188"/>
      <c r="T15" s="188"/>
      <c r="U15" s="188"/>
      <c r="V15" s="188"/>
      <c r="W15" s="188"/>
      <c r="X15" s="188"/>
      <c r="Y15" s="188"/>
      <c r="Z15" s="188"/>
    </row>
    <row r="16" spans="1:26" ht="16.5" customHeight="1">
      <c r="A16" s="188"/>
      <c r="B16" s="188"/>
      <c r="C16" s="188"/>
      <c r="D16" s="190"/>
      <c r="E16" s="190"/>
      <c r="F16" s="190"/>
      <c r="G16" s="189"/>
      <c r="H16" s="188"/>
      <c r="I16" s="188"/>
      <c r="J16" s="188"/>
      <c r="K16" s="188"/>
      <c r="L16" s="188"/>
      <c r="M16" s="188"/>
      <c r="N16" s="188"/>
      <c r="O16" s="188"/>
      <c r="P16" s="188"/>
      <c r="Q16" s="188"/>
      <c r="R16" s="188"/>
      <c r="S16" s="188"/>
      <c r="T16" s="188"/>
      <c r="U16" s="188"/>
      <c r="V16" s="188"/>
      <c r="W16" s="188"/>
      <c r="X16" s="188"/>
      <c r="Y16" s="188"/>
      <c r="Z16" s="188"/>
    </row>
    <row r="17" spans="1:26" ht="16.5" customHeight="1">
      <c r="A17" s="188"/>
      <c r="B17" s="188"/>
      <c r="C17" s="188"/>
      <c r="D17" s="190"/>
      <c r="E17" s="190"/>
      <c r="F17" s="190"/>
      <c r="G17" s="194">
        <f>'1. GTPM'!D22</f>
        <v>12589720490.333073</v>
      </c>
      <c r="H17" s="188"/>
      <c r="I17" s="188"/>
      <c r="J17" s="188"/>
      <c r="K17" s="188"/>
      <c r="L17" s="188"/>
      <c r="M17" s="188"/>
      <c r="N17" s="188"/>
      <c r="O17" s="188"/>
      <c r="P17" s="188"/>
      <c r="Q17" s="188"/>
      <c r="R17" s="188"/>
      <c r="S17" s="188"/>
      <c r="T17" s="188"/>
      <c r="U17" s="188"/>
      <c r="V17" s="188"/>
      <c r="W17" s="188"/>
      <c r="X17" s="188"/>
      <c r="Y17" s="188"/>
      <c r="Z17" s="188"/>
    </row>
    <row r="18" spans="1:26" ht="16.5" customHeight="1">
      <c r="A18" s="323" t="s">
        <v>1431</v>
      </c>
      <c r="B18" s="324"/>
      <c r="C18" s="324"/>
      <c r="D18" s="324" t="s">
        <v>1382</v>
      </c>
      <c r="E18" s="324" t="s">
        <v>1432</v>
      </c>
      <c r="F18" s="325"/>
      <c r="G18" s="188"/>
      <c r="H18" s="188"/>
      <c r="I18" s="188"/>
      <c r="J18" s="188"/>
      <c r="K18" s="188"/>
      <c r="L18" s="188"/>
      <c r="M18" s="188"/>
      <c r="N18" s="188"/>
      <c r="O18" s="188"/>
      <c r="P18" s="188"/>
      <c r="Q18" s="188"/>
      <c r="R18" s="188"/>
      <c r="S18" s="188"/>
      <c r="T18" s="188"/>
      <c r="U18" s="188"/>
      <c r="V18" s="188"/>
      <c r="W18" s="188"/>
      <c r="X18" s="188"/>
      <c r="Y18" s="188"/>
      <c r="Z18" s="188"/>
    </row>
    <row r="19" spans="1:26" ht="16.5" customHeight="1">
      <c r="A19" s="326"/>
      <c r="B19" s="195"/>
      <c r="C19" s="195"/>
      <c r="D19" s="195" t="s">
        <v>1433</v>
      </c>
      <c r="E19" s="195">
        <v>0</v>
      </c>
      <c r="F19" s="196"/>
      <c r="G19" s="188"/>
      <c r="H19" s="188"/>
      <c r="I19" s="188"/>
      <c r="J19" s="188"/>
      <c r="K19" s="188"/>
      <c r="L19" s="188"/>
      <c r="M19" s="188"/>
      <c r="N19" s="188"/>
      <c r="O19" s="188"/>
      <c r="P19" s="188"/>
      <c r="Q19" s="188"/>
      <c r="R19" s="188"/>
      <c r="S19" s="188"/>
      <c r="T19" s="188"/>
      <c r="U19" s="188"/>
      <c r="V19" s="188"/>
      <c r="W19" s="188"/>
      <c r="X19" s="188"/>
      <c r="Y19" s="188"/>
      <c r="Z19" s="188"/>
    </row>
    <row r="20" spans="1:26" ht="16.5" customHeight="1">
      <c r="A20" s="326"/>
      <c r="B20" s="195"/>
      <c r="C20" s="195"/>
      <c r="D20" s="195" t="s">
        <v>1434</v>
      </c>
      <c r="E20" s="195">
        <v>0.05</v>
      </c>
      <c r="F20" s="196"/>
      <c r="G20" s="188"/>
      <c r="H20" s="188"/>
      <c r="I20" s="188"/>
      <c r="J20" s="188"/>
      <c r="K20" s="188"/>
      <c r="L20" s="188"/>
      <c r="M20" s="188"/>
      <c r="N20" s="188"/>
      <c r="O20" s="188"/>
      <c r="P20" s="188"/>
      <c r="Q20" s="188"/>
      <c r="R20" s="188"/>
      <c r="S20" s="188"/>
      <c r="T20" s="188"/>
      <c r="U20" s="188"/>
      <c r="V20" s="188"/>
      <c r="W20" s="188"/>
      <c r="X20" s="188"/>
      <c r="Y20" s="188"/>
      <c r="Z20" s="188"/>
    </row>
    <row r="21" spans="1:26" ht="16.5" customHeight="1">
      <c r="A21" s="326"/>
      <c r="B21" s="195"/>
      <c r="C21" s="195"/>
      <c r="D21" s="195" t="s">
        <v>1435</v>
      </c>
      <c r="E21" s="195">
        <v>0.1</v>
      </c>
      <c r="F21" s="196"/>
      <c r="G21" s="188"/>
      <c r="H21" s="188"/>
      <c r="I21" s="188"/>
      <c r="J21" s="188"/>
      <c r="K21" s="188"/>
      <c r="L21" s="188"/>
      <c r="M21" s="188"/>
      <c r="N21" s="188"/>
      <c r="O21" s="188"/>
      <c r="P21" s="188"/>
      <c r="Q21" s="188"/>
      <c r="R21" s="188"/>
      <c r="S21" s="188"/>
      <c r="T21" s="188"/>
      <c r="U21" s="188"/>
      <c r="V21" s="188"/>
      <c r="W21" s="188"/>
      <c r="X21" s="188"/>
      <c r="Y21" s="188"/>
      <c r="Z21" s="188"/>
    </row>
    <row r="22" spans="1:26" ht="16.5" customHeight="1">
      <c r="A22" s="326"/>
      <c r="B22" s="195"/>
      <c r="C22" s="195"/>
      <c r="D22" s="195" t="s">
        <v>1436</v>
      </c>
      <c r="E22" s="195">
        <v>0.6</v>
      </c>
      <c r="F22" s="196"/>
      <c r="G22" s="188"/>
      <c r="H22" s="188"/>
      <c r="I22" s="188"/>
      <c r="J22" s="188"/>
      <c r="K22" s="188"/>
      <c r="L22" s="188"/>
      <c r="M22" s="188"/>
      <c r="N22" s="188"/>
      <c r="O22" s="188"/>
      <c r="P22" s="188"/>
      <c r="Q22" s="188"/>
      <c r="R22" s="188"/>
      <c r="S22" s="188"/>
      <c r="T22" s="188"/>
      <c r="U22" s="188"/>
      <c r="V22" s="188"/>
      <c r="W22" s="188"/>
      <c r="X22" s="188"/>
      <c r="Y22" s="188"/>
      <c r="Z22" s="188"/>
    </row>
    <row r="23" spans="1:26" ht="16.5" customHeight="1">
      <c r="A23" s="326"/>
      <c r="B23" s="195"/>
      <c r="C23" s="195"/>
      <c r="D23" s="195" t="s">
        <v>1437</v>
      </c>
      <c r="E23" s="195">
        <v>1</v>
      </c>
      <c r="F23" s="196"/>
      <c r="G23" s="188"/>
      <c r="H23" s="188"/>
      <c r="I23" s="188"/>
      <c r="J23" s="188"/>
      <c r="K23" s="188"/>
      <c r="L23" s="188"/>
      <c r="M23" s="188"/>
      <c r="N23" s="188"/>
      <c r="O23" s="188"/>
      <c r="P23" s="188"/>
      <c r="Q23" s="188"/>
      <c r="R23" s="188"/>
      <c r="S23" s="188"/>
      <c r="T23" s="188"/>
      <c r="U23" s="188"/>
      <c r="V23" s="188"/>
      <c r="W23" s="188"/>
      <c r="X23" s="188"/>
      <c r="Y23" s="188"/>
      <c r="Z23" s="188"/>
    </row>
    <row r="24" spans="1:26" ht="16.5" customHeight="1">
      <c r="A24" s="326"/>
      <c r="B24" s="195"/>
      <c r="C24" s="195"/>
      <c r="D24" s="195"/>
      <c r="E24" s="195"/>
      <c r="F24" s="196"/>
      <c r="G24" s="188"/>
      <c r="H24" s="188"/>
      <c r="I24" s="188"/>
      <c r="J24" s="188"/>
      <c r="K24" s="188"/>
      <c r="L24" s="188"/>
      <c r="M24" s="188"/>
      <c r="N24" s="188"/>
      <c r="O24" s="188"/>
      <c r="P24" s="188"/>
      <c r="Q24" s="188"/>
      <c r="R24" s="188"/>
      <c r="S24" s="188"/>
      <c r="T24" s="188"/>
      <c r="U24" s="188"/>
      <c r="V24" s="188"/>
      <c r="W24" s="188"/>
      <c r="X24" s="188"/>
      <c r="Y24" s="188"/>
      <c r="Z24" s="188"/>
    </row>
    <row r="25" spans="1:26" ht="16.5" customHeight="1">
      <c r="A25" s="326" t="s">
        <v>1414</v>
      </c>
      <c r="B25" s="195"/>
      <c r="C25" s="195"/>
      <c r="D25" s="195" t="s">
        <v>1363</v>
      </c>
      <c r="E25" s="195" t="s">
        <v>1369</v>
      </c>
      <c r="F25" s="196"/>
      <c r="G25" s="188"/>
      <c r="H25" s="188"/>
      <c r="I25" s="188"/>
      <c r="J25" s="188"/>
      <c r="K25" s="188"/>
      <c r="L25" s="188"/>
      <c r="M25" s="188"/>
      <c r="N25" s="188"/>
      <c r="O25" s="188"/>
      <c r="P25" s="188"/>
      <c r="Q25" s="188"/>
      <c r="R25" s="188"/>
      <c r="S25" s="188"/>
      <c r="T25" s="188"/>
      <c r="U25" s="188"/>
      <c r="V25" s="188"/>
      <c r="W25" s="188"/>
      <c r="X25" s="188"/>
      <c r="Y25" s="188"/>
      <c r="Z25" s="188"/>
    </row>
    <row r="26" spans="1:26" ht="16.5" customHeight="1">
      <c r="A26" s="326"/>
      <c r="B26" s="195"/>
      <c r="C26" s="195"/>
      <c r="D26" s="195" t="s">
        <v>1438</v>
      </c>
      <c r="E26" s="195" t="s">
        <v>1439</v>
      </c>
      <c r="F26" s="196"/>
      <c r="G26" s="188"/>
      <c r="H26" s="188"/>
      <c r="I26" s="188"/>
      <c r="J26" s="188"/>
      <c r="K26" s="188"/>
      <c r="L26" s="188"/>
      <c r="M26" s="188"/>
      <c r="N26" s="188"/>
      <c r="O26" s="188"/>
      <c r="P26" s="188"/>
      <c r="Q26" s="188"/>
      <c r="R26" s="188"/>
      <c r="S26" s="188"/>
      <c r="T26" s="188"/>
      <c r="U26" s="188"/>
      <c r="V26" s="188"/>
      <c r="W26" s="188"/>
      <c r="X26" s="188"/>
      <c r="Y26" s="188"/>
      <c r="Z26" s="188"/>
    </row>
    <row r="27" spans="1:26" ht="16.5" customHeight="1">
      <c r="A27" s="326"/>
      <c r="B27" s="195"/>
      <c r="C27" s="195"/>
      <c r="D27" s="195" t="s">
        <v>1440</v>
      </c>
      <c r="E27" s="195" t="s">
        <v>1441</v>
      </c>
      <c r="F27" s="196"/>
      <c r="G27" s="188"/>
      <c r="H27" s="188"/>
      <c r="I27" s="188"/>
      <c r="J27" s="188"/>
      <c r="K27" s="188"/>
      <c r="L27" s="188"/>
      <c r="M27" s="188"/>
      <c r="N27" s="188"/>
      <c r="O27" s="188"/>
      <c r="P27" s="188"/>
      <c r="Q27" s="188"/>
      <c r="R27" s="188"/>
      <c r="S27" s="188"/>
      <c r="T27" s="188"/>
      <c r="U27" s="188"/>
      <c r="V27" s="188"/>
      <c r="W27" s="188"/>
      <c r="X27" s="188"/>
      <c r="Y27" s="188"/>
      <c r="Z27" s="188"/>
    </row>
    <row r="28" spans="1:26" ht="16.5" customHeight="1">
      <c r="A28" s="326"/>
      <c r="B28" s="195"/>
      <c r="C28" s="195"/>
      <c r="D28" s="195" t="s">
        <v>1442</v>
      </c>
      <c r="E28" s="195" t="s">
        <v>1443</v>
      </c>
      <c r="F28" s="196"/>
      <c r="G28" s="188"/>
      <c r="H28" s="188"/>
      <c r="I28" s="188"/>
      <c r="J28" s="188"/>
      <c r="K28" s="188"/>
      <c r="L28" s="188"/>
      <c r="M28" s="188"/>
      <c r="N28" s="188"/>
      <c r="O28" s="188"/>
      <c r="P28" s="188"/>
      <c r="Q28" s="188"/>
      <c r="R28" s="188"/>
      <c r="S28" s="188"/>
      <c r="T28" s="188"/>
      <c r="U28" s="188"/>
      <c r="V28" s="188"/>
      <c r="W28" s="188"/>
      <c r="X28" s="188"/>
      <c r="Y28" s="188"/>
      <c r="Z28" s="188"/>
    </row>
    <row r="29" spans="1:26" ht="16.5" customHeight="1">
      <c r="A29" s="197"/>
      <c r="B29" s="198"/>
      <c r="C29" s="198"/>
      <c r="D29" s="198"/>
      <c r="E29" s="198"/>
      <c r="F29" s="199"/>
      <c r="G29" s="188"/>
      <c r="H29" s="188"/>
      <c r="I29" s="188"/>
      <c r="J29" s="188"/>
      <c r="K29" s="188"/>
      <c r="L29" s="188"/>
      <c r="M29" s="188"/>
      <c r="N29" s="188"/>
      <c r="O29" s="188"/>
      <c r="P29" s="188"/>
      <c r="Q29" s="188"/>
      <c r="R29" s="188"/>
      <c r="S29" s="188"/>
      <c r="T29" s="188"/>
      <c r="U29" s="188"/>
      <c r="V29" s="188"/>
      <c r="W29" s="188"/>
      <c r="X29" s="188"/>
      <c r="Y29" s="188"/>
      <c r="Z29" s="188"/>
    </row>
    <row r="30" spans="1:26" ht="16.5" customHeight="1">
      <c r="A30" s="188"/>
      <c r="B30" s="188"/>
      <c r="C30" s="188"/>
      <c r="D30" s="190"/>
      <c r="E30" s="190"/>
      <c r="F30" s="190"/>
      <c r="G30" s="189"/>
      <c r="H30" s="188"/>
      <c r="I30" s="188"/>
      <c r="J30" s="188"/>
      <c r="K30" s="188"/>
      <c r="L30" s="188"/>
      <c r="M30" s="188"/>
      <c r="N30" s="188"/>
      <c r="O30" s="188"/>
      <c r="P30" s="188"/>
      <c r="Q30" s="188"/>
      <c r="R30" s="188"/>
      <c r="S30" s="188"/>
      <c r="T30" s="188"/>
      <c r="U30" s="188"/>
      <c r="V30" s="188"/>
      <c r="W30" s="188"/>
      <c r="X30" s="188"/>
      <c r="Y30" s="188"/>
      <c r="Z30" s="188"/>
    </row>
    <row r="31" spans="1:26" ht="16.5" customHeight="1">
      <c r="A31" s="188"/>
      <c r="B31" s="188"/>
      <c r="C31" s="188"/>
      <c r="D31" s="190"/>
      <c r="E31" s="190"/>
      <c r="F31" s="190"/>
      <c r="G31" s="189"/>
      <c r="H31" s="188"/>
      <c r="I31" s="188"/>
      <c r="J31" s="188"/>
      <c r="K31" s="188"/>
      <c r="L31" s="188"/>
      <c r="M31" s="188"/>
      <c r="N31" s="188"/>
      <c r="O31" s="188"/>
      <c r="P31" s="188"/>
      <c r="Q31" s="188"/>
      <c r="R31" s="188"/>
      <c r="S31" s="188"/>
      <c r="T31" s="188"/>
      <c r="U31" s="188"/>
      <c r="V31" s="188"/>
      <c r="W31" s="188"/>
      <c r="X31" s="188"/>
      <c r="Y31" s="188"/>
      <c r="Z31" s="188"/>
    </row>
    <row r="32" spans="1:26" ht="16.5" customHeight="1">
      <c r="A32" s="188"/>
      <c r="B32" s="188"/>
      <c r="C32" s="188"/>
      <c r="D32" s="190"/>
      <c r="E32" s="190"/>
      <c r="F32" s="190"/>
      <c r="G32" s="189"/>
      <c r="H32" s="188"/>
      <c r="I32" s="188"/>
      <c r="J32" s="188"/>
      <c r="K32" s="188"/>
      <c r="L32" s="188"/>
      <c r="M32" s="188"/>
      <c r="N32" s="188"/>
      <c r="O32" s="188"/>
      <c r="P32" s="188"/>
      <c r="Q32" s="188"/>
      <c r="R32" s="188"/>
      <c r="S32" s="188"/>
      <c r="T32" s="188"/>
      <c r="U32" s="188"/>
      <c r="V32" s="188"/>
      <c r="W32" s="188"/>
      <c r="X32" s="188"/>
      <c r="Y32" s="188"/>
      <c r="Z32" s="188"/>
    </row>
    <row r="33" spans="1:26" ht="16.5" customHeight="1">
      <c r="A33" s="188"/>
      <c r="B33" s="188"/>
      <c r="C33" s="188"/>
      <c r="D33" s="190"/>
      <c r="E33" s="190"/>
      <c r="F33" s="190"/>
      <c r="G33" s="189"/>
      <c r="H33" s="188"/>
      <c r="I33" s="188"/>
      <c r="J33" s="188"/>
      <c r="K33" s="188"/>
      <c r="L33" s="188"/>
      <c r="M33" s="188"/>
      <c r="N33" s="188"/>
      <c r="O33" s="188"/>
      <c r="P33" s="188"/>
      <c r="Q33" s="188"/>
      <c r="R33" s="188"/>
      <c r="S33" s="188"/>
      <c r="T33" s="188"/>
      <c r="U33" s="188"/>
      <c r="V33" s="188"/>
      <c r="W33" s="188"/>
      <c r="X33" s="188"/>
      <c r="Y33" s="188"/>
      <c r="Z33" s="188"/>
    </row>
    <row r="34" spans="1:26" ht="16.5" customHeight="1">
      <c r="A34" s="188"/>
      <c r="B34" s="188"/>
      <c r="C34" s="188"/>
      <c r="D34" s="190"/>
      <c r="E34" s="190"/>
      <c r="F34" s="190"/>
      <c r="G34" s="189"/>
      <c r="H34" s="188"/>
      <c r="I34" s="188"/>
      <c r="J34" s="188"/>
      <c r="K34" s="188"/>
      <c r="L34" s="188"/>
      <c r="M34" s="188"/>
      <c r="N34" s="188"/>
      <c r="O34" s="188"/>
      <c r="P34" s="188"/>
      <c r="Q34" s="188"/>
      <c r="R34" s="188"/>
      <c r="S34" s="188"/>
      <c r="T34" s="188"/>
      <c r="U34" s="188"/>
      <c r="V34" s="188"/>
      <c r="W34" s="188"/>
      <c r="X34" s="188"/>
      <c r="Y34" s="188"/>
      <c r="Z34" s="188"/>
    </row>
    <row r="35" spans="1:26" ht="16.5" customHeight="1">
      <c r="A35" s="188"/>
      <c r="B35" s="188"/>
      <c r="C35" s="188"/>
      <c r="D35" s="190"/>
      <c r="E35" s="190"/>
      <c r="F35" s="190"/>
      <c r="G35" s="189"/>
      <c r="H35" s="188"/>
      <c r="I35" s="188"/>
      <c r="J35" s="188"/>
      <c r="K35" s="188"/>
      <c r="L35" s="188"/>
      <c r="M35" s="188"/>
      <c r="N35" s="188"/>
      <c r="O35" s="188"/>
      <c r="P35" s="188"/>
      <c r="Q35" s="188"/>
      <c r="R35" s="188"/>
      <c r="S35" s="188"/>
      <c r="T35" s="188"/>
      <c r="U35" s="188"/>
      <c r="V35" s="188"/>
      <c r="W35" s="188"/>
      <c r="X35" s="188"/>
      <c r="Y35" s="188"/>
      <c r="Z35" s="188"/>
    </row>
    <row r="36" spans="1:26" ht="16.5" customHeight="1">
      <c r="A36" s="188"/>
      <c r="B36" s="188"/>
      <c r="C36" s="188"/>
      <c r="D36" s="190"/>
      <c r="E36" s="190"/>
      <c r="F36" s="190"/>
      <c r="G36" s="189"/>
      <c r="H36" s="188"/>
      <c r="I36" s="188"/>
      <c r="J36" s="188"/>
      <c r="K36" s="188"/>
      <c r="L36" s="188"/>
      <c r="M36" s="188"/>
      <c r="N36" s="188"/>
      <c r="O36" s="188"/>
      <c r="P36" s="188"/>
      <c r="Q36" s="188"/>
      <c r="R36" s="188"/>
      <c r="S36" s="188"/>
      <c r="T36" s="188"/>
      <c r="U36" s="188"/>
      <c r="V36" s="188"/>
      <c r="W36" s="188"/>
      <c r="X36" s="188"/>
      <c r="Y36" s="188"/>
      <c r="Z36" s="188"/>
    </row>
    <row r="37" spans="1:26" ht="16.5" customHeight="1">
      <c r="A37" s="188"/>
      <c r="B37" s="188"/>
      <c r="C37" s="188"/>
      <c r="D37" s="190"/>
      <c r="E37" s="190"/>
      <c r="F37" s="190"/>
      <c r="G37" s="189"/>
      <c r="H37" s="188"/>
      <c r="I37" s="188"/>
      <c r="J37" s="188"/>
      <c r="K37" s="188"/>
      <c r="L37" s="188"/>
      <c r="M37" s="188"/>
      <c r="N37" s="188"/>
      <c r="O37" s="188"/>
      <c r="P37" s="188"/>
      <c r="Q37" s="188"/>
      <c r="R37" s="188"/>
      <c r="S37" s="188"/>
      <c r="T37" s="188"/>
      <c r="U37" s="188"/>
      <c r="V37" s="188"/>
      <c r="W37" s="188"/>
      <c r="X37" s="188"/>
      <c r="Y37" s="188"/>
      <c r="Z37" s="188"/>
    </row>
    <row r="38" spans="1:26" ht="16.5" customHeight="1">
      <c r="A38" s="188"/>
      <c r="B38" s="188"/>
      <c r="C38" s="188"/>
      <c r="D38" s="190"/>
      <c r="E38" s="190"/>
      <c r="F38" s="190"/>
      <c r="G38" s="189"/>
      <c r="H38" s="188"/>
      <c r="I38" s="188"/>
      <c r="J38" s="188"/>
      <c r="K38" s="188"/>
      <c r="L38" s="188"/>
      <c r="M38" s="188"/>
      <c r="N38" s="188"/>
      <c r="O38" s="188"/>
      <c r="P38" s="188"/>
      <c r="Q38" s="188"/>
      <c r="R38" s="188"/>
      <c r="S38" s="188"/>
      <c r="T38" s="188"/>
      <c r="U38" s="188"/>
      <c r="V38" s="188"/>
      <c r="W38" s="188"/>
      <c r="X38" s="188"/>
      <c r="Y38" s="188"/>
      <c r="Z38" s="188"/>
    </row>
    <row r="39" spans="1:26" ht="16.5" customHeight="1">
      <c r="A39" s="188"/>
      <c r="B39" s="188"/>
      <c r="C39" s="188"/>
      <c r="D39" s="190"/>
      <c r="E39" s="190"/>
      <c r="F39" s="190"/>
      <c r="G39" s="189"/>
      <c r="H39" s="188"/>
      <c r="I39" s="188"/>
      <c r="J39" s="188"/>
      <c r="K39" s="188"/>
      <c r="L39" s="188"/>
      <c r="M39" s="188"/>
      <c r="N39" s="188"/>
      <c r="O39" s="188"/>
      <c r="P39" s="188"/>
      <c r="Q39" s="188"/>
      <c r="R39" s="188"/>
      <c r="S39" s="188"/>
      <c r="T39" s="188"/>
      <c r="U39" s="188"/>
      <c r="V39" s="188"/>
      <c r="W39" s="188"/>
      <c r="X39" s="188"/>
      <c r="Y39" s="188"/>
      <c r="Z39" s="188"/>
    </row>
    <row r="40" spans="1:26" ht="16.5" customHeight="1">
      <c r="A40" s="188"/>
      <c r="B40" s="188"/>
      <c r="C40" s="188"/>
      <c r="D40" s="190"/>
      <c r="E40" s="190"/>
      <c r="F40" s="190"/>
      <c r="G40" s="189"/>
      <c r="H40" s="188"/>
      <c r="I40" s="188"/>
      <c r="J40" s="188"/>
      <c r="K40" s="188"/>
      <c r="L40" s="188"/>
      <c r="M40" s="188"/>
      <c r="N40" s="188"/>
      <c r="O40" s="188"/>
      <c r="P40" s="188"/>
      <c r="Q40" s="188"/>
      <c r="R40" s="188"/>
      <c r="S40" s="188"/>
      <c r="T40" s="188"/>
      <c r="U40" s="188"/>
      <c r="V40" s="188"/>
      <c r="W40" s="188"/>
      <c r="X40" s="188"/>
      <c r="Y40" s="188"/>
      <c r="Z40" s="188"/>
    </row>
    <row r="41" spans="1:26" ht="16.5" customHeight="1">
      <c r="A41" s="188"/>
      <c r="B41" s="188"/>
      <c r="C41" s="188"/>
      <c r="D41" s="190"/>
      <c r="E41" s="190"/>
      <c r="F41" s="190"/>
      <c r="G41" s="189"/>
      <c r="H41" s="188"/>
      <c r="I41" s="188"/>
      <c r="J41" s="188"/>
      <c r="K41" s="188"/>
      <c r="L41" s="188"/>
      <c r="M41" s="188"/>
      <c r="N41" s="188"/>
      <c r="O41" s="188"/>
      <c r="P41" s="188"/>
      <c r="Q41" s="188"/>
      <c r="R41" s="188"/>
      <c r="S41" s="188"/>
      <c r="T41" s="188"/>
      <c r="U41" s="188"/>
      <c r="V41" s="188"/>
      <c r="W41" s="188"/>
      <c r="X41" s="188"/>
      <c r="Y41" s="188"/>
      <c r="Z41" s="188"/>
    </row>
    <row r="42" spans="1:26" ht="16.5" customHeight="1">
      <c r="A42" s="188"/>
      <c r="B42" s="188"/>
      <c r="C42" s="188"/>
      <c r="D42" s="190"/>
      <c r="E42" s="190"/>
      <c r="F42" s="190"/>
      <c r="G42" s="189"/>
      <c r="H42" s="188"/>
      <c r="I42" s="188"/>
      <c r="J42" s="188"/>
      <c r="K42" s="188"/>
      <c r="L42" s="188"/>
      <c r="M42" s="188"/>
      <c r="N42" s="188"/>
      <c r="O42" s="188"/>
      <c r="P42" s="188"/>
      <c r="Q42" s="188"/>
      <c r="R42" s="188"/>
      <c r="S42" s="188"/>
      <c r="T42" s="188"/>
      <c r="U42" s="188"/>
      <c r="V42" s="188"/>
      <c r="W42" s="188"/>
      <c r="X42" s="188"/>
      <c r="Y42" s="188"/>
      <c r="Z42" s="188"/>
    </row>
    <row r="43" spans="1:26" ht="16.5" customHeight="1">
      <c r="A43" s="188"/>
      <c r="B43" s="188"/>
      <c r="C43" s="188"/>
      <c r="D43" s="190"/>
      <c r="E43" s="190"/>
      <c r="F43" s="190"/>
      <c r="G43" s="189"/>
      <c r="H43" s="188"/>
      <c r="I43" s="188"/>
      <c r="J43" s="188"/>
      <c r="K43" s="188"/>
      <c r="L43" s="188"/>
      <c r="M43" s="188"/>
      <c r="N43" s="188"/>
      <c r="O43" s="188"/>
      <c r="P43" s="188"/>
      <c r="Q43" s="188"/>
      <c r="R43" s="188"/>
      <c r="S43" s="188"/>
      <c r="T43" s="188"/>
      <c r="U43" s="188"/>
      <c r="V43" s="188"/>
      <c r="W43" s="188"/>
      <c r="X43" s="188"/>
      <c r="Y43" s="188"/>
      <c r="Z43" s="188"/>
    </row>
    <row r="44" spans="1:26" ht="16.5" customHeight="1">
      <c r="A44" s="188"/>
      <c r="B44" s="188"/>
      <c r="C44" s="188"/>
      <c r="D44" s="190"/>
      <c r="E44" s="190"/>
      <c r="F44" s="190"/>
      <c r="G44" s="189"/>
      <c r="H44" s="188"/>
      <c r="I44" s="188"/>
      <c r="J44" s="188"/>
      <c r="K44" s="188"/>
      <c r="L44" s="188"/>
      <c r="M44" s="188"/>
      <c r="N44" s="188"/>
      <c r="O44" s="188"/>
      <c r="P44" s="188"/>
      <c r="Q44" s="188"/>
      <c r="R44" s="188"/>
      <c r="S44" s="188"/>
      <c r="T44" s="188"/>
      <c r="U44" s="188"/>
      <c r="V44" s="188"/>
      <c r="W44" s="188"/>
      <c r="X44" s="188"/>
      <c r="Y44" s="188"/>
      <c r="Z44" s="188"/>
    </row>
    <row r="45" spans="1:26" ht="16.5" customHeight="1">
      <c r="A45" s="188"/>
      <c r="B45" s="188"/>
      <c r="C45" s="188"/>
      <c r="D45" s="190"/>
      <c r="E45" s="190"/>
      <c r="F45" s="190"/>
      <c r="G45" s="189"/>
      <c r="H45" s="188"/>
      <c r="I45" s="188"/>
      <c r="J45" s="188"/>
      <c r="K45" s="188"/>
      <c r="L45" s="188"/>
      <c r="M45" s="188"/>
      <c r="N45" s="188"/>
      <c r="O45" s="188"/>
      <c r="P45" s="188"/>
      <c r="Q45" s="188"/>
      <c r="R45" s="188"/>
      <c r="S45" s="188"/>
      <c r="T45" s="188"/>
      <c r="U45" s="188"/>
      <c r="V45" s="188"/>
      <c r="W45" s="188"/>
      <c r="X45" s="188"/>
      <c r="Y45" s="188"/>
      <c r="Z45" s="188"/>
    </row>
    <row r="46" spans="1:26" ht="16.5" customHeight="1">
      <c r="A46" s="188"/>
      <c r="B46" s="188"/>
      <c r="C46" s="188"/>
      <c r="D46" s="190"/>
      <c r="E46" s="190"/>
      <c r="F46" s="190"/>
      <c r="G46" s="189"/>
      <c r="H46" s="188"/>
      <c r="I46" s="188"/>
      <c r="J46" s="188"/>
      <c r="K46" s="188"/>
      <c r="L46" s="188"/>
      <c r="M46" s="188"/>
      <c r="N46" s="188"/>
      <c r="O46" s="188"/>
      <c r="P46" s="188"/>
      <c r="Q46" s="188"/>
      <c r="R46" s="188"/>
      <c r="S46" s="188"/>
      <c r="T46" s="188"/>
      <c r="U46" s="188"/>
      <c r="V46" s="188"/>
      <c r="W46" s="188"/>
      <c r="X46" s="188"/>
      <c r="Y46" s="188"/>
      <c r="Z46" s="188"/>
    </row>
    <row r="47" spans="1:26" ht="16.5" customHeight="1">
      <c r="A47" s="188"/>
      <c r="B47" s="188"/>
      <c r="C47" s="188"/>
      <c r="D47" s="190"/>
      <c r="E47" s="190"/>
      <c r="F47" s="190"/>
      <c r="G47" s="189"/>
      <c r="H47" s="188"/>
      <c r="I47" s="188"/>
      <c r="J47" s="188"/>
      <c r="K47" s="188"/>
      <c r="L47" s="188"/>
      <c r="M47" s="188"/>
      <c r="N47" s="188"/>
      <c r="O47" s="188"/>
      <c r="P47" s="188"/>
      <c r="Q47" s="188"/>
      <c r="R47" s="188"/>
      <c r="S47" s="188"/>
      <c r="T47" s="188"/>
      <c r="U47" s="188"/>
      <c r="V47" s="188"/>
      <c r="W47" s="188"/>
      <c r="X47" s="188"/>
      <c r="Y47" s="188"/>
      <c r="Z47" s="188"/>
    </row>
    <row r="48" spans="1:26" ht="16.5" customHeight="1">
      <c r="A48" s="188"/>
      <c r="B48" s="188"/>
      <c r="C48" s="188"/>
      <c r="D48" s="190"/>
      <c r="E48" s="190"/>
      <c r="F48" s="190"/>
      <c r="G48" s="189"/>
      <c r="H48" s="188"/>
      <c r="I48" s="188"/>
      <c r="J48" s="188"/>
      <c r="K48" s="188"/>
      <c r="L48" s="188"/>
      <c r="M48" s="188"/>
      <c r="N48" s="188"/>
      <c r="O48" s="188"/>
      <c r="P48" s="188"/>
      <c r="Q48" s="188"/>
      <c r="R48" s="188"/>
      <c r="S48" s="188"/>
      <c r="T48" s="188"/>
      <c r="U48" s="188"/>
      <c r="V48" s="188"/>
      <c r="W48" s="188"/>
      <c r="X48" s="188"/>
      <c r="Y48" s="188"/>
      <c r="Z48" s="188"/>
    </row>
    <row r="49" spans="1:26" ht="16.5" customHeight="1">
      <c r="A49" s="188"/>
      <c r="B49" s="188"/>
      <c r="C49" s="188"/>
      <c r="D49" s="190"/>
      <c r="E49" s="190"/>
      <c r="F49" s="190"/>
      <c r="G49" s="189"/>
      <c r="H49" s="188"/>
      <c r="I49" s="188"/>
      <c r="J49" s="188"/>
      <c r="K49" s="188"/>
      <c r="L49" s="188"/>
      <c r="M49" s="188"/>
      <c r="N49" s="188"/>
      <c r="O49" s="188"/>
      <c r="P49" s="188"/>
      <c r="Q49" s="188"/>
      <c r="R49" s="188"/>
      <c r="S49" s="188"/>
      <c r="T49" s="188"/>
      <c r="U49" s="188"/>
      <c r="V49" s="188"/>
      <c r="W49" s="188"/>
      <c r="X49" s="188"/>
      <c r="Y49" s="188"/>
      <c r="Z49" s="188"/>
    </row>
    <row r="50" spans="1:26" ht="16.5" customHeight="1">
      <c r="A50" s="188"/>
      <c r="B50" s="188"/>
      <c r="C50" s="188"/>
      <c r="D50" s="190"/>
      <c r="E50" s="190"/>
      <c r="F50" s="190"/>
      <c r="G50" s="189"/>
      <c r="H50" s="188"/>
      <c r="I50" s="188"/>
      <c r="J50" s="188"/>
      <c r="K50" s="188"/>
      <c r="L50" s="188"/>
      <c r="M50" s="188"/>
      <c r="N50" s="188"/>
      <c r="O50" s="188"/>
      <c r="P50" s="188"/>
      <c r="Q50" s="188"/>
      <c r="R50" s="188"/>
      <c r="S50" s="188"/>
      <c r="T50" s="188"/>
      <c r="U50" s="188"/>
      <c r="V50" s="188"/>
      <c r="W50" s="188"/>
      <c r="X50" s="188"/>
      <c r="Y50" s="188"/>
      <c r="Z50" s="188"/>
    </row>
    <row r="51" spans="1:26" ht="16.5" customHeight="1">
      <c r="A51" s="188"/>
      <c r="B51" s="188"/>
      <c r="C51" s="188"/>
      <c r="D51" s="190"/>
      <c r="E51" s="190"/>
      <c r="F51" s="190"/>
      <c r="G51" s="189"/>
      <c r="H51" s="188"/>
      <c r="I51" s="188"/>
      <c r="J51" s="188"/>
      <c r="K51" s="188"/>
      <c r="L51" s="188"/>
      <c r="M51" s="188"/>
      <c r="N51" s="188"/>
      <c r="O51" s="188"/>
      <c r="P51" s="188"/>
      <c r="Q51" s="188"/>
      <c r="R51" s="188"/>
      <c r="S51" s="188"/>
      <c r="T51" s="188"/>
      <c r="U51" s="188"/>
      <c r="V51" s="188"/>
      <c r="W51" s="188"/>
      <c r="X51" s="188"/>
      <c r="Y51" s="188"/>
      <c r="Z51" s="188"/>
    </row>
    <row r="52" spans="1:26" ht="16.5" customHeight="1">
      <c r="A52" s="188"/>
      <c r="B52" s="188"/>
      <c r="C52" s="188"/>
      <c r="D52" s="190"/>
      <c r="E52" s="190"/>
      <c r="F52" s="190"/>
      <c r="G52" s="189"/>
      <c r="H52" s="188"/>
      <c r="I52" s="188"/>
      <c r="J52" s="188"/>
      <c r="K52" s="188"/>
      <c r="L52" s="188"/>
      <c r="M52" s="188"/>
      <c r="N52" s="188"/>
      <c r="O52" s="188"/>
      <c r="P52" s="188"/>
      <c r="Q52" s="188"/>
      <c r="R52" s="188"/>
      <c r="S52" s="188"/>
      <c r="T52" s="188"/>
      <c r="U52" s="188"/>
      <c r="V52" s="188"/>
      <c r="W52" s="188"/>
      <c r="X52" s="188"/>
      <c r="Y52" s="188"/>
      <c r="Z52" s="188"/>
    </row>
    <row r="53" spans="1:26" ht="16.5" customHeight="1">
      <c r="A53" s="188"/>
      <c r="B53" s="188"/>
      <c r="C53" s="188"/>
      <c r="D53" s="190"/>
      <c r="E53" s="190"/>
      <c r="F53" s="190"/>
      <c r="G53" s="189"/>
      <c r="H53" s="188"/>
      <c r="I53" s="188"/>
      <c r="J53" s="188"/>
      <c r="K53" s="188"/>
      <c r="L53" s="188"/>
      <c r="M53" s="188"/>
      <c r="N53" s="188"/>
      <c r="O53" s="188"/>
      <c r="P53" s="188"/>
      <c r="Q53" s="188"/>
      <c r="R53" s="188"/>
      <c r="S53" s="188"/>
      <c r="T53" s="188"/>
      <c r="U53" s="188"/>
      <c r="V53" s="188"/>
      <c r="W53" s="188"/>
      <c r="X53" s="188"/>
      <c r="Y53" s="188"/>
      <c r="Z53" s="188"/>
    </row>
    <row r="54" spans="1:26" ht="16.5" customHeight="1">
      <c r="A54" s="188"/>
      <c r="B54" s="188"/>
      <c r="C54" s="188"/>
      <c r="D54" s="190"/>
      <c r="E54" s="190"/>
      <c r="F54" s="190"/>
      <c r="G54" s="189"/>
      <c r="H54" s="188"/>
      <c r="I54" s="188"/>
      <c r="J54" s="188"/>
      <c r="K54" s="188"/>
      <c r="L54" s="188"/>
      <c r="M54" s="188"/>
      <c r="N54" s="188"/>
      <c r="O54" s="188"/>
      <c r="P54" s="188"/>
      <c r="Q54" s="188"/>
      <c r="R54" s="188"/>
      <c r="S54" s="188"/>
      <c r="T54" s="188"/>
      <c r="U54" s="188"/>
      <c r="V54" s="188"/>
      <c r="W54" s="188"/>
      <c r="X54" s="188"/>
      <c r="Y54" s="188"/>
      <c r="Z54" s="188"/>
    </row>
    <row r="55" spans="1:26" ht="16.5" customHeight="1">
      <c r="A55" s="188"/>
      <c r="B55" s="188"/>
      <c r="C55" s="188"/>
      <c r="D55" s="190"/>
      <c r="E55" s="190"/>
      <c r="F55" s="190"/>
      <c r="G55" s="189"/>
      <c r="H55" s="188"/>
      <c r="I55" s="188"/>
      <c r="J55" s="188"/>
      <c r="K55" s="188"/>
      <c r="L55" s="188"/>
      <c r="M55" s="188"/>
      <c r="N55" s="188"/>
      <c r="O55" s="188"/>
      <c r="P55" s="188"/>
      <c r="Q55" s="188"/>
      <c r="R55" s="188"/>
      <c r="S55" s="188"/>
      <c r="T55" s="188"/>
      <c r="U55" s="188"/>
      <c r="V55" s="188"/>
      <c r="W55" s="188"/>
      <c r="X55" s="188"/>
      <c r="Y55" s="188"/>
      <c r="Z55" s="188"/>
    </row>
    <row r="56" spans="1:26" ht="16.5" customHeight="1">
      <c r="A56" s="188"/>
      <c r="B56" s="188"/>
      <c r="C56" s="188"/>
      <c r="D56" s="190"/>
      <c r="E56" s="190"/>
      <c r="F56" s="190"/>
      <c r="G56" s="189"/>
      <c r="H56" s="188"/>
      <c r="I56" s="188"/>
      <c r="J56" s="188"/>
      <c r="K56" s="188"/>
      <c r="L56" s="188"/>
      <c r="M56" s="188"/>
      <c r="N56" s="188"/>
      <c r="O56" s="188"/>
      <c r="P56" s="188"/>
      <c r="Q56" s="188"/>
      <c r="R56" s="188"/>
      <c r="S56" s="188"/>
      <c r="T56" s="188"/>
      <c r="U56" s="188"/>
      <c r="V56" s="188"/>
      <c r="W56" s="188"/>
      <c r="X56" s="188"/>
      <c r="Y56" s="188"/>
      <c r="Z56" s="188"/>
    </row>
    <row r="57" spans="1:26" ht="16.5" customHeight="1">
      <c r="A57" s="188"/>
      <c r="B57" s="188"/>
      <c r="C57" s="188"/>
      <c r="D57" s="190"/>
      <c r="E57" s="190"/>
      <c r="F57" s="190"/>
      <c r="G57" s="189"/>
      <c r="H57" s="188"/>
      <c r="I57" s="188"/>
      <c r="J57" s="188"/>
      <c r="K57" s="188"/>
      <c r="L57" s="188"/>
      <c r="M57" s="188"/>
      <c r="N57" s="188"/>
      <c r="O57" s="188"/>
      <c r="P57" s="188"/>
      <c r="Q57" s="188"/>
      <c r="R57" s="188"/>
      <c r="S57" s="188"/>
      <c r="T57" s="188"/>
      <c r="U57" s="188"/>
      <c r="V57" s="188"/>
      <c r="W57" s="188"/>
      <c r="X57" s="188"/>
      <c r="Y57" s="188"/>
      <c r="Z57" s="188"/>
    </row>
    <row r="58" spans="1:26" ht="16.5" customHeight="1">
      <c r="A58" s="188"/>
      <c r="B58" s="188"/>
      <c r="C58" s="188"/>
      <c r="D58" s="190"/>
      <c r="E58" s="190"/>
      <c r="F58" s="190"/>
      <c r="G58" s="189"/>
      <c r="H58" s="188"/>
      <c r="I58" s="188"/>
      <c r="J58" s="188"/>
      <c r="K58" s="188"/>
      <c r="L58" s="188"/>
      <c r="M58" s="188"/>
      <c r="N58" s="188"/>
      <c r="O58" s="188"/>
      <c r="P58" s="188"/>
      <c r="Q58" s="188"/>
      <c r="R58" s="188"/>
      <c r="S58" s="188"/>
      <c r="T58" s="188"/>
      <c r="U58" s="188"/>
      <c r="V58" s="188"/>
      <c r="W58" s="188"/>
      <c r="X58" s="188"/>
      <c r="Y58" s="188"/>
      <c r="Z58" s="188"/>
    </row>
    <row r="59" spans="1:26" ht="16.5" customHeight="1">
      <c r="A59" s="188"/>
      <c r="B59" s="188"/>
      <c r="C59" s="188"/>
      <c r="D59" s="190"/>
      <c r="E59" s="190"/>
      <c r="F59" s="190"/>
      <c r="G59" s="189"/>
      <c r="H59" s="188"/>
      <c r="I59" s="188"/>
      <c r="J59" s="188"/>
      <c r="K59" s="188"/>
      <c r="L59" s="188"/>
      <c r="M59" s="188"/>
      <c r="N59" s="188"/>
      <c r="O59" s="188"/>
      <c r="P59" s="188"/>
      <c r="Q59" s="188"/>
      <c r="R59" s="188"/>
      <c r="S59" s="188"/>
      <c r="T59" s="188"/>
      <c r="U59" s="188"/>
      <c r="V59" s="188"/>
      <c r="W59" s="188"/>
      <c r="X59" s="188"/>
      <c r="Y59" s="188"/>
      <c r="Z59" s="188"/>
    </row>
    <row r="60" spans="1:26" ht="16.5" customHeight="1">
      <c r="A60" s="188"/>
      <c r="B60" s="188"/>
      <c r="C60" s="188"/>
      <c r="D60" s="190"/>
      <c r="E60" s="190"/>
      <c r="F60" s="190"/>
      <c r="G60" s="189"/>
      <c r="H60" s="188"/>
      <c r="I60" s="188"/>
      <c r="J60" s="188"/>
      <c r="K60" s="188"/>
      <c r="L60" s="188"/>
      <c r="M60" s="188"/>
      <c r="N60" s="188"/>
      <c r="O60" s="188"/>
      <c r="P60" s="188"/>
      <c r="Q60" s="188"/>
      <c r="R60" s="188"/>
      <c r="S60" s="188"/>
      <c r="T60" s="188"/>
      <c r="U60" s="188"/>
      <c r="V60" s="188"/>
      <c r="W60" s="188"/>
      <c r="X60" s="188"/>
      <c r="Y60" s="188"/>
      <c r="Z60" s="188"/>
    </row>
    <row r="61" spans="1:26" ht="16.5" customHeight="1">
      <c r="A61" s="188"/>
      <c r="B61" s="188"/>
      <c r="C61" s="188"/>
      <c r="D61" s="190"/>
      <c r="E61" s="190"/>
      <c r="F61" s="190"/>
      <c r="G61" s="189"/>
      <c r="H61" s="188"/>
      <c r="I61" s="188"/>
      <c r="J61" s="188"/>
      <c r="K61" s="188"/>
      <c r="L61" s="188"/>
      <c r="M61" s="188"/>
      <c r="N61" s="188"/>
      <c r="O61" s="188"/>
      <c r="P61" s="188"/>
      <c r="Q61" s="188"/>
      <c r="R61" s="188"/>
      <c r="S61" s="188"/>
      <c r="T61" s="188"/>
      <c r="U61" s="188"/>
      <c r="V61" s="188"/>
      <c r="W61" s="188"/>
      <c r="X61" s="188"/>
      <c r="Y61" s="188"/>
      <c r="Z61" s="188"/>
    </row>
    <row r="62" spans="1:26" ht="16.5" customHeight="1">
      <c r="A62" s="188"/>
      <c r="B62" s="188"/>
      <c r="C62" s="188"/>
      <c r="D62" s="190"/>
      <c r="E62" s="190"/>
      <c r="F62" s="190"/>
      <c r="G62" s="189"/>
      <c r="H62" s="188"/>
      <c r="I62" s="188"/>
      <c r="J62" s="188"/>
      <c r="K62" s="188"/>
      <c r="L62" s="188"/>
      <c r="M62" s="188"/>
      <c r="N62" s="188"/>
      <c r="O62" s="188"/>
      <c r="P62" s="188"/>
      <c r="Q62" s="188"/>
      <c r="R62" s="188"/>
      <c r="S62" s="188"/>
      <c r="T62" s="188"/>
      <c r="U62" s="188"/>
      <c r="V62" s="188"/>
      <c r="W62" s="188"/>
      <c r="X62" s="188"/>
      <c r="Y62" s="188"/>
      <c r="Z62" s="188"/>
    </row>
    <row r="63" spans="1:26" ht="16.5" customHeight="1">
      <c r="A63" s="188"/>
      <c r="B63" s="188"/>
      <c r="C63" s="188"/>
      <c r="D63" s="190"/>
      <c r="E63" s="190"/>
      <c r="F63" s="190"/>
      <c r="G63" s="189"/>
      <c r="H63" s="188"/>
      <c r="I63" s="188"/>
      <c r="J63" s="188"/>
      <c r="K63" s="188"/>
      <c r="L63" s="188"/>
      <c r="M63" s="188"/>
      <c r="N63" s="188"/>
      <c r="O63" s="188"/>
      <c r="P63" s="188"/>
      <c r="Q63" s="188"/>
      <c r="R63" s="188"/>
      <c r="S63" s="188"/>
      <c r="T63" s="188"/>
      <c r="U63" s="188"/>
      <c r="V63" s="188"/>
      <c r="W63" s="188"/>
      <c r="X63" s="188"/>
      <c r="Y63" s="188"/>
      <c r="Z63" s="188"/>
    </row>
    <row r="64" spans="1:26" ht="16.5" customHeight="1">
      <c r="A64" s="188"/>
      <c r="B64" s="188"/>
      <c r="C64" s="188"/>
      <c r="D64" s="190"/>
      <c r="E64" s="190"/>
      <c r="F64" s="190"/>
      <c r="G64" s="189"/>
      <c r="H64" s="188"/>
      <c r="I64" s="188"/>
      <c r="J64" s="188"/>
      <c r="K64" s="188"/>
      <c r="L64" s="188"/>
      <c r="M64" s="188"/>
      <c r="N64" s="188"/>
      <c r="O64" s="188"/>
      <c r="P64" s="188"/>
      <c r="Q64" s="188"/>
      <c r="R64" s="188"/>
      <c r="S64" s="188"/>
      <c r="T64" s="188"/>
      <c r="U64" s="188"/>
      <c r="V64" s="188"/>
      <c r="W64" s="188"/>
      <c r="X64" s="188"/>
      <c r="Y64" s="188"/>
      <c r="Z64" s="188"/>
    </row>
    <row r="65" spans="1:26" ht="16.5" customHeight="1">
      <c r="A65" s="188"/>
      <c r="B65" s="188"/>
      <c r="C65" s="188"/>
      <c r="D65" s="190"/>
      <c r="E65" s="190"/>
      <c r="F65" s="190"/>
      <c r="G65" s="189"/>
      <c r="H65" s="188"/>
      <c r="I65" s="188"/>
      <c r="J65" s="188"/>
      <c r="K65" s="188"/>
      <c r="L65" s="188"/>
      <c r="M65" s="188"/>
      <c r="N65" s="188"/>
      <c r="O65" s="188"/>
      <c r="P65" s="188"/>
      <c r="Q65" s="188"/>
      <c r="R65" s="188"/>
      <c r="S65" s="188"/>
      <c r="T65" s="188"/>
      <c r="U65" s="188"/>
      <c r="V65" s="188"/>
      <c r="W65" s="188"/>
      <c r="X65" s="188"/>
      <c r="Y65" s="188"/>
      <c r="Z65" s="188"/>
    </row>
    <row r="66" spans="1:26" ht="16.5" customHeight="1">
      <c r="A66" s="188"/>
      <c r="B66" s="188"/>
      <c r="C66" s="188"/>
      <c r="D66" s="190"/>
      <c r="E66" s="190"/>
      <c r="F66" s="190"/>
      <c r="G66" s="189"/>
      <c r="H66" s="188"/>
      <c r="I66" s="188"/>
      <c r="J66" s="188"/>
      <c r="K66" s="188"/>
      <c r="L66" s="188"/>
      <c r="M66" s="188"/>
      <c r="N66" s="188"/>
      <c r="O66" s="188"/>
      <c r="P66" s="188"/>
      <c r="Q66" s="188"/>
      <c r="R66" s="188"/>
      <c r="S66" s="188"/>
      <c r="T66" s="188"/>
      <c r="U66" s="188"/>
      <c r="V66" s="188"/>
      <c r="W66" s="188"/>
      <c r="X66" s="188"/>
      <c r="Y66" s="188"/>
      <c r="Z66" s="188"/>
    </row>
    <row r="67" spans="1:26" ht="16.5" customHeight="1">
      <c r="A67" s="188"/>
      <c r="B67" s="188"/>
      <c r="C67" s="188"/>
      <c r="D67" s="190"/>
      <c r="E67" s="190"/>
      <c r="F67" s="190"/>
      <c r="G67" s="189"/>
      <c r="H67" s="188"/>
      <c r="I67" s="188"/>
      <c r="J67" s="188"/>
      <c r="K67" s="188"/>
      <c r="L67" s="188"/>
      <c r="M67" s="188"/>
      <c r="N67" s="188"/>
      <c r="O67" s="188"/>
      <c r="P67" s="188"/>
      <c r="Q67" s="188"/>
      <c r="R67" s="188"/>
      <c r="S67" s="188"/>
      <c r="T67" s="188"/>
      <c r="U67" s="188"/>
      <c r="V67" s="188"/>
      <c r="W67" s="188"/>
      <c r="X67" s="188"/>
      <c r="Y67" s="188"/>
      <c r="Z67" s="188"/>
    </row>
    <row r="68" spans="1:26" ht="16.5" customHeight="1">
      <c r="A68" s="188"/>
      <c r="B68" s="188"/>
      <c r="C68" s="188"/>
      <c r="D68" s="190"/>
      <c r="E68" s="190"/>
      <c r="F68" s="190"/>
      <c r="G68" s="189"/>
      <c r="H68" s="188"/>
      <c r="I68" s="188"/>
      <c r="J68" s="188"/>
      <c r="K68" s="188"/>
      <c r="L68" s="188"/>
      <c r="M68" s="188"/>
      <c r="N68" s="188"/>
      <c r="O68" s="188"/>
      <c r="P68" s="188"/>
      <c r="Q68" s="188"/>
      <c r="R68" s="188"/>
      <c r="S68" s="188"/>
      <c r="T68" s="188"/>
      <c r="U68" s="188"/>
      <c r="V68" s="188"/>
      <c r="W68" s="188"/>
      <c r="X68" s="188"/>
      <c r="Y68" s="188"/>
      <c r="Z68" s="188"/>
    </row>
    <row r="69" spans="1:26" ht="16.5" customHeight="1">
      <c r="A69" s="188"/>
      <c r="B69" s="188"/>
      <c r="C69" s="188"/>
      <c r="D69" s="190"/>
      <c r="E69" s="190"/>
      <c r="F69" s="190"/>
      <c r="G69" s="189"/>
      <c r="H69" s="188"/>
      <c r="I69" s="188"/>
      <c r="J69" s="188"/>
      <c r="K69" s="188"/>
      <c r="L69" s="188"/>
      <c r="M69" s="188"/>
      <c r="N69" s="188"/>
      <c r="O69" s="188"/>
      <c r="P69" s="188"/>
      <c r="Q69" s="188"/>
      <c r="R69" s="188"/>
      <c r="S69" s="188"/>
      <c r="T69" s="188"/>
      <c r="U69" s="188"/>
      <c r="V69" s="188"/>
      <c r="W69" s="188"/>
      <c r="X69" s="188"/>
      <c r="Y69" s="188"/>
      <c r="Z69" s="188"/>
    </row>
    <row r="70" spans="1:26" ht="16.5" customHeight="1">
      <c r="A70" s="188"/>
      <c r="B70" s="188"/>
      <c r="C70" s="188"/>
      <c r="D70" s="190"/>
      <c r="E70" s="190"/>
      <c r="F70" s="190"/>
      <c r="G70" s="189"/>
      <c r="H70" s="188"/>
      <c r="I70" s="188"/>
      <c r="J70" s="188"/>
      <c r="K70" s="188"/>
      <c r="L70" s="188"/>
      <c r="M70" s="188"/>
      <c r="N70" s="188"/>
      <c r="O70" s="188"/>
      <c r="P70" s="188"/>
      <c r="Q70" s="188"/>
      <c r="R70" s="188"/>
      <c r="S70" s="188"/>
      <c r="T70" s="188"/>
      <c r="U70" s="188"/>
      <c r="V70" s="188"/>
      <c r="W70" s="188"/>
      <c r="X70" s="188"/>
      <c r="Y70" s="188"/>
      <c r="Z70" s="188"/>
    </row>
    <row r="71" spans="1:26" ht="16.5" customHeight="1">
      <c r="A71" s="188"/>
      <c r="B71" s="188"/>
      <c r="C71" s="188"/>
      <c r="D71" s="190"/>
      <c r="E71" s="190"/>
      <c r="F71" s="190"/>
      <c r="G71" s="189"/>
      <c r="H71" s="188"/>
      <c r="I71" s="188"/>
      <c r="J71" s="188"/>
      <c r="K71" s="188"/>
      <c r="L71" s="188"/>
      <c r="M71" s="188"/>
      <c r="N71" s="188"/>
      <c r="O71" s="188"/>
      <c r="P71" s="188"/>
      <c r="Q71" s="188"/>
      <c r="R71" s="188"/>
      <c r="S71" s="188"/>
      <c r="T71" s="188"/>
      <c r="U71" s="188"/>
      <c r="V71" s="188"/>
      <c r="W71" s="188"/>
      <c r="X71" s="188"/>
      <c r="Y71" s="188"/>
      <c r="Z71" s="188"/>
    </row>
    <row r="72" spans="1:26" ht="16.5" customHeight="1">
      <c r="A72" s="188"/>
      <c r="B72" s="188"/>
      <c r="C72" s="188"/>
      <c r="D72" s="190"/>
      <c r="E72" s="190"/>
      <c r="F72" s="190"/>
      <c r="G72" s="189"/>
      <c r="H72" s="188"/>
      <c r="I72" s="188"/>
      <c r="J72" s="188"/>
      <c r="K72" s="188"/>
      <c r="L72" s="188"/>
      <c r="M72" s="188"/>
      <c r="N72" s="188"/>
      <c r="O72" s="188"/>
      <c r="P72" s="188"/>
      <c r="Q72" s="188"/>
      <c r="R72" s="188"/>
      <c r="S72" s="188"/>
      <c r="T72" s="188"/>
      <c r="U72" s="188"/>
      <c r="V72" s="188"/>
      <c r="W72" s="188"/>
      <c r="X72" s="188"/>
      <c r="Y72" s="188"/>
      <c r="Z72" s="188"/>
    </row>
    <row r="73" spans="1:26" ht="16.5" customHeight="1">
      <c r="A73" s="188"/>
      <c r="B73" s="188"/>
      <c r="C73" s="188"/>
      <c r="D73" s="190"/>
      <c r="E73" s="190"/>
      <c r="F73" s="190"/>
      <c r="G73" s="189"/>
      <c r="H73" s="188"/>
      <c r="I73" s="188"/>
      <c r="J73" s="188"/>
      <c r="K73" s="188"/>
      <c r="L73" s="188"/>
      <c r="M73" s="188"/>
      <c r="N73" s="188"/>
      <c r="O73" s="188"/>
      <c r="P73" s="188"/>
      <c r="Q73" s="188"/>
      <c r="R73" s="188"/>
      <c r="S73" s="188"/>
      <c r="T73" s="188"/>
      <c r="U73" s="188"/>
      <c r="V73" s="188"/>
      <c r="W73" s="188"/>
      <c r="X73" s="188"/>
      <c r="Y73" s="188"/>
      <c r="Z73" s="188"/>
    </row>
    <row r="74" spans="1:26" ht="16.5" customHeight="1">
      <c r="A74" s="188"/>
      <c r="B74" s="188"/>
      <c r="C74" s="188"/>
      <c r="D74" s="190"/>
      <c r="E74" s="190"/>
      <c r="F74" s="190"/>
      <c r="G74" s="189"/>
      <c r="H74" s="188"/>
      <c r="I74" s="188"/>
      <c r="J74" s="188"/>
      <c r="K74" s="188"/>
      <c r="L74" s="188"/>
      <c r="M74" s="188"/>
      <c r="N74" s="188"/>
      <c r="O74" s="188"/>
      <c r="P74" s="188"/>
      <c r="Q74" s="188"/>
      <c r="R74" s="188"/>
      <c r="S74" s="188"/>
      <c r="T74" s="188"/>
      <c r="U74" s="188"/>
      <c r="V74" s="188"/>
      <c r="W74" s="188"/>
      <c r="X74" s="188"/>
      <c r="Y74" s="188"/>
      <c r="Z74" s="188"/>
    </row>
    <row r="75" spans="1:26" ht="16.5" customHeight="1">
      <c r="A75" s="188"/>
      <c r="B75" s="188"/>
      <c r="C75" s="188"/>
      <c r="D75" s="190"/>
      <c r="E75" s="190"/>
      <c r="F75" s="190"/>
      <c r="G75" s="189"/>
      <c r="H75" s="188"/>
      <c r="I75" s="188"/>
      <c r="J75" s="188"/>
      <c r="K75" s="188"/>
      <c r="L75" s="188"/>
      <c r="M75" s="188"/>
      <c r="N75" s="188"/>
      <c r="O75" s="188"/>
      <c r="P75" s="188"/>
      <c r="Q75" s="188"/>
      <c r="R75" s="188"/>
      <c r="S75" s="188"/>
      <c r="T75" s="188"/>
      <c r="U75" s="188"/>
      <c r="V75" s="188"/>
      <c r="W75" s="188"/>
      <c r="X75" s="188"/>
      <c r="Y75" s="188"/>
      <c r="Z75" s="188"/>
    </row>
    <row r="76" spans="1:26" ht="16.5" customHeight="1">
      <c r="A76" s="188"/>
      <c r="B76" s="188"/>
      <c r="C76" s="188"/>
      <c r="D76" s="190"/>
      <c r="E76" s="190"/>
      <c r="F76" s="190"/>
      <c r="G76" s="189"/>
      <c r="H76" s="188"/>
      <c r="I76" s="188"/>
      <c r="J76" s="188"/>
      <c r="K76" s="188"/>
      <c r="L76" s="188"/>
      <c r="M76" s="188"/>
      <c r="N76" s="188"/>
      <c r="O76" s="188"/>
      <c r="P76" s="188"/>
      <c r="Q76" s="188"/>
      <c r="R76" s="188"/>
      <c r="S76" s="188"/>
      <c r="T76" s="188"/>
      <c r="U76" s="188"/>
      <c r="V76" s="188"/>
      <c r="W76" s="188"/>
      <c r="X76" s="188"/>
      <c r="Y76" s="188"/>
      <c r="Z76" s="188"/>
    </row>
    <row r="77" spans="1:26" ht="16.5" customHeight="1">
      <c r="A77" s="188"/>
      <c r="B77" s="188"/>
      <c r="C77" s="188"/>
      <c r="D77" s="190"/>
      <c r="E77" s="190"/>
      <c r="F77" s="190"/>
      <c r="G77" s="189"/>
      <c r="H77" s="188"/>
      <c r="I77" s="188"/>
      <c r="J77" s="188"/>
      <c r="K77" s="188"/>
      <c r="L77" s="188"/>
      <c r="M77" s="188"/>
      <c r="N77" s="188"/>
      <c r="O77" s="188"/>
      <c r="P77" s="188"/>
      <c r="Q77" s="188"/>
      <c r="R77" s="188"/>
      <c r="S77" s="188"/>
      <c r="T77" s="188"/>
      <c r="U77" s="188"/>
      <c r="V77" s="188"/>
      <c r="W77" s="188"/>
      <c r="X77" s="188"/>
      <c r="Y77" s="188"/>
      <c r="Z77" s="188"/>
    </row>
    <row r="78" spans="1:26" ht="16.5" customHeight="1">
      <c r="A78" s="188"/>
      <c r="B78" s="188"/>
      <c r="C78" s="188"/>
      <c r="D78" s="190"/>
      <c r="E78" s="190"/>
      <c r="F78" s="190"/>
      <c r="G78" s="189"/>
      <c r="H78" s="188"/>
      <c r="I78" s="188"/>
      <c r="J78" s="188"/>
      <c r="K78" s="188"/>
      <c r="L78" s="188"/>
      <c r="M78" s="188"/>
      <c r="N78" s="188"/>
      <c r="O78" s="188"/>
      <c r="P78" s="188"/>
      <c r="Q78" s="188"/>
      <c r="R78" s="188"/>
      <c r="S78" s="188"/>
      <c r="T78" s="188"/>
      <c r="U78" s="188"/>
      <c r="V78" s="188"/>
      <c r="W78" s="188"/>
      <c r="X78" s="188"/>
      <c r="Y78" s="188"/>
      <c r="Z78" s="188"/>
    </row>
    <row r="79" spans="1:26" ht="16.5" customHeight="1">
      <c r="A79" s="188"/>
      <c r="B79" s="188"/>
      <c r="C79" s="188"/>
      <c r="D79" s="190"/>
      <c r="E79" s="190"/>
      <c r="F79" s="190"/>
      <c r="G79" s="189"/>
      <c r="H79" s="188"/>
      <c r="I79" s="188"/>
      <c r="J79" s="188"/>
      <c r="K79" s="188"/>
      <c r="L79" s="188"/>
      <c r="M79" s="188"/>
      <c r="N79" s="188"/>
      <c r="O79" s="188"/>
      <c r="P79" s="188"/>
      <c r="Q79" s="188"/>
      <c r="R79" s="188"/>
      <c r="S79" s="188"/>
      <c r="T79" s="188"/>
      <c r="U79" s="188"/>
      <c r="V79" s="188"/>
      <c r="W79" s="188"/>
      <c r="X79" s="188"/>
      <c r="Y79" s="188"/>
      <c r="Z79" s="188"/>
    </row>
    <row r="80" spans="1:26" ht="16.5" customHeight="1">
      <c r="A80" s="188"/>
      <c r="B80" s="188"/>
      <c r="C80" s="188"/>
      <c r="D80" s="190"/>
      <c r="E80" s="190"/>
      <c r="F80" s="190"/>
      <c r="G80" s="189"/>
      <c r="H80" s="188"/>
      <c r="I80" s="188"/>
      <c r="J80" s="188"/>
      <c r="K80" s="188"/>
      <c r="L80" s="188"/>
      <c r="M80" s="188"/>
      <c r="N80" s="188"/>
      <c r="O80" s="188"/>
      <c r="P80" s="188"/>
      <c r="Q80" s="188"/>
      <c r="R80" s="188"/>
      <c r="S80" s="188"/>
      <c r="T80" s="188"/>
      <c r="U80" s="188"/>
      <c r="V80" s="188"/>
      <c r="W80" s="188"/>
      <c r="X80" s="188"/>
      <c r="Y80" s="188"/>
      <c r="Z80" s="188"/>
    </row>
    <row r="81" spans="1:26" ht="16.5" customHeight="1">
      <c r="A81" s="188"/>
      <c r="B81" s="188"/>
      <c r="C81" s="188"/>
      <c r="D81" s="190"/>
      <c r="E81" s="190"/>
      <c r="F81" s="190"/>
      <c r="G81" s="189"/>
      <c r="H81" s="188"/>
      <c r="I81" s="188"/>
      <c r="J81" s="188"/>
      <c r="K81" s="188"/>
      <c r="L81" s="188"/>
      <c r="M81" s="188"/>
      <c r="N81" s="188"/>
      <c r="O81" s="188"/>
      <c r="P81" s="188"/>
      <c r="Q81" s="188"/>
      <c r="R81" s="188"/>
      <c r="S81" s="188"/>
      <c r="T81" s="188"/>
      <c r="U81" s="188"/>
      <c r="V81" s="188"/>
      <c r="W81" s="188"/>
      <c r="X81" s="188"/>
      <c r="Y81" s="188"/>
      <c r="Z81" s="188"/>
    </row>
    <row r="82" spans="1:26" ht="16.5" customHeight="1">
      <c r="A82" s="188"/>
      <c r="B82" s="188"/>
      <c r="C82" s="188"/>
      <c r="D82" s="190"/>
      <c r="E82" s="190"/>
      <c r="F82" s="190"/>
      <c r="G82" s="189"/>
      <c r="H82" s="188"/>
      <c r="I82" s="188"/>
      <c r="J82" s="188"/>
      <c r="K82" s="188"/>
      <c r="L82" s="188"/>
      <c r="M82" s="188"/>
      <c r="N82" s="188"/>
      <c r="O82" s="188"/>
      <c r="P82" s="188"/>
      <c r="Q82" s="188"/>
      <c r="R82" s="188"/>
      <c r="S82" s="188"/>
      <c r="T82" s="188"/>
      <c r="U82" s="188"/>
      <c r="V82" s="188"/>
      <c r="W82" s="188"/>
      <c r="X82" s="188"/>
      <c r="Y82" s="188"/>
      <c r="Z82" s="188"/>
    </row>
    <row r="83" spans="1:26" ht="16.5" customHeight="1">
      <c r="A83" s="188"/>
      <c r="B83" s="188"/>
      <c r="C83" s="188"/>
      <c r="D83" s="190"/>
      <c r="E83" s="190"/>
      <c r="F83" s="190"/>
      <c r="G83" s="189"/>
      <c r="H83" s="188"/>
      <c r="I83" s="188"/>
      <c r="J83" s="188"/>
      <c r="K83" s="188"/>
      <c r="L83" s="188"/>
      <c r="M83" s="188"/>
      <c r="N83" s="188"/>
      <c r="O83" s="188"/>
      <c r="P83" s="188"/>
      <c r="Q83" s="188"/>
      <c r="R83" s="188"/>
      <c r="S83" s="188"/>
      <c r="T83" s="188"/>
      <c r="U83" s="188"/>
      <c r="V83" s="188"/>
      <c r="W83" s="188"/>
      <c r="X83" s="188"/>
      <c r="Y83" s="188"/>
      <c r="Z83" s="188"/>
    </row>
    <row r="84" spans="1:26" ht="16.5" customHeight="1">
      <c r="A84" s="188"/>
      <c r="B84" s="188"/>
      <c r="C84" s="188"/>
      <c r="D84" s="190"/>
      <c r="E84" s="190"/>
      <c r="F84" s="190"/>
      <c r="G84" s="189"/>
      <c r="H84" s="188"/>
      <c r="I84" s="188"/>
      <c r="J84" s="188"/>
      <c r="K84" s="188"/>
      <c r="L84" s="188"/>
      <c r="M84" s="188"/>
      <c r="N84" s="188"/>
      <c r="O84" s="188"/>
      <c r="P84" s="188"/>
      <c r="Q84" s="188"/>
      <c r="R84" s="188"/>
      <c r="S84" s="188"/>
      <c r="T84" s="188"/>
      <c r="U84" s="188"/>
      <c r="V84" s="188"/>
      <c r="W84" s="188"/>
      <c r="X84" s="188"/>
      <c r="Y84" s="188"/>
      <c r="Z84" s="188"/>
    </row>
    <row r="85" spans="1:26" ht="16.5" customHeight="1">
      <c r="A85" s="188"/>
      <c r="B85" s="188"/>
      <c r="C85" s="188"/>
      <c r="D85" s="190"/>
      <c r="E85" s="190"/>
      <c r="F85" s="190"/>
      <c r="G85" s="189"/>
      <c r="H85" s="188"/>
      <c r="I85" s="188"/>
      <c r="J85" s="188"/>
      <c r="K85" s="188"/>
      <c r="L85" s="188"/>
      <c r="M85" s="188"/>
      <c r="N85" s="188"/>
      <c r="O85" s="188"/>
      <c r="P85" s="188"/>
      <c r="Q85" s="188"/>
      <c r="R85" s="188"/>
      <c r="S85" s="188"/>
      <c r="T85" s="188"/>
      <c r="U85" s="188"/>
      <c r="V85" s="188"/>
      <c r="W85" s="188"/>
      <c r="X85" s="188"/>
      <c r="Y85" s="188"/>
      <c r="Z85" s="188"/>
    </row>
    <row r="86" spans="1:26" ht="16.5" customHeight="1">
      <c r="A86" s="188"/>
      <c r="B86" s="188"/>
      <c r="C86" s="188"/>
      <c r="D86" s="190"/>
      <c r="E86" s="190"/>
      <c r="F86" s="190"/>
      <c r="G86" s="189"/>
      <c r="H86" s="188"/>
      <c r="I86" s="188"/>
      <c r="J86" s="188"/>
      <c r="K86" s="188"/>
      <c r="L86" s="188"/>
      <c r="M86" s="188"/>
      <c r="N86" s="188"/>
      <c r="O86" s="188"/>
      <c r="P86" s="188"/>
      <c r="Q86" s="188"/>
      <c r="R86" s="188"/>
      <c r="S86" s="188"/>
      <c r="T86" s="188"/>
      <c r="U86" s="188"/>
      <c r="V86" s="188"/>
      <c r="W86" s="188"/>
      <c r="X86" s="188"/>
      <c r="Y86" s="188"/>
      <c r="Z86" s="188"/>
    </row>
    <row r="87" spans="1:26" ht="16.5" customHeight="1">
      <c r="A87" s="188"/>
      <c r="B87" s="188"/>
      <c r="C87" s="188"/>
      <c r="D87" s="190"/>
      <c r="E87" s="190"/>
      <c r="F87" s="190"/>
      <c r="G87" s="189"/>
      <c r="H87" s="188"/>
      <c r="I87" s="188"/>
      <c r="J87" s="188"/>
      <c r="K87" s="188"/>
      <c r="L87" s="188"/>
      <c r="M87" s="188"/>
      <c r="N87" s="188"/>
      <c r="O87" s="188"/>
      <c r="P87" s="188"/>
      <c r="Q87" s="188"/>
      <c r="R87" s="188"/>
      <c r="S87" s="188"/>
      <c r="T87" s="188"/>
      <c r="U87" s="188"/>
      <c r="V87" s="188"/>
      <c r="W87" s="188"/>
      <c r="X87" s="188"/>
      <c r="Y87" s="188"/>
      <c r="Z87" s="188"/>
    </row>
    <row r="88" spans="1:26" ht="16.5" customHeight="1">
      <c r="A88" s="188"/>
      <c r="B88" s="188"/>
      <c r="C88" s="188"/>
      <c r="D88" s="190"/>
      <c r="E88" s="190"/>
      <c r="F88" s="190"/>
      <c r="G88" s="189"/>
      <c r="H88" s="188"/>
      <c r="I88" s="188"/>
      <c r="J88" s="188"/>
      <c r="K88" s="188"/>
      <c r="L88" s="188"/>
      <c r="M88" s="188"/>
      <c r="N88" s="188"/>
      <c r="O88" s="188"/>
      <c r="P88" s="188"/>
      <c r="Q88" s="188"/>
      <c r="R88" s="188"/>
      <c r="S88" s="188"/>
      <c r="T88" s="188"/>
      <c r="U88" s="188"/>
      <c r="V88" s="188"/>
      <c r="W88" s="188"/>
      <c r="X88" s="188"/>
      <c r="Y88" s="188"/>
      <c r="Z88" s="188"/>
    </row>
    <row r="89" spans="1:26" ht="16.5" customHeight="1">
      <c r="A89" s="188"/>
      <c r="B89" s="188"/>
      <c r="C89" s="188"/>
      <c r="D89" s="190"/>
      <c r="E89" s="190"/>
      <c r="F89" s="190"/>
      <c r="G89" s="189"/>
      <c r="H89" s="188"/>
      <c r="I89" s="188"/>
      <c r="J89" s="188"/>
      <c r="K89" s="188"/>
      <c r="L89" s="188"/>
      <c r="M89" s="188"/>
      <c r="N89" s="188"/>
      <c r="O89" s="188"/>
      <c r="P89" s="188"/>
      <c r="Q89" s="188"/>
      <c r="R89" s="188"/>
      <c r="S89" s="188"/>
      <c r="T89" s="188"/>
      <c r="U89" s="188"/>
      <c r="V89" s="188"/>
      <c r="W89" s="188"/>
      <c r="X89" s="188"/>
      <c r="Y89" s="188"/>
      <c r="Z89" s="188"/>
    </row>
    <row r="90" spans="1:26" ht="16.5" customHeight="1">
      <c r="A90" s="188"/>
      <c r="B90" s="188"/>
      <c r="C90" s="188"/>
      <c r="D90" s="190"/>
      <c r="E90" s="190"/>
      <c r="F90" s="190"/>
      <c r="G90" s="189"/>
      <c r="H90" s="188"/>
      <c r="I90" s="188"/>
      <c r="J90" s="188"/>
      <c r="K90" s="188"/>
      <c r="L90" s="188"/>
      <c r="M90" s="188"/>
      <c r="N90" s="188"/>
      <c r="O90" s="188"/>
      <c r="P90" s="188"/>
      <c r="Q90" s="188"/>
      <c r="R90" s="188"/>
      <c r="S90" s="188"/>
      <c r="T90" s="188"/>
      <c r="U90" s="188"/>
      <c r="V90" s="188"/>
      <c r="W90" s="188"/>
      <c r="X90" s="188"/>
      <c r="Y90" s="188"/>
      <c r="Z90" s="188"/>
    </row>
    <row r="91" spans="1:26" ht="16.5" customHeight="1">
      <c r="A91" s="188"/>
      <c r="B91" s="188"/>
      <c r="C91" s="188"/>
      <c r="D91" s="190"/>
      <c r="E91" s="190"/>
      <c r="F91" s="190"/>
      <c r="G91" s="189"/>
      <c r="H91" s="188"/>
      <c r="I91" s="188"/>
      <c r="J91" s="188"/>
      <c r="K91" s="188"/>
      <c r="L91" s="188"/>
      <c r="M91" s="188"/>
      <c r="N91" s="188"/>
      <c r="O91" s="188"/>
      <c r="P91" s="188"/>
      <c r="Q91" s="188"/>
      <c r="R91" s="188"/>
      <c r="S91" s="188"/>
      <c r="T91" s="188"/>
      <c r="U91" s="188"/>
      <c r="V91" s="188"/>
      <c r="W91" s="188"/>
      <c r="X91" s="188"/>
      <c r="Y91" s="188"/>
      <c r="Z91" s="188"/>
    </row>
    <row r="92" spans="1:26" ht="16.5" customHeight="1">
      <c r="A92" s="188"/>
      <c r="B92" s="188"/>
      <c r="C92" s="188"/>
      <c r="D92" s="190"/>
      <c r="E92" s="190"/>
      <c r="F92" s="190"/>
      <c r="G92" s="189"/>
      <c r="H92" s="188"/>
      <c r="I92" s="188"/>
      <c r="J92" s="188"/>
      <c r="K92" s="188"/>
      <c r="L92" s="188"/>
      <c r="M92" s="188"/>
      <c r="N92" s="188"/>
      <c r="O92" s="188"/>
      <c r="P92" s="188"/>
      <c r="Q92" s="188"/>
      <c r="R92" s="188"/>
      <c r="S92" s="188"/>
      <c r="T92" s="188"/>
      <c r="U92" s="188"/>
      <c r="V92" s="188"/>
      <c r="W92" s="188"/>
      <c r="X92" s="188"/>
      <c r="Y92" s="188"/>
      <c r="Z92" s="188"/>
    </row>
    <row r="93" spans="1:26" ht="16.5" customHeight="1">
      <c r="A93" s="188"/>
      <c r="B93" s="188"/>
      <c r="C93" s="188"/>
      <c r="D93" s="190"/>
      <c r="E93" s="190"/>
      <c r="F93" s="190"/>
      <c r="G93" s="189"/>
      <c r="H93" s="188"/>
      <c r="I93" s="188"/>
      <c r="J93" s="188"/>
      <c r="K93" s="188"/>
      <c r="L93" s="188"/>
      <c r="M93" s="188"/>
      <c r="N93" s="188"/>
      <c r="O93" s="188"/>
      <c r="P93" s="188"/>
      <c r="Q93" s="188"/>
      <c r="R93" s="188"/>
      <c r="S93" s="188"/>
      <c r="T93" s="188"/>
      <c r="U93" s="188"/>
      <c r="V93" s="188"/>
      <c r="W93" s="188"/>
      <c r="X93" s="188"/>
      <c r="Y93" s="188"/>
      <c r="Z93" s="188"/>
    </row>
    <row r="94" spans="1:26" ht="16.5" customHeight="1">
      <c r="A94" s="188"/>
      <c r="B94" s="188"/>
      <c r="C94" s="188"/>
      <c r="D94" s="190"/>
      <c r="E94" s="190"/>
      <c r="F94" s="190"/>
      <c r="G94" s="189"/>
      <c r="H94" s="188"/>
      <c r="I94" s="188"/>
      <c r="J94" s="188"/>
      <c r="K94" s="188"/>
      <c r="L94" s="188"/>
      <c r="M94" s="188"/>
      <c r="N94" s="188"/>
      <c r="O94" s="188"/>
      <c r="P94" s="188"/>
      <c r="Q94" s="188"/>
      <c r="R94" s="188"/>
      <c r="S94" s="188"/>
      <c r="T94" s="188"/>
      <c r="U94" s="188"/>
      <c r="V94" s="188"/>
      <c r="W94" s="188"/>
      <c r="X94" s="188"/>
      <c r="Y94" s="188"/>
      <c r="Z94" s="188"/>
    </row>
    <row r="95" spans="1:26" ht="16.5" customHeight="1">
      <c r="A95" s="188"/>
      <c r="B95" s="188"/>
      <c r="C95" s="188"/>
      <c r="D95" s="190"/>
      <c r="E95" s="190"/>
      <c r="F95" s="190"/>
      <c r="G95" s="189"/>
      <c r="H95" s="188"/>
      <c r="I95" s="188"/>
      <c r="J95" s="188"/>
      <c r="K95" s="188"/>
      <c r="L95" s="188"/>
      <c r="M95" s="188"/>
      <c r="N95" s="188"/>
      <c r="O95" s="188"/>
      <c r="P95" s="188"/>
      <c r="Q95" s="188"/>
      <c r="R95" s="188"/>
      <c r="S95" s="188"/>
      <c r="T95" s="188"/>
      <c r="U95" s="188"/>
      <c r="V95" s="188"/>
      <c r="W95" s="188"/>
      <c r="X95" s="188"/>
      <c r="Y95" s="188"/>
      <c r="Z95" s="188"/>
    </row>
    <row r="96" spans="1:26" ht="16.5" customHeight="1">
      <c r="A96" s="188"/>
      <c r="B96" s="188"/>
      <c r="C96" s="188"/>
      <c r="D96" s="190"/>
      <c r="E96" s="190"/>
      <c r="F96" s="190"/>
      <c r="G96" s="189"/>
      <c r="H96" s="188"/>
      <c r="I96" s="188"/>
      <c r="J96" s="188"/>
      <c r="K96" s="188"/>
      <c r="L96" s="188"/>
      <c r="M96" s="188"/>
      <c r="N96" s="188"/>
      <c r="O96" s="188"/>
      <c r="P96" s="188"/>
      <c r="Q96" s="188"/>
      <c r="R96" s="188"/>
      <c r="S96" s="188"/>
      <c r="T96" s="188"/>
      <c r="U96" s="188"/>
      <c r="V96" s="188"/>
      <c r="W96" s="188"/>
      <c r="X96" s="188"/>
      <c r="Y96" s="188"/>
      <c r="Z96" s="188"/>
    </row>
    <row r="97" spans="1:26" ht="16.5" customHeight="1">
      <c r="A97" s="188"/>
      <c r="B97" s="188"/>
      <c r="C97" s="188"/>
      <c r="D97" s="190"/>
      <c r="E97" s="190"/>
      <c r="F97" s="190"/>
      <c r="G97" s="189"/>
      <c r="H97" s="188"/>
      <c r="I97" s="188"/>
      <c r="J97" s="188"/>
      <c r="K97" s="188"/>
      <c r="L97" s="188"/>
      <c r="M97" s="188"/>
      <c r="N97" s="188"/>
      <c r="O97" s="188"/>
      <c r="P97" s="188"/>
      <c r="Q97" s="188"/>
      <c r="R97" s="188"/>
      <c r="S97" s="188"/>
      <c r="T97" s="188"/>
      <c r="U97" s="188"/>
      <c r="V97" s="188"/>
      <c r="W97" s="188"/>
      <c r="X97" s="188"/>
      <c r="Y97" s="188"/>
      <c r="Z97" s="188"/>
    </row>
    <row r="98" spans="1:26" ht="16.5" customHeight="1">
      <c r="A98" s="188"/>
      <c r="B98" s="188"/>
      <c r="C98" s="188"/>
      <c r="D98" s="190"/>
      <c r="E98" s="190"/>
      <c r="F98" s="190"/>
      <c r="G98" s="189"/>
      <c r="H98" s="188"/>
      <c r="I98" s="188"/>
      <c r="J98" s="188"/>
      <c r="K98" s="188"/>
      <c r="L98" s="188"/>
      <c r="M98" s="188"/>
      <c r="N98" s="188"/>
      <c r="O98" s="188"/>
      <c r="P98" s="188"/>
      <c r="Q98" s="188"/>
      <c r="R98" s="188"/>
      <c r="S98" s="188"/>
      <c r="T98" s="188"/>
      <c r="U98" s="188"/>
      <c r="V98" s="188"/>
      <c r="W98" s="188"/>
      <c r="X98" s="188"/>
      <c r="Y98" s="188"/>
      <c r="Z98" s="188"/>
    </row>
    <row r="99" spans="1:26" ht="16.5" customHeight="1">
      <c r="A99" s="188"/>
      <c r="B99" s="188"/>
      <c r="C99" s="188"/>
      <c r="D99" s="190"/>
      <c r="E99" s="190"/>
      <c r="F99" s="190"/>
      <c r="G99" s="189"/>
      <c r="H99" s="188"/>
      <c r="I99" s="188"/>
      <c r="J99" s="188"/>
      <c r="K99" s="188"/>
      <c r="L99" s="188"/>
      <c r="M99" s="188"/>
      <c r="N99" s="188"/>
      <c r="O99" s="188"/>
      <c r="P99" s="188"/>
      <c r="Q99" s="188"/>
      <c r="R99" s="188"/>
      <c r="S99" s="188"/>
      <c r="T99" s="188"/>
      <c r="U99" s="188"/>
      <c r="V99" s="188"/>
      <c r="W99" s="188"/>
      <c r="X99" s="188"/>
      <c r="Y99" s="188"/>
      <c r="Z99" s="188"/>
    </row>
    <row r="100" spans="1:26" ht="16.5" customHeight="1">
      <c r="A100" s="188"/>
      <c r="B100" s="188"/>
      <c r="C100" s="188"/>
      <c r="D100" s="190"/>
      <c r="E100" s="190"/>
      <c r="F100" s="190"/>
      <c r="G100" s="189"/>
      <c r="H100" s="188"/>
      <c r="I100" s="188"/>
      <c r="J100" s="188"/>
      <c r="K100" s="188"/>
      <c r="L100" s="188"/>
      <c r="M100" s="188"/>
      <c r="N100" s="188"/>
      <c r="O100" s="188"/>
      <c r="P100" s="188"/>
      <c r="Q100" s="188"/>
      <c r="R100" s="188"/>
      <c r="S100" s="188"/>
      <c r="T100" s="188"/>
      <c r="U100" s="188"/>
      <c r="V100" s="188"/>
      <c r="W100" s="188"/>
      <c r="X100" s="188"/>
      <c r="Y100" s="188"/>
      <c r="Z100" s="188"/>
    </row>
    <row r="101" spans="1:26" ht="16.5" customHeight="1">
      <c r="A101" s="188"/>
      <c r="B101" s="188"/>
      <c r="C101" s="188"/>
      <c r="D101" s="190"/>
      <c r="E101" s="190"/>
      <c r="F101" s="190"/>
      <c r="G101" s="189"/>
      <c r="H101" s="188"/>
      <c r="I101" s="188"/>
      <c r="J101" s="188"/>
      <c r="K101" s="188"/>
      <c r="L101" s="188"/>
      <c r="M101" s="188"/>
      <c r="N101" s="188"/>
      <c r="O101" s="188"/>
      <c r="P101" s="188"/>
      <c r="Q101" s="188"/>
      <c r="R101" s="188"/>
      <c r="S101" s="188"/>
      <c r="T101" s="188"/>
      <c r="U101" s="188"/>
      <c r="V101" s="188"/>
      <c r="W101" s="188"/>
      <c r="X101" s="188"/>
      <c r="Y101" s="188"/>
      <c r="Z101" s="188"/>
    </row>
    <row r="102" spans="1:26" ht="16.5" customHeight="1">
      <c r="A102" s="188"/>
      <c r="B102" s="188"/>
      <c r="C102" s="188"/>
      <c r="D102" s="190"/>
      <c r="E102" s="190"/>
      <c r="F102" s="190"/>
      <c r="G102" s="189"/>
      <c r="H102" s="188"/>
      <c r="I102" s="188"/>
      <c r="J102" s="188"/>
      <c r="K102" s="188"/>
      <c r="L102" s="188"/>
      <c r="M102" s="188"/>
      <c r="N102" s="188"/>
      <c r="O102" s="188"/>
      <c r="P102" s="188"/>
      <c r="Q102" s="188"/>
      <c r="R102" s="188"/>
      <c r="S102" s="188"/>
      <c r="T102" s="188"/>
      <c r="U102" s="188"/>
      <c r="V102" s="188"/>
      <c r="W102" s="188"/>
      <c r="X102" s="188"/>
      <c r="Y102" s="188"/>
      <c r="Z102" s="188"/>
    </row>
    <row r="103" spans="1:26" ht="16.5" customHeight="1">
      <c r="A103" s="188"/>
      <c r="B103" s="188"/>
      <c r="C103" s="188"/>
      <c r="D103" s="190"/>
      <c r="E103" s="190"/>
      <c r="F103" s="190"/>
      <c r="G103" s="189"/>
      <c r="H103" s="188"/>
      <c r="I103" s="188"/>
      <c r="J103" s="188"/>
      <c r="K103" s="188"/>
      <c r="L103" s="188"/>
      <c r="M103" s="188"/>
      <c r="N103" s="188"/>
      <c r="O103" s="188"/>
      <c r="P103" s="188"/>
      <c r="Q103" s="188"/>
      <c r="R103" s="188"/>
      <c r="S103" s="188"/>
      <c r="T103" s="188"/>
      <c r="U103" s="188"/>
      <c r="V103" s="188"/>
      <c r="W103" s="188"/>
      <c r="X103" s="188"/>
      <c r="Y103" s="188"/>
      <c r="Z103" s="188"/>
    </row>
    <row r="104" spans="1:26" ht="16.5" customHeight="1">
      <c r="A104" s="188"/>
      <c r="B104" s="188"/>
      <c r="C104" s="188"/>
      <c r="D104" s="190"/>
      <c r="E104" s="190"/>
      <c r="F104" s="190"/>
      <c r="G104" s="189"/>
      <c r="H104" s="188"/>
      <c r="I104" s="188"/>
      <c r="J104" s="188"/>
      <c r="K104" s="188"/>
      <c r="L104" s="188"/>
      <c r="M104" s="188"/>
      <c r="N104" s="188"/>
      <c r="O104" s="188"/>
      <c r="P104" s="188"/>
      <c r="Q104" s="188"/>
      <c r="R104" s="188"/>
      <c r="S104" s="188"/>
      <c r="T104" s="188"/>
      <c r="U104" s="188"/>
      <c r="V104" s="188"/>
      <c r="W104" s="188"/>
      <c r="X104" s="188"/>
      <c r="Y104" s="188"/>
      <c r="Z104" s="188"/>
    </row>
    <row r="105" spans="1:26" ht="16.5" customHeight="1">
      <c r="A105" s="188"/>
      <c r="B105" s="188"/>
      <c r="C105" s="188"/>
      <c r="D105" s="190"/>
      <c r="E105" s="190"/>
      <c r="F105" s="190"/>
      <c r="G105" s="189"/>
      <c r="H105" s="188"/>
      <c r="I105" s="188"/>
      <c r="J105" s="188"/>
      <c r="K105" s="188"/>
      <c r="L105" s="188"/>
      <c r="M105" s="188"/>
      <c r="N105" s="188"/>
      <c r="O105" s="188"/>
      <c r="P105" s="188"/>
      <c r="Q105" s="188"/>
      <c r="R105" s="188"/>
      <c r="S105" s="188"/>
      <c r="T105" s="188"/>
      <c r="U105" s="188"/>
      <c r="V105" s="188"/>
      <c r="W105" s="188"/>
      <c r="X105" s="188"/>
      <c r="Y105" s="188"/>
      <c r="Z105" s="188"/>
    </row>
    <row r="106" spans="1:26" ht="16.5" customHeight="1">
      <c r="A106" s="188"/>
      <c r="B106" s="188"/>
      <c r="C106" s="188"/>
      <c r="D106" s="190"/>
      <c r="E106" s="190"/>
      <c r="F106" s="190"/>
      <c r="G106" s="189"/>
      <c r="H106" s="188"/>
      <c r="I106" s="188"/>
      <c r="J106" s="188"/>
      <c r="K106" s="188"/>
      <c r="L106" s="188"/>
      <c r="M106" s="188"/>
      <c r="N106" s="188"/>
      <c r="O106" s="188"/>
      <c r="P106" s="188"/>
      <c r="Q106" s="188"/>
      <c r="R106" s="188"/>
      <c r="S106" s="188"/>
      <c r="T106" s="188"/>
      <c r="U106" s="188"/>
      <c r="V106" s="188"/>
      <c r="W106" s="188"/>
      <c r="X106" s="188"/>
      <c r="Y106" s="188"/>
      <c r="Z106" s="188"/>
    </row>
    <row r="107" spans="1:26" ht="16.5" customHeight="1">
      <c r="A107" s="188"/>
      <c r="B107" s="188"/>
      <c r="C107" s="188"/>
      <c r="D107" s="190"/>
      <c r="E107" s="190"/>
      <c r="F107" s="190"/>
      <c r="G107" s="189"/>
      <c r="H107" s="188"/>
      <c r="I107" s="188"/>
      <c r="J107" s="188"/>
      <c r="K107" s="188"/>
      <c r="L107" s="188"/>
      <c r="M107" s="188"/>
      <c r="N107" s="188"/>
      <c r="O107" s="188"/>
      <c r="P107" s="188"/>
      <c r="Q107" s="188"/>
      <c r="R107" s="188"/>
      <c r="S107" s="188"/>
      <c r="T107" s="188"/>
      <c r="U107" s="188"/>
      <c r="V107" s="188"/>
      <c r="W107" s="188"/>
      <c r="X107" s="188"/>
      <c r="Y107" s="188"/>
      <c r="Z107" s="188"/>
    </row>
    <row r="108" spans="1:26" ht="16.5" customHeight="1">
      <c r="A108" s="188"/>
      <c r="B108" s="188"/>
      <c r="C108" s="188"/>
      <c r="D108" s="190"/>
      <c r="E108" s="190"/>
      <c r="F108" s="190"/>
      <c r="G108" s="189"/>
      <c r="H108" s="188"/>
      <c r="I108" s="188"/>
      <c r="J108" s="188"/>
      <c r="K108" s="188"/>
      <c r="L108" s="188"/>
      <c r="M108" s="188"/>
      <c r="N108" s="188"/>
      <c r="O108" s="188"/>
      <c r="P108" s="188"/>
      <c r="Q108" s="188"/>
      <c r="R108" s="188"/>
      <c r="S108" s="188"/>
      <c r="T108" s="188"/>
      <c r="U108" s="188"/>
      <c r="V108" s="188"/>
      <c r="W108" s="188"/>
      <c r="X108" s="188"/>
      <c r="Y108" s="188"/>
      <c r="Z108" s="188"/>
    </row>
    <row r="109" spans="1:26" ht="16.5" customHeight="1">
      <c r="A109" s="188"/>
      <c r="B109" s="188"/>
      <c r="C109" s="188"/>
      <c r="D109" s="190"/>
      <c r="E109" s="190"/>
      <c r="F109" s="190"/>
      <c r="G109" s="189"/>
      <c r="H109" s="188"/>
      <c r="I109" s="188"/>
      <c r="J109" s="188"/>
      <c r="K109" s="188"/>
      <c r="L109" s="188"/>
      <c r="M109" s="188"/>
      <c r="N109" s="188"/>
      <c r="O109" s="188"/>
      <c r="P109" s="188"/>
      <c r="Q109" s="188"/>
      <c r="R109" s="188"/>
      <c r="S109" s="188"/>
      <c r="T109" s="188"/>
      <c r="U109" s="188"/>
      <c r="V109" s="188"/>
      <c r="W109" s="188"/>
      <c r="X109" s="188"/>
      <c r="Y109" s="188"/>
      <c r="Z109" s="188"/>
    </row>
    <row r="110" spans="1:26" ht="16.5" customHeight="1">
      <c r="A110" s="188"/>
      <c r="B110" s="188"/>
      <c r="C110" s="188"/>
      <c r="D110" s="190"/>
      <c r="E110" s="190"/>
      <c r="F110" s="190"/>
      <c r="G110" s="189"/>
      <c r="H110" s="188"/>
      <c r="I110" s="188"/>
      <c r="J110" s="188"/>
      <c r="K110" s="188"/>
      <c r="L110" s="188"/>
      <c r="M110" s="188"/>
      <c r="N110" s="188"/>
      <c r="O110" s="188"/>
      <c r="P110" s="188"/>
      <c r="Q110" s="188"/>
      <c r="R110" s="188"/>
      <c r="S110" s="188"/>
      <c r="T110" s="188"/>
      <c r="U110" s="188"/>
      <c r="V110" s="188"/>
      <c r="W110" s="188"/>
      <c r="X110" s="188"/>
      <c r="Y110" s="188"/>
      <c r="Z110" s="188"/>
    </row>
    <row r="111" spans="1:26" ht="16.5" customHeight="1">
      <c r="A111" s="188"/>
      <c r="B111" s="188"/>
      <c r="C111" s="188"/>
      <c r="D111" s="190"/>
      <c r="E111" s="190"/>
      <c r="F111" s="190"/>
      <c r="G111" s="189"/>
      <c r="H111" s="188"/>
      <c r="I111" s="188"/>
      <c r="J111" s="188"/>
      <c r="K111" s="188"/>
      <c r="L111" s="188"/>
      <c r="M111" s="188"/>
      <c r="N111" s="188"/>
      <c r="O111" s="188"/>
      <c r="P111" s="188"/>
      <c r="Q111" s="188"/>
      <c r="R111" s="188"/>
      <c r="S111" s="188"/>
      <c r="T111" s="188"/>
      <c r="U111" s="188"/>
      <c r="V111" s="188"/>
      <c r="W111" s="188"/>
      <c r="X111" s="188"/>
      <c r="Y111" s="188"/>
      <c r="Z111" s="188"/>
    </row>
    <row r="112" spans="1:26" ht="16.5" customHeight="1">
      <c r="A112" s="188"/>
      <c r="B112" s="188"/>
      <c r="C112" s="188"/>
      <c r="D112" s="190"/>
      <c r="E112" s="190"/>
      <c r="F112" s="190"/>
      <c r="G112" s="189"/>
      <c r="H112" s="188"/>
      <c r="I112" s="188"/>
      <c r="J112" s="188"/>
      <c r="K112" s="188"/>
      <c r="L112" s="188"/>
      <c r="M112" s="188"/>
      <c r="N112" s="188"/>
      <c r="O112" s="188"/>
      <c r="P112" s="188"/>
      <c r="Q112" s="188"/>
      <c r="R112" s="188"/>
      <c r="S112" s="188"/>
      <c r="T112" s="188"/>
      <c r="U112" s="188"/>
      <c r="V112" s="188"/>
      <c r="W112" s="188"/>
      <c r="X112" s="188"/>
      <c r="Y112" s="188"/>
      <c r="Z112" s="188"/>
    </row>
    <row r="113" spans="1:26" ht="16.5" customHeight="1">
      <c r="A113" s="188"/>
      <c r="B113" s="188"/>
      <c r="C113" s="188"/>
      <c r="D113" s="190"/>
      <c r="E113" s="190"/>
      <c r="F113" s="190"/>
      <c r="G113" s="189"/>
      <c r="H113" s="188"/>
      <c r="I113" s="188"/>
      <c r="J113" s="188"/>
      <c r="K113" s="188"/>
      <c r="L113" s="188"/>
      <c r="M113" s="188"/>
      <c r="N113" s="188"/>
      <c r="O113" s="188"/>
      <c r="P113" s="188"/>
      <c r="Q113" s="188"/>
      <c r="R113" s="188"/>
      <c r="S113" s="188"/>
      <c r="T113" s="188"/>
      <c r="U113" s="188"/>
      <c r="V113" s="188"/>
      <c r="W113" s="188"/>
      <c r="X113" s="188"/>
      <c r="Y113" s="188"/>
      <c r="Z113" s="188"/>
    </row>
    <row r="114" spans="1:26" ht="16.5" customHeight="1">
      <c r="A114" s="188"/>
      <c r="B114" s="188"/>
      <c r="C114" s="188"/>
      <c r="D114" s="190"/>
      <c r="E114" s="190"/>
      <c r="F114" s="190"/>
      <c r="G114" s="189"/>
      <c r="H114" s="188"/>
      <c r="I114" s="188"/>
      <c r="J114" s="188"/>
      <c r="K114" s="188"/>
      <c r="L114" s="188"/>
      <c r="M114" s="188"/>
      <c r="N114" s="188"/>
      <c r="O114" s="188"/>
      <c r="P114" s="188"/>
      <c r="Q114" s="188"/>
      <c r="R114" s="188"/>
      <c r="S114" s="188"/>
      <c r="T114" s="188"/>
      <c r="U114" s="188"/>
      <c r="V114" s="188"/>
      <c r="W114" s="188"/>
      <c r="X114" s="188"/>
      <c r="Y114" s="188"/>
      <c r="Z114" s="188"/>
    </row>
    <row r="115" spans="1:26" ht="16.5" customHeight="1">
      <c r="A115" s="188"/>
      <c r="B115" s="188"/>
      <c r="C115" s="188"/>
      <c r="D115" s="190"/>
      <c r="E115" s="190"/>
      <c r="F115" s="190"/>
      <c r="G115" s="189"/>
      <c r="H115" s="188"/>
      <c r="I115" s="188"/>
      <c r="J115" s="188"/>
      <c r="K115" s="188"/>
      <c r="L115" s="188"/>
      <c r="M115" s="188"/>
      <c r="N115" s="188"/>
      <c r="O115" s="188"/>
      <c r="P115" s="188"/>
      <c r="Q115" s="188"/>
      <c r="R115" s="188"/>
      <c r="S115" s="188"/>
      <c r="T115" s="188"/>
      <c r="U115" s="188"/>
      <c r="V115" s="188"/>
      <c r="W115" s="188"/>
      <c r="X115" s="188"/>
      <c r="Y115" s="188"/>
      <c r="Z115" s="188"/>
    </row>
    <row r="116" spans="1:26" ht="16.5" customHeight="1">
      <c r="A116" s="188"/>
      <c r="B116" s="188"/>
      <c r="C116" s="188"/>
      <c r="D116" s="190"/>
      <c r="E116" s="190"/>
      <c r="F116" s="190"/>
      <c r="G116" s="189"/>
      <c r="H116" s="188"/>
      <c r="I116" s="188"/>
      <c r="J116" s="188"/>
      <c r="K116" s="188"/>
      <c r="L116" s="188"/>
      <c r="M116" s="188"/>
      <c r="N116" s="188"/>
      <c r="O116" s="188"/>
      <c r="P116" s="188"/>
      <c r="Q116" s="188"/>
      <c r="R116" s="188"/>
      <c r="S116" s="188"/>
      <c r="T116" s="188"/>
      <c r="U116" s="188"/>
      <c r="V116" s="188"/>
      <c r="W116" s="188"/>
      <c r="X116" s="188"/>
      <c r="Y116" s="188"/>
      <c r="Z116" s="188"/>
    </row>
    <row r="117" spans="1:26" ht="16.5" customHeight="1">
      <c r="A117" s="188"/>
      <c r="B117" s="188"/>
      <c r="C117" s="188"/>
      <c r="D117" s="190"/>
      <c r="E117" s="190"/>
      <c r="F117" s="190"/>
      <c r="G117" s="189"/>
      <c r="H117" s="188"/>
      <c r="I117" s="188"/>
      <c r="J117" s="188"/>
      <c r="K117" s="188"/>
      <c r="L117" s="188"/>
      <c r="M117" s="188"/>
      <c r="N117" s="188"/>
      <c r="O117" s="188"/>
      <c r="P117" s="188"/>
      <c r="Q117" s="188"/>
      <c r="R117" s="188"/>
      <c r="S117" s="188"/>
      <c r="T117" s="188"/>
      <c r="U117" s="188"/>
      <c r="V117" s="188"/>
      <c r="W117" s="188"/>
      <c r="X117" s="188"/>
      <c r="Y117" s="188"/>
      <c r="Z117" s="188"/>
    </row>
    <row r="118" spans="1:26" ht="16.5" customHeight="1">
      <c r="A118" s="188"/>
      <c r="B118" s="188"/>
      <c r="C118" s="188"/>
      <c r="D118" s="190"/>
      <c r="E118" s="190"/>
      <c r="F118" s="190"/>
      <c r="G118" s="189"/>
      <c r="H118" s="188"/>
      <c r="I118" s="188"/>
      <c r="J118" s="188"/>
      <c r="K118" s="188"/>
      <c r="L118" s="188"/>
      <c r="M118" s="188"/>
      <c r="N118" s="188"/>
      <c r="O118" s="188"/>
      <c r="P118" s="188"/>
      <c r="Q118" s="188"/>
      <c r="R118" s="188"/>
      <c r="S118" s="188"/>
      <c r="T118" s="188"/>
      <c r="U118" s="188"/>
      <c r="V118" s="188"/>
      <c r="W118" s="188"/>
      <c r="X118" s="188"/>
      <c r="Y118" s="188"/>
      <c r="Z118" s="188"/>
    </row>
    <row r="119" spans="1:26" ht="16.5" customHeight="1">
      <c r="A119" s="188"/>
      <c r="B119" s="188"/>
      <c r="C119" s="188"/>
      <c r="D119" s="190"/>
      <c r="E119" s="190"/>
      <c r="F119" s="190"/>
      <c r="G119" s="189"/>
      <c r="H119" s="188"/>
      <c r="I119" s="188"/>
      <c r="J119" s="188"/>
      <c r="K119" s="188"/>
      <c r="L119" s="188"/>
      <c r="M119" s="188"/>
      <c r="N119" s="188"/>
      <c r="O119" s="188"/>
      <c r="P119" s="188"/>
      <c r="Q119" s="188"/>
      <c r="R119" s="188"/>
      <c r="S119" s="188"/>
      <c r="T119" s="188"/>
      <c r="U119" s="188"/>
      <c r="V119" s="188"/>
      <c r="W119" s="188"/>
      <c r="X119" s="188"/>
      <c r="Y119" s="188"/>
      <c r="Z119" s="188"/>
    </row>
    <row r="120" spans="1:26" ht="16.5" customHeight="1">
      <c r="A120" s="188"/>
      <c r="B120" s="188"/>
      <c r="C120" s="188"/>
      <c r="D120" s="190"/>
      <c r="E120" s="190"/>
      <c r="F120" s="190"/>
      <c r="G120" s="189"/>
      <c r="H120" s="188"/>
      <c r="I120" s="188"/>
      <c r="J120" s="188"/>
      <c r="K120" s="188"/>
      <c r="L120" s="188"/>
      <c r="M120" s="188"/>
      <c r="N120" s="188"/>
      <c r="O120" s="188"/>
      <c r="P120" s="188"/>
      <c r="Q120" s="188"/>
      <c r="R120" s="188"/>
      <c r="S120" s="188"/>
      <c r="T120" s="188"/>
      <c r="U120" s="188"/>
      <c r="V120" s="188"/>
      <c r="W120" s="188"/>
      <c r="X120" s="188"/>
      <c r="Y120" s="188"/>
      <c r="Z120" s="188"/>
    </row>
    <row r="121" spans="1:26" ht="16.5" customHeight="1">
      <c r="A121" s="188"/>
      <c r="B121" s="188"/>
      <c r="C121" s="188"/>
      <c r="D121" s="190"/>
      <c r="E121" s="190"/>
      <c r="F121" s="190"/>
      <c r="G121" s="189"/>
      <c r="H121" s="188"/>
      <c r="I121" s="188"/>
      <c r="J121" s="188"/>
      <c r="K121" s="188"/>
      <c r="L121" s="188"/>
      <c r="M121" s="188"/>
      <c r="N121" s="188"/>
      <c r="O121" s="188"/>
      <c r="P121" s="188"/>
      <c r="Q121" s="188"/>
      <c r="R121" s="188"/>
      <c r="S121" s="188"/>
      <c r="T121" s="188"/>
      <c r="U121" s="188"/>
      <c r="V121" s="188"/>
      <c r="W121" s="188"/>
      <c r="X121" s="188"/>
      <c r="Y121" s="188"/>
      <c r="Z121" s="188"/>
    </row>
    <row r="122" spans="1:26" ht="16.5" customHeight="1">
      <c r="A122" s="188"/>
      <c r="B122" s="188"/>
      <c r="C122" s="188"/>
      <c r="D122" s="190"/>
      <c r="E122" s="190"/>
      <c r="F122" s="190"/>
      <c r="G122" s="189"/>
      <c r="H122" s="188"/>
      <c r="I122" s="188"/>
      <c r="J122" s="188"/>
      <c r="K122" s="188"/>
      <c r="L122" s="188"/>
      <c r="M122" s="188"/>
      <c r="N122" s="188"/>
      <c r="O122" s="188"/>
      <c r="P122" s="188"/>
      <c r="Q122" s="188"/>
      <c r="R122" s="188"/>
      <c r="S122" s="188"/>
      <c r="T122" s="188"/>
      <c r="U122" s="188"/>
      <c r="V122" s="188"/>
      <c r="W122" s="188"/>
      <c r="X122" s="188"/>
      <c r="Y122" s="188"/>
      <c r="Z122" s="188"/>
    </row>
    <row r="123" spans="1:26" ht="16.5" customHeight="1">
      <c r="A123" s="188"/>
      <c r="B123" s="188"/>
      <c r="C123" s="188"/>
      <c r="D123" s="190"/>
      <c r="E123" s="190"/>
      <c r="F123" s="190"/>
      <c r="G123" s="189"/>
      <c r="H123" s="188"/>
      <c r="I123" s="188"/>
      <c r="J123" s="188"/>
      <c r="K123" s="188"/>
      <c r="L123" s="188"/>
      <c r="M123" s="188"/>
      <c r="N123" s="188"/>
      <c r="O123" s="188"/>
      <c r="P123" s="188"/>
      <c r="Q123" s="188"/>
      <c r="R123" s="188"/>
      <c r="S123" s="188"/>
      <c r="T123" s="188"/>
      <c r="U123" s="188"/>
      <c r="V123" s="188"/>
      <c r="W123" s="188"/>
      <c r="X123" s="188"/>
      <c r="Y123" s="188"/>
      <c r="Z123" s="188"/>
    </row>
    <row r="124" spans="1:26" ht="16.5" customHeight="1">
      <c r="A124" s="188"/>
      <c r="B124" s="188"/>
      <c r="C124" s="188"/>
      <c r="D124" s="190"/>
      <c r="E124" s="190"/>
      <c r="F124" s="190"/>
      <c r="G124" s="189"/>
      <c r="H124" s="188"/>
      <c r="I124" s="188"/>
      <c r="J124" s="188"/>
      <c r="K124" s="188"/>
      <c r="L124" s="188"/>
      <c r="M124" s="188"/>
      <c r="N124" s="188"/>
      <c r="O124" s="188"/>
      <c r="P124" s="188"/>
      <c r="Q124" s="188"/>
      <c r="R124" s="188"/>
      <c r="S124" s="188"/>
      <c r="T124" s="188"/>
      <c r="U124" s="188"/>
      <c r="V124" s="188"/>
      <c r="W124" s="188"/>
      <c r="X124" s="188"/>
      <c r="Y124" s="188"/>
      <c r="Z124" s="188"/>
    </row>
    <row r="125" spans="1:26" ht="16.5" customHeight="1">
      <c r="A125" s="188"/>
      <c r="B125" s="188"/>
      <c r="C125" s="188"/>
      <c r="D125" s="190"/>
      <c r="E125" s="190"/>
      <c r="F125" s="190"/>
      <c r="G125" s="189"/>
      <c r="H125" s="188"/>
      <c r="I125" s="188"/>
      <c r="J125" s="188"/>
      <c r="K125" s="188"/>
      <c r="L125" s="188"/>
      <c r="M125" s="188"/>
      <c r="N125" s="188"/>
      <c r="O125" s="188"/>
      <c r="P125" s="188"/>
      <c r="Q125" s="188"/>
      <c r="R125" s="188"/>
      <c r="S125" s="188"/>
      <c r="T125" s="188"/>
      <c r="U125" s="188"/>
      <c r="V125" s="188"/>
      <c r="W125" s="188"/>
      <c r="X125" s="188"/>
      <c r="Y125" s="188"/>
      <c r="Z125" s="188"/>
    </row>
    <row r="126" spans="1:26" ht="16.5" customHeight="1">
      <c r="A126" s="188"/>
      <c r="B126" s="188"/>
      <c r="C126" s="188"/>
      <c r="D126" s="190"/>
      <c r="E126" s="190"/>
      <c r="F126" s="190"/>
      <c r="G126" s="189"/>
      <c r="H126" s="188"/>
      <c r="I126" s="188"/>
      <c r="J126" s="188"/>
      <c r="K126" s="188"/>
      <c r="L126" s="188"/>
      <c r="M126" s="188"/>
      <c r="N126" s="188"/>
      <c r="O126" s="188"/>
      <c r="P126" s="188"/>
      <c r="Q126" s="188"/>
      <c r="R126" s="188"/>
      <c r="S126" s="188"/>
      <c r="T126" s="188"/>
      <c r="U126" s="188"/>
      <c r="V126" s="188"/>
      <c r="W126" s="188"/>
      <c r="X126" s="188"/>
      <c r="Y126" s="188"/>
      <c r="Z126" s="188"/>
    </row>
    <row r="127" spans="1:26" ht="16.5" customHeight="1">
      <c r="A127" s="188"/>
      <c r="B127" s="188"/>
      <c r="C127" s="188"/>
      <c r="D127" s="190"/>
      <c r="E127" s="190"/>
      <c r="F127" s="190"/>
      <c r="G127" s="189"/>
      <c r="H127" s="188"/>
      <c r="I127" s="188"/>
      <c r="J127" s="188"/>
      <c r="K127" s="188"/>
      <c r="L127" s="188"/>
      <c r="M127" s="188"/>
      <c r="N127" s="188"/>
      <c r="O127" s="188"/>
      <c r="P127" s="188"/>
      <c r="Q127" s="188"/>
      <c r="R127" s="188"/>
      <c r="S127" s="188"/>
      <c r="T127" s="188"/>
      <c r="U127" s="188"/>
      <c r="V127" s="188"/>
      <c r="W127" s="188"/>
      <c r="X127" s="188"/>
      <c r="Y127" s="188"/>
      <c r="Z127" s="188"/>
    </row>
    <row r="128" spans="1:26" ht="16.5" customHeight="1">
      <c r="A128" s="188"/>
      <c r="B128" s="188"/>
      <c r="C128" s="188"/>
      <c r="D128" s="190"/>
      <c r="E128" s="190"/>
      <c r="F128" s="190"/>
      <c r="G128" s="189"/>
      <c r="H128" s="188"/>
      <c r="I128" s="188"/>
      <c r="J128" s="188"/>
      <c r="K128" s="188"/>
      <c r="L128" s="188"/>
      <c r="M128" s="188"/>
      <c r="N128" s="188"/>
      <c r="O128" s="188"/>
      <c r="P128" s="188"/>
      <c r="Q128" s="188"/>
      <c r="R128" s="188"/>
      <c r="S128" s="188"/>
      <c r="T128" s="188"/>
      <c r="U128" s="188"/>
      <c r="V128" s="188"/>
      <c r="W128" s="188"/>
      <c r="X128" s="188"/>
      <c r="Y128" s="188"/>
      <c r="Z128" s="188"/>
    </row>
    <row r="129" spans="1:26" ht="16.5" customHeight="1">
      <c r="A129" s="188"/>
      <c r="B129" s="188"/>
      <c r="C129" s="188"/>
      <c r="D129" s="190"/>
      <c r="E129" s="190"/>
      <c r="F129" s="190"/>
      <c r="G129" s="189"/>
      <c r="H129" s="188"/>
      <c r="I129" s="188"/>
      <c r="J129" s="188"/>
      <c r="K129" s="188"/>
      <c r="L129" s="188"/>
      <c r="M129" s="188"/>
      <c r="N129" s="188"/>
      <c r="O129" s="188"/>
      <c r="P129" s="188"/>
      <c r="Q129" s="188"/>
      <c r="R129" s="188"/>
      <c r="S129" s="188"/>
      <c r="T129" s="188"/>
      <c r="U129" s="188"/>
      <c r="V129" s="188"/>
      <c r="W129" s="188"/>
      <c r="X129" s="188"/>
      <c r="Y129" s="188"/>
      <c r="Z129" s="188"/>
    </row>
    <row r="130" spans="1:26" ht="16.5" customHeight="1">
      <c r="A130" s="188"/>
      <c r="B130" s="188"/>
      <c r="C130" s="188"/>
      <c r="D130" s="190"/>
      <c r="E130" s="190"/>
      <c r="F130" s="190"/>
      <c r="G130" s="189"/>
      <c r="H130" s="188"/>
      <c r="I130" s="188"/>
      <c r="J130" s="188"/>
      <c r="K130" s="188"/>
      <c r="L130" s="188"/>
      <c r="M130" s="188"/>
      <c r="N130" s="188"/>
      <c r="O130" s="188"/>
      <c r="P130" s="188"/>
      <c r="Q130" s="188"/>
      <c r="R130" s="188"/>
      <c r="S130" s="188"/>
      <c r="T130" s="188"/>
      <c r="U130" s="188"/>
      <c r="V130" s="188"/>
      <c r="W130" s="188"/>
      <c r="X130" s="188"/>
      <c r="Y130" s="188"/>
      <c r="Z130" s="188"/>
    </row>
    <row r="131" spans="1:26" ht="16.5" customHeight="1">
      <c r="A131" s="188"/>
      <c r="B131" s="188"/>
      <c r="C131" s="188"/>
      <c r="D131" s="190"/>
      <c r="E131" s="190"/>
      <c r="F131" s="190"/>
      <c r="G131" s="189"/>
      <c r="H131" s="188"/>
      <c r="I131" s="188"/>
      <c r="J131" s="188"/>
      <c r="K131" s="188"/>
      <c r="L131" s="188"/>
      <c r="M131" s="188"/>
      <c r="N131" s="188"/>
      <c r="O131" s="188"/>
      <c r="P131" s="188"/>
      <c r="Q131" s="188"/>
      <c r="R131" s="188"/>
      <c r="S131" s="188"/>
      <c r="T131" s="188"/>
      <c r="U131" s="188"/>
      <c r="V131" s="188"/>
      <c r="W131" s="188"/>
      <c r="X131" s="188"/>
      <c r="Y131" s="188"/>
      <c r="Z131" s="188"/>
    </row>
    <row r="132" spans="1:26" ht="16.5" customHeight="1">
      <c r="A132" s="188"/>
      <c r="B132" s="188"/>
      <c r="C132" s="188"/>
      <c r="D132" s="190"/>
      <c r="E132" s="190"/>
      <c r="F132" s="190"/>
      <c r="G132" s="189"/>
      <c r="H132" s="188"/>
      <c r="I132" s="188"/>
      <c r="J132" s="188"/>
      <c r="K132" s="188"/>
      <c r="L132" s="188"/>
      <c r="M132" s="188"/>
      <c r="N132" s="188"/>
      <c r="O132" s="188"/>
      <c r="P132" s="188"/>
      <c r="Q132" s="188"/>
      <c r="R132" s="188"/>
      <c r="S132" s="188"/>
      <c r="T132" s="188"/>
      <c r="U132" s="188"/>
      <c r="V132" s="188"/>
      <c r="W132" s="188"/>
      <c r="X132" s="188"/>
      <c r="Y132" s="188"/>
      <c r="Z132" s="188"/>
    </row>
    <row r="133" spans="1:26" ht="16.5" customHeight="1">
      <c r="A133" s="188"/>
      <c r="B133" s="188"/>
      <c r="C133" s="188"/>
      <c r="D133" s="190"/>
      <c r="E133" s="190"/>
      <c r="F133" s="190"/>
      <c r="G133" s="189"/>
      <c r="H133" s="188"/>
      <c r="I133" s="188"/>
      <c r="J133" s="188"/>
      <c r="K133" s="188"/>
      <c r="L133" s="188"/>
      <c r="M133" s="188"/>
      <c r="N133" s="188"/>
      <c r="O133" s="188"/>
      <c r="P133" s="188"/>
      <c r="Q133" s="188"/>
      <c r="R133" s="188"/>
      <c r="S133" s="188"/>
      <c r="T133" s="188"/>
      <c r="U133" s="188"/>
      <c r="V133" s="188"/>
      <c r="W133" s="188"/>
      <c r="X133" s="188"/>
      <c r="Y133" s="188"/>
      <c r="Z133" s="188"/>
    </row>
    <row r="134" spans="1:26" ht="16.5" customHeight="1">
      <c r="A134" s="188"/>
      <c r="B134" s="188"/>
      <c r="C134" s="188"/>
      <c r="D134" s="190"/>
      <c r="E134" s="190"/>
      <c r="F134" s="190"/>
      <c r="G134" s="189"/>
      <c r="H134" s="188"/>
      <c r="I134" s="188"/>
      <c r="J134" s="188"/>
      <c r="K134" s="188"/>
      <c r="L134" s="188"/>
      <c r="M134" s="188"/>
      <c r="N134" s="188"/>
      <c r="O134" s="188"/>
      <c r="P134" s="188"/>
      <c r="Q134" s="188"/>
      <c r="R134" s="188"/>
      <c r="S134" s="188"/>
      <c r="T134" s="188"/>
      <c r="U134" s="188"/>
      <c r="V134" s="188"/>
      <c r="W134" s="188"/>
      <c r="X134" s="188"/>
      <c r="Y134" s="188"/>
      <c r="Z134" s="188"/>
    </row>
    <row r="135" spans="1:26" ht="16.5" customHeight="1">
      <c r="A135" s="188"/>
      <c r="B135" s="188"/>
      <c r="C135" s="188"/>
      <c r="D135" s="190"/>
      <c r="E135" s="190"/>
      <c r="F135" s="190"/>
      <c r="G135" s="189"/>
      <c r="H135" s="188"/>
      <c r="I135" s="188"/>
      <c r="J135" s="188"/>
      <c r="K135" s="188"/>
      <c r="L135" s="188"/>
      <c r="M135" s="188"/>
      <c r="N135" s="188"/>
      <c r="O135" s="188"/>
      <c r="P135" s="188"/>
      <c r="Q135" s="188"/>
      <c r="R135" s="188"/>
      <c r="S135" s="188"/>
      <c r="T135" s="188"/>
      <c r="U135" s="188"/>
      <c r="V135" s="188"/>
      <c r="W135" s="188"/>
      <c r="X135" s="188"/>
      <c r="Y135" s="188"/>
      <c r="Z135" s="188"/>
    </row>
    <row r="136" spans="1:26" ht="16.5" customHeight="1">
      <c r="A136" s="188"/>
      <c r="B136" s="188"/>
      <c r="C136" s="188"/>
      <c r="D136" s="190"/>
      <c r="E136" s="190"/>
      <c r="F136" s="190"/>
      <c r="G136" s="189"/>
      <c r="H136" s="188"/>
      <c r="I136" s="188"/>
      <c r="J136" s="188"/>
      <c r="K136" s="188"/>
      <c r="L136" s="188"/>
      <c r="M136" s="188"/>
      <c r="N136" s="188"/>
      <c r="O136" s="188"/>
      <c r="P136" s="188"/>
      <c r="Q136" s="188"/>
      <c r="R136" s="188"/>
      <c r="S136" s="188"/>
      <c r="T136" s="188"/>
      <c r="U136" s="188"/>
      <c r="V136" s="188"/>
      <c r="W136" s="188"/>
      <c r="X136" s="188"/>
      <c r="Y136" s="188"/>
      <c r="Z136" s="188"/>
    </row>
    <row r="137" spans="1:26" ht="16.5" customHeight="1">
      <c r="A137" s="188"/>
      <c r="B137" s="188"/>
      <c r="C137" s="188"/>
      <c r="D137" s="190"/>
      <c r="E137" s="190"/>
      <c r="F137" s="190"/>
      <c r="G137" s="189"/>
      <c r="H137" s="188"/>
      <c r="I137" s="188"/>
      <c r="J137" s="188"/>
      <c r="K137" s="188"/>
      <c r="L137" s="188"/>
      <c r="M137" s="188"/>
      <c r="N137" s="188"/>
      <c r="O137" s="188"/>
      <c r="P137" s="188"/>
      <c r="Q137" s="188"/>
      <c r="R137" s="188"/>
      <c r="S137" s="188"/>
      <c r="T137" s="188"/>
      <c r="U137" s="188"/>
      <c r="V137" s="188"/>
      <c r="W137" s="188"/>
      <c r="X137" s="188"/>
      <c r="Y137" s="188"/>
      <c r="Z137" s="188"/>
    </row>
    <row r="138" spans="1:26" ht="16.5" customHeight="1">
      <c r="A138" s="188"/>
      <c r="B138" s="188"/>
      <c r="C138" s="188"/>
      <c r="D138" s="190"/>
      <c r="E138" s="190"/>
      <c r="F138" s="190"/>
      <c r="G138" s="189"/>
      <c r="H138" s="188"/>
      <c r="I138" s="188"/>
      <c r="J138" s="188"/>
      <c r="K138" s="188"/>
      <c r="L138" s="188"/>
      <c r="M138" s="188"/>
      <c r="N138" s="188"/>
      <c r="O138" s="188"/>
      <c r="P138" s="188"/>
      <c r="Q138" s="188"/>
      <c r="R138" s="188"/>
      <c r="S138" s="188"/>
      <c r="T138" s="188"/>
      <c r="U138" s="188"/>
      <c r="V138" s="188"/>
      <c r="W138" s="188"/>
      <c r="X138" s="188"/>
      <c r="Y138" s="188"/>
      <c r="Z138" s="188"/>
    </row>
    <row r="139" spans="1:26" ht="16.5" customHeight="1">
      <c r="A139" s="188"/>
      <c r="B139" s="188"/>
      <c r="C139" s="188"/>
      <c r="D139" s="190"/>
      <c r="E139" s="190"/>
      <c r="F139" s="190"/>
      <c r="G139" s="189"/>
      <c r="H139" s="188"/>
      <c r="I139" s="188"/>
      <c r="J139" s="188"/>
      <c r="K139" s="188"/>
      <c r="L139" s="188"/>
      <c r="M139" s="188"/>
      <c r="N139" s="188"/>
      <c r="O139" s="188"/>
      <c r="P139" s="188"/>
      <c r="Q139" s="188"/>
      <c r="R139" s="188"/>
      <c r="S139" s="188"/>
      <c r="T139" s="188"/>
      <c r="U139" s="188"/>
      <c r="V139" s="188"/>
      <c r="W139" s="188"/>
      <c r="X139" s="188"/>
      <c r="Y139" s="188"/>
      <c r="Z139" s="188"/>
    </row>
    <row r="140" spans="1:26" ht="16.5" customHeight="1">
      <c r="A140" s="188"/>
      <c r="B140" s="188"/>
      <c r="C140" s="188"/>
      <c r="D140" s="190"/>
      <c r="E140" s="190"/>
      <c r="F140" s="190"/>
      <c r="G140" s="189"/>
      <c r="H140" s="188"/>
      <c r="I140" s="188"/>
      <c r="J140" s="188"/>
      <c r="K140" s="188"/>
      <c r="L140" s="188"/>
      <c r="M140" s="188"/>
      <c r="N140" s="188"/>
      <c r="O140" s="188"/>
      <c r="P140" s="188"/>
      <c r="Q140" s="188"/>
      <c r="R140" s="188"/>
      <c r="S140" s="188"/>
      <c r="T140" s="188"/>
      <c r="U140" s="188"/>
      <c r="V140" s="188"/>
      <c r="W140" s="188"/>
      <c r="X140" s="188"/>
      <c r="Y140" s="188"/>
      <c r="Z140" s="188"/>
    </row>
    <row r="141" spans="1:26" ht="16.5" customHeight="1">
      <c r="A141" s="188"/>
      <c r="B141" s="188"/>
      <c r="C141" s="188"/>
      <c r="D141" s="190"/>
      <c r="E141" s="190"/>
      <c r="F141" s="190"/>
      <c r="G141" s="189"/>
      <c r="H141" s="188"/>
      <c r="I141" s="188"/>
      <c r="J141" s="188"/>
      <c r="K141" s="188"/>
      <c r="L141" s="188"/>
      <c r="M141" s="188"/>
      <c r="N141" s="188"/>
      <c r="O141" s="188"/>
      <c r="P141" s="188"/>
      <c r="Q141" s="188"/>
      <c r="R141" s="188"/>
      <c r="S141" s="188"/>
      <c r="T141" s="188"/>
      <c r="U141" s="188"/>
      <c r="V141" s="188"/>
      <c r="W141" s="188"/>
      <c r="X141" s="188"/>
      <c r="Y141" s="188"/>
      <c r="Z141" s="188"/>
    </row>
    <row r="142" spans="1:26" ht="16.5" customHeight="1">
      <c r="A142" s="188"/>
      <c r="B142" s="188"/>
      <c r="C142" s="188"/>
      <c r="D142" s="190"/>
      <c r="E142" s="190"/>
      <c r="F142" s="190"/>
      <c r="G142" s="189"/>
      <c r="H142" s="188"/>
      <c r="I142" s="188"/>
      <c r="J142" s="188"/>
      <c r="K142" s="188"/>
      <c r="L142" s="188"/>
      <c r="M142" s="188"/>
      <c r="N142" s="188"/>
      <c r="O142" s="188"/>
      <c r="P142" s="188"/>
      <c r="Q142" s="188"/>
      <c r="R142" s="188"/>
      <c r="S142" s="188"/>
      <c r="T142" s="188"/>
      <c r="U142" s="188"/>
      <c r="V142" s="188"/>
      <c r="W142" s="188"/>
      <c r="X142" s="188"/>
      <c r="Y142" s="188"/>
      <c r="Z142" s="188"/>
    </row>
    <row r="143" spans="1:26" ht="16.5" customHeight="1">
      <c r="A143" s="188"/>
      <c r="B143" s="188"/>
      <c r="C143" s="188"/>
      <c r="D143" s="190"/>
      <c r="E143" s="190"/>
      <c r="F143" s="190"/>
      <c r="G143" s="189"/>
      <c r="H143" s="188"/>
      <c r="I143" s="188"/>
      <c r="J143" s="188"/>
      <c r="K143" s="188"/>
      <c r="L143" s="188"/>
      <c r="M143" s="188"/>
      <c r="N143" s="188"/>
      <c r="O143" s="188"/>
      <c r="P143" s="188"/>
      <c r="Q143" s="188"/>
      <c r="R143" s="188"/>
      <c r="S143" s="188"/>
      <c r="T143" s="188"/>
      <c r="U143" s="188"/>
      <c r="V143" s="188"/>
      <c r="W143" s="188"/>
      <c r="X143" s="188"/>
      <c r="Y143" s="188"/>
      <c r="Z143" s="188"/>
    </row>
    <row r="144" spans="1:26" ht="16.5" customHeight="1">
      <c r="A144" s="188"/>
      <c r="B144" s="188"/>
      <c r="C144" s="188"/>
      <c r="D144" s="190"/>
      <c r="E144" s="190"/>
      <c r="F144" s="190"/>
      <c r="G144" s="189"/>
      <c r="H144" s="188"/>
      <c r="I144" s="188"/>
      <c r="J144" s="188"/>
      <c r="K144" s="188"/>
      <c r="L144" s="188"/>
      <c r="M144" s="188"/>
      <c r="N144" s="188"/>
      <c r="O144" s="188"/>
      <c r="P144" s="188"/>
      <c r="Q144" s="188"/>
      <c r="R144" s="188"/>
      <c r="S144" s="188"/>
      <c r="T144" s="188"/>
      <c r="U144" s="188"/>
      <c r="V144" s="188"/>
      <c r="W144" s="188"/>
      <c r="X144" s="188"/>
      <c r="Y144" s="188"/>
      <c r="Z144" s="188"/>
    </row>
    <row r="145" spans="1:26" ht="16.5" customHeight="1">
      <c r="A145" s="188"/>
      <c r="B145" s="188"/>
      <c r="C145" s="188"/>
      <c r="D145" s="190"/>
      <c r="E145" s="190"/>
      <c r="F145" s="190"/>
      <c r="G145" s="189"/>
      <c r="H145" s="188"/>
      <c r="I145" s="188"/>
      <c r="J145" s="188"/>
      <c r="K145" s="188"/>
      <c r="L145" s="188"/>
      <c r="M145" s="188"/>
      <c r="N145" s="188"/>
      <c r="O145" s="188"/>
      <c r="P145" s="188"/>
      <c r="Q145" s="188"/>
      <c r="R145" s="188"/>
      <c r="S145" s="188"/>
      <c r="T145" s="188"/>
      <c r="U145" s="188"/>
      <c r="V145" s="188"/>
      <c r="W145" s="188"/>
      <c r="X145" s="188"/>
      <c r="Y145" s="188"/>
      <c r="Z145" s="188"/>
    </row>
    <row r="146" spans="1:26" ht="16.5" customHeight="1">
      <c r="A146" s="188"/>
      <c r="B146" s="188"/>
      <c r="C146" s="188"/>
      <c r="D146" s="190"/>
      <c r="E146" s="190"/>
      <c r="F146" s="190"/>
      <c r="G146" s="189"/>
      <c r="H146" s="188"/>
      <c r="I146" s="188"/>
      <c r="J146" s="188"/>
      <c r="K146" s="188"/>
      <c r="L146" s="188"/>
      <c r="M146" s="188"/>
      <c r="N146" s="188"/>
      <c r="O146" s="188"/>
      <c r="P146" s="188"/>
      <c r="Q146" s="188"/>
      <c r="R146" s="188"/>
      <c r="S146" s="188"/>
      <c r="T146" s="188"/>
      <c r="U146" s="188"/>
      <c r="V146" s="188"/>
      <c r="W146" s="188"/>
      <c r="X146" s="188"/>
      <c r="Y146" s="188"/>
      <c r="Z146" s="188"/>
    </row>
    <row r="147" spans="1:26" ht="16.5" customHeight="1">
      <c r="A147" s="188"/>
      <c r="B147" s="188"/>
      <c r="C147" s="188"/>
      <c r="D147" s="190"/>
      <c r="E147" s="190"/>
      <c r="F147" s="190"/>
      <c r="G147" s="189"/>
      <c r="H147" s="188"/>
      <c r="I147" s="188"/>
      <c r="J147" s="188"/>
      <c r="K147" s="188"/>
      <c r="L147" s="188"/>
      <c r="M147" s="188"/>
      <c r="N147" s="188"/>
      <c r="O147" s="188"/>
      <c r="P147" s="188"/>
      <c r="Q147" s="188"/>
      <c r="R147" s="188"/>
      <c r="S147" s="188"/>
      <c r="T147" s="188"/>
      <c r="U147" s="188"/>
      <c r="V147" s="188"/>
      <c r="W147" s="188"/>
      <c r="X147" s="188"/>
      <c r="Y147" s="188"/>
      <c r="Z147" s="188"/>
    </row>
    <row r="148" spans="1:26" ht="16.5" customHeight="1">
      <c r="A148" s="188"/>
      <c r="B148" s="188"/>
      <c r="C148" s="188"/>
      <c r="D148" s="190"/>
      <c r="E148" s="190"/>
      <c r="F148" s="190"/>
      <c r="G148" s="189"/>
      <c r="H148" s="188"/>
      <c r="I148" s="188"/>
      <c r="J148" s="188"/>
      <c r="K148" s="188"/>
      <c r="L148" s="188"/>
      <c r="M148" s="188"/>
      <c r="N148" s="188"/>
      <c r="O148" s="188"/>
      <c r="P148" s="188"/>
      <c r="Q148" s="188"/>
      <c r="R148" s="188"/>
      <c r="S148" s="188"/>
      <c r="T148" s="188"/>
      <c r="U148" s="188"/>
      <c r="V148" s="188"/>
      <c r="W148" s="188"/>
      <c r="X148" s="188"/>
      <c r="Y148" s="188"/>
      <c r="Z148" s="188"/>
    </row>
    <row r="149" spans="1:26" ht="16.5" customHeight="1">
      <c r="A149" s="188"/>
      <c r="B149" s="188"/>
      <c r="C149" s="188"/>
      <c r="D149" s="190"/>
      <c r="E149" s="190"/>
      <c r="F149" s="190"/>
      <c r="G149" s="189"/>
      <c r="H149" s="188"/>
      <c r="I149" s="188"/>
      <c r="J149" s="188"/>
      <c r="K149" s="188"/>
      <c r="L149" s="188"/>
      <c r="M149" s="188"/>
      <c r="N149" s="188"/>
      <c r="O149" s="188"/>
      <c r="P149" s="188"/>
      <c r="Q149" s="188"/>
      <c r="R149" s="188"/>
      <c r="S149" s="188"/>
      <c r="T149" s="188"/>
      <c r="U149" s="188"/>
      <c r="V149" s="188"/>
      <c r="W149" s="188"/>
      <c r="X149" s="188"/>
      <c r="Y149" s="188"/>
      <c r="Z149" s="188"/>
    </row>
    <row r="150" spans="1:26" ht="16.5" customHeight="1">
      <c r="A150" s="188"/>
      <c r="B150" s="188"/>
      <c r="C150" s="188"/>
      <c r="D150" s="190"/>
      <c r="E150" s="190"/>
      <c r="F150" s="190"/>
      <c r="G150" s="189"/>
      <c r="H150" s="188"/>
      <c r="I150" s="188"/>
      <c r="J150" s="188"/>
      <c r="K150" s="188"/>
      <c r="L150" s="188"/>
      <c r="M150" s="188"/>
      <c r="N150" s="188"/>
      <c r="O150" s="188"/>
      <c r="P150" s="188"/>
      <c r="Q150" s="188"/>
      <c r="R150" s="188"/>
      <c r="S150" s="188"/>
      <c r="T150" s="188"/>
      <c r="U150" s="188"/>
      <c r="V150" s="188"/>
      <c r="W150" s="188"/>
      <c r="X150" s="188"/>
      <c r="Y150" s="188"/>
      <c r="Z150" s="188"/>
    </row>
    <row r="151" spans="1:26" ht="16.5" customHeight="1">
      <c r="A151" s="188"/>
      <c r="B151" s="188"/>
      <c r="C151" s="188"/>
      <c r="D151" s="190"/>
      <c r="E151" s="190"/>
      <c r="F151" s="190"/>
      <c r="G151" s="189"/>
      <c r="H151" s="188"/>
      <c r="I151" s="188"/>
      <c r="J151" s="188"/>
      <c r="K151" s="188"/>
      <c r="L151" s="188"/>
      <c r="M151" s="188"/>
      <c r="N151" s="188"/>
      <c r="O151" s="188"/>
      <c r="P151" s="188"/>
      <c r="Q151" s="188"/>
      <c r="R151" s="188"/>
      <c r="S151" s="188"/>
      <c r="T151" s="188"/>
      <c r="U151" s="188"/>
      <c r="V151" s="188"/>
      <c r="W151" s="188"/>
      <c r="X151" s="188"/>
      <c r="Y151" s="188"/>
      <c r="Z151" s="188"/>
    </row>
    <row r="152" spans="1:26" ht="16.5" customHeight="1">
      <c r="A152" s="188"/>
      <c r="B152" s="188"/>
      <c r="C152" s="188"/>
      <c r="D152" s="190"/>
      <c r="E152" s="190"/>
      <c r="F152" s="190"/>
      <c r="G152" s="189"/>
      <c r="H152" s="188"/>
      <c r="I152" s="188"/>
      <c r="J152" s="188"/>
      <c r="K152" s="188"/>
      <c r="L152" s="188"/>
      <c r="M152" s="188"/>
      <c r="N152" s="188"/>
      <c r="O152" s="188"/>
      <c r="P152" s="188"/>
      <c r="Q152" s="188"/>
      <c r="R152" s="188"/>
      <c r="S152" s="188"/>
      <c r="T152" s="188"/>
      <c r="U152" s="188"/>
      <c r="V152" s="188"/>
      <c r="W152" s="188"/>
      <c r="X152" s="188"/>
      <c r="Y152" s="188"/>
      <c r="Z152" s="188"/>
    </row>
    <row r="153" spans="1:26" ht="16.5" customHeight="1">
      <c r="A153" s="188"/>
      <c r="B153" s="188"/>
      <c r="C153" s="188"/>
      <c r="D153" s="190"/>
      <c r="E153" s="190"/>
      <c r="F153" s="190"/>
      <c r="G153" s="189"/>
      <c r="H153" s="188"/>
      <c r="I153" s="188"/>
      <c r="J153" s="188"/>
      <c r="K153" s="188"/>
      <c r="L153" s="188"/>
      <c r="M153" s="188"/>
      <c r="N153" s="188"/>
      <c r="O153" s="188"/>
      <c r="P153" s="188"/>
      <c r="Q153" s="188"/>
      <c r="R153" s="188"/>
      <c r="S153" s="188"/>
      <c r="T153" s="188"/>
      <c r="U153" s="188"/>
      <c r="V153" s="188"/>
      <c r="W153" s="188"/>
      <c r="X153" s="188"/>
      <c r="Y153" s="188"/>
      <c r="Z153" s="188"/>
    </row>
    <row r="154" spans="1:26" ht="16.5" customHeight="1">
      <c r="A154" s="188"/>
      <c r="B154" s="188"/>
      <c r="C154" s="188"/>
      <c r="D154" s="190"/>
      <c r="E154" s="190"/>
      <c r="F154" s="190"/>
      <c r="G154" s="189"/>
      <c r="H154" s="188"/>
      <c r="I154" s="188"/>
      <c r="J154" s="188"/>
      <c r="K154" s="188"/>
      <c r="L154" s="188"/>
      <c r="M154" s="188"/>
      <c r="N154" s="188"/>
      <c r="O154" s="188"/>
      <c r="P154" s="188"/>
      <c r="Q154" s="188"/>
      <c r="R154" s="188"/>
      <c r="S154" s="188"/>
      <c r="T154" s="188"/>
      <c r="U154" s="188"/>
      <c r="V154" s="188"/>
      <c r="W154" s="188"/>
      <c r="X154" s="188"/>
      <c r="Y154" s="188"/>
      <c r="Z154" s="188"/>
    </row>
    <row r="155" spans="1:26" ht="16.5" customHeight="1">
      <c r="A155" s="188"/>
      <c r="B155" s="188"/>
      <c r="C155" s="188"/>
      <c r="D155" s="190"/>
      <c r="E155" s="190"/>
      <c r="F155" s="190"/>
      <c r="G155" s="189"/>
      <c r="H155" s="188"/>
      <c r="I155" s="188"/>
      <c r="J155" s="188"/>
      <c r="K155" s="188"/>
      <c r="L155" s="188"/>
      <c r="M155" s="188"/>
      <c r="N155" s="188"/>
      <c r="O155" s="188"/>
      <c r="P155" s="188"/>
      <c r="Q155" s="188"/>
      <c r="R155" s="188"/>
      <c r="S155" s="188"/>
      <c r="T155" s="188"/>
      <c r="U155" s="188"/>
      <c r="V155" s="188"/>
      <c r="W155" s="188"/>
      <c r="X155" s="188"/>
      <c r="Y155" s="188"/>
      <c r="Z155" s="188"/>
    </row>
    <row r="156" spans="1:26" ht="16.5" customHeight="1">
      <c r="A156" s="188"/>
      <c r="B156" s="188"/>
      <c r="C156" s="188"/>
      <c r="D156" s="190"/>
      <c r="E156" s="190"/>
      <c r="F156" s="190"/>
      <c r="G156" s="189"/>
      <c r="H156" s="188"/>
      <c r="I156" s="188"/>
      <c r="J156" s="188"/>
      <c r="K156" s="188"/>
      <c r="L156" s="188"/>
      <c r="M156" s="188"/>
      <c r="N156" s="188"/>
      <c r="O156" s="188"/>
      <c r="P156" s="188"/>
      <c r="Q156" s="188"/>
      <c r="R156" s="188"/>
      <c r="S156" s="188"/>
      <c r="T156" s="188"/>
      <c r="U156" s="188"/>
      <c r="V156" s="188"/>
      <c r="W156" s="188"/>
      <c r="X156" s="188"/>
      <c r="Y156" s="188"/>
      <c r="Z156" s="188"/>
    </row>
    <row r="157" spans="1:26" ht="16.5" customHeight="1">
      <c r="A157" s="188"/>
      <c r="B157" s="188"/>
      <c r="C157" s="188"/>
      <c r="D157" s="190"/>
      <c r="E157" s="190"/>
      <c r="F157" s="190"/>
      <c r="G157" s="189"/>
      <c r="H157" s="188"/>
      <c r="I157" s="188"/>
      <c r="J157" s="188"/>
      <c r="K157" s="188"/>
      <c r="L157" s="188"/>
      <c r="M157" s="188"/>
      <c r="N157" s="188"/>
      <c r="O157" s="188"/>
      <c r="P157" s="188"/>
      <c r="Q157" s="188"/>
      <c r="R157" s="188"/>
      <c r="S157" s="188"/>
      <c r="T157" s="188"/>
      <c r="U157" s="188"/>
      <c r="V157" s="188"/>
      <c r="W157" s="188"/>
      <c r="X157" s="188"/>
      <c r="Y157" s="188"/>
      <c r="Z157" s="188"/>
    </row>
    <row r="158" spans="1:26" ht="16.5" customHeight="1">
      <c r="A158" s="188"/>
      <c r="B158" s="188"/>
      <c r="C158" s="188"/>
      <c r="D158" s="190"/>
      <c r="E158" s="190"/>
      <c r="F158" s="190"/>
      <c r="G158" s="189"/>
      <c r="H158" s="188"/>
      <c r="I158" s="188"/>
      <c r="J158" s="188"/>
      <c r="K158" s="188"/>
      <c r="L158" s="188"/>
      <c r="M158" s="188"/>
      <c r="N158" s="188"/>
      <c r="O158" s="188"/>
      <c r="P158" s="188"/>
      <c r="Q158" s="188"/>
      <c r="R158" s="188"/>
      <c r="S158" s="188"/>
      <c r="T158" s="188"/>
      <c r="U158" s="188"/>
      <c r="V158" s="188"/>
      <c r="W158" s="188"/>
      <c r="X158" s="188"/>
      <c r="Y158" s="188"/>
      <c r="Z158" s="188"/>
    </row>
    <row r="159" spans="1:26" ht="16.5" customHeight="1">
      <c r="A159" s="188"/>
      <c r="B159" s="188"/>
      <c r="C159" s="188"/>
      <c r="D159" s="190"/>
      <c r="E159" s="190"/>
      <c r="F159" s="190"/>
      <c r="G159" s="189"/>
      <c r="H159" s="188"/>
      <c r="I159" s="188"/>
      <c r="J159" s="188"/>
      <c r="K159" s="188"/>
      <c r="L159" s="188"/>
      <c r="M159" s="188"/>
      <c r="N159" s="188"/>
      <c r="O159" s="188"/>
      <c r="P159" s="188"/>
      <c r="Q159" s="188"/>
      <c r="R159" s="188"/>
      <c r="S159" s="188"/>
      <c r="T159" s="188"/>
      <c r="U159" s="188"/>
      <c r="V159" s="188"/>
      <c r="W159" s="188"/>
      <c r="X159" s="188"/>
      <c r="Y159" s="188"/>
      <c r="Z159" s="188"/>
    </row>
    <row r="160" spans="1:26" ht="16.5" customHeight="1">
      <c r="A160" s="188"/>
      <c r="B160" s="188"/>
      <c r="C160" s="188"/>
      <c r="D160" s="190"/>
      <c r="E160" s="190"/>
      <c r="F160" s="190"/>
      <c r="G160" s="189"/>
      <c r="H160" s="188"/>
      <c r="I160" s="188"/>
      <c r="J160" s="188"/>
      <c r="K160" s="188"/>
      <c r="L160" s="188"/>
      <c r="M160" s="188"/>
      <c r="N160" s="188"/>
      <c r="O160" s="188"/>
      <c r="P160" s="188"/>
      <c r="Q160" s="188"/>
      <c r="R160" s="188"/>
      <c r="S160" s="188"/>
      <c r="T160" s="188"/>
      <c r="U160" s="188"/>
      <c r="V160" s="188"/>
      <c r="W160" s="188"/>
      <c r="X160" s="188"/>
      <c r="Y160" s="188"/>
      <c r="Z160" s="188"/>
    </row>
    <row r="161" spans="1:26" ht="16.5" customHeight="1">
      <c r="A161" s="188"/>
      <c r="B161" s="188"/>
      <c r="C161" s="188"/>
      <c r="D161" s="190"/>
      <c r="E161" s="190"/>
      <c r="F161" s="190"/>
      <c r="G161" s="189"/>
      <c r="H161" s="188"/>
      <c r="I161" s="188"/>
      <c r="J161" s="188"/>
      <c r="K161" s="188"/>
      <c r="L161" s="188"/>
      <c r="M161" s="188"/>
      <c r="N161" s="188"/>
      <c r="O161" s="188"/>
      <c r="P161" s="188"/>
      <c r="Q161" s="188"/>
      <c r="R161" s="188"/>
      <c r="S161" s="188"/>
      <c r="T161" s="188"/>
      <c r="U161" s="188"/>
      <c r="V161" s="188"/>
      <c r="W161" s="188"/>
      <c r="X161" s="188"/>
      <c r="Y161" s="188"/>
      <c r="Z161" s="188"/>
    </row>
    <row r="162" spans="1:26" ht="16.5" customHeight="1">
      <c r="A162" s="188"/>
      <c r="B162" s="188"/>
      <c r="C162" s="188"/>
      <c r="D162" s="190"/>
      <c r="E162" s="190"/>
      <c r="F162" s="190"/>
      <c r="G162" s="189"/>
      <c r="H162" s="188"/>
      <c r="I162" s="188"/>
      <c r="J162" s="188"/>
      <c r="K162" s="188"/>
      <c r="L162" s="188"/>
      <c r="M162" s="188"/>
      <c r="N162" s="188"/>
      <c r="O162" s="188"/>
      <c r="P162" s="188"/>
      <c r="Q162" s="188"/>
      <c r="R162" s="188"/>
      <c r="S162" s="188"/>
      <c r="T162" s="188"/>
      <c r="U162" s="188"/>
      <c r="V162" s="188"/>
      <c r="W162" s="188"/>
      <c r="X162" s="188"/>
      <c r="Y162" s="188"/>
      <c r="Z162" s="188"/>
    </row>
    <row r="163" spans="1:26" ht="16.5" customHeight="1">
      <c r="A163" s="188"/>
      <c r="B163" s="188"/>
      <c r="C163" s="188"/>
      <c r="D163" s="190"/>
      <c r="E163" s="190"/>
      <c r="F163" s="190"/>
      <c r="G163" s="189"/>
      <c r="H163" s="188"/>
      <c r="I163" s="188"/>
      <c r="J163" s="188"/>
      <c r="K163" s="188"/>
      <c r="L163" s="188"/>
      <c r="M163" s="188"/>
      <c r="N163" s="188"/>
      <c r="O163" s="188"/>
      <c r="P163" s="188"/>
      <c r="Q163" s="188"/>
      <c r="R163" s="188"/>
      <c r="S163" s="188"/>
      <c r="T163" s="188"/>
      <c r="U163" s="188"/>
      <c r="V163" s="188"/>
      <c r="W163" s="188"/>
      <c r="X163" s="188"/>
      <c r="Y163" s="188"/>
      <c r="Z163" s="188"/>
    </row>
    <row r="164" spans="1:26" ht="16.5" customHeight="1">
      <c r="A164" s="188"/>
      <c r="B164" s="188"/>
      <c r="C164" s="188"/>
      <c r="D164" s="190"/>
      <c r="E164" s="190"/>
      <c r="F164" s="190"/>
      <c r="G164" s="189"/>
      <c r="H164" s="188"/>
      <c r="I164" s="188"/>
      <c r="J164" s="188"/>
      <c r="K164" s="188"/>
      <c r="L164" s="188"/>
      <c r="M164" s="188"/>
      <c r="N164" s="188"/>
      <c r="O164" s="188"/>
      <c r="P164" s="188"/>
      <c r="Q164" s="188"/>
      <c r="R164" s="188"/>
      <c r="S164" s="188"/>
      <c r="T164" s="188"/>
      <c r="U164" s="188"/>
      <c r="V164" s="188"/>
      <c r="W164" s="188"/>
      <c r="X164" s="188"/>
      <c r="Y164" s="188"/>
      <c r="Z164" s="188"/>
    </row>
    <row r="165" spans="1:26" ht="16.5" customHeight="1">
      <c r="A165" s="188"/>
      <c r="B165" s="188"/>
      <c r="C165" s="188"/>
      <c r="D165" s="190"/>
      <c r="E165" s="190"/>
      <c r="F165" s="190"/>
      <c r="G165" s="189"/>
      <c r="H165" s="188"/>
      <c r="I165" s="188"/>
      <c r="J165" s="188"/>
      <c r="K165" s="188"/>
      <c r="L165" s="188"/>
      <c r="M165" s="188"/>
      <c r="N165" s="188"/>
      <c r="O165" s="188"/>
      <c r="P165" s="188"/>
      <c r="Q165" s="188"/>
      <c r="R165" s="188"/>
      <c r="S165" s="188"/>
      <c r="T165" s="188"/>
      <c r="U165" s="188"/>
      <c r="V165" s="188"/>
      <c r="W165" s="188"/>
      <c r="X165" s="188"/>
      <c r="Y165" s="188"/>
      <c r="Z165" s="188"/>
    </row>
    <row r="166" spans="1:26" ht="16.5" customHeight="1">
      <c r="A166" s="188"/>
      <c r="B166" s="188"/>
      <c r="C166" s="188"/>
      <c r="D166" s="190"/>
      <c r="E166" s="190"/>
      <c r="F166" s="190"/>
      <c r="G166" s="189"/>
      <c r="H166" s="188"/>
      <c r="I166" s="188"/>
      <c r="J166" s="188"/>
      <c r="K166" s="188"/>
      <c r="L166" s="188"/>
      <c r="M166" s="188"/>
      <c r="N166" s="188"/>
      <c r="O166" s="188"/>
      <c r="P166" s="188"/>
      <c r="Q166" s="188"/>
      <c r="R166" s="188"/>
      <c r="S166" s="188"/>
      <c r="T166" s="188"/>
      <c r="U166" s="188"/>
      <c r="V166" s="188"/>
      <c r="W166" s="188"/>
      <c r="X166" s="188"/>
      <c r="Y166" s="188"/>
      <c r="Z166" s="188"/>
    </row>
    <row r="167" spans="1:26" ht="16.5" customHeight="1">
      <c r="A167" s="188"/>
      <c r="B167" s="188"/>
      <c r="C167" s="188"/>
      <c r="D167" s="190"/>
      <c r="E167" s="190"/>
      <c r="F167" s="190"/>
      <c r="G167" s="189"/>
      <c r="H167" s="188"/>
      <c r="I167" s="188"/>
      <c r="J167" s="188"/>
      <c r="K167" s="188"/>
      <c r="L167" s="188"/>
      <c r="M167" s="188"/>
      <c r="N167" s="188"/>
      <c r="O167" s="188"/>
      <c r="P167" s="188"/>
      <c r="Q167" s="188"/>
      <c r="R167" s="188"/>
      <c r="S167" s="188"/>
      <c r="T167" s="188"/>
      <c r="U167" s="188"/>
      <c r="V167" s="188"/>
      <c r="W167" s="188"/>
      <c r="X167" s="188"/>
      <c r="Y167" s="188"/>
      <c r="Z167" s="188"/>
    </row>
    <row r="168" spans="1:26" ht="16.5" customHeight="1">
      <c r="A168" s="188"/>
      <c r="B168" s="188"/>
      <c r="C168" s="188"/>
      <c r="D168" s="190"/>
      <c r="E168" s="190"/>
      <c r="F168" s="190"/>
      <c r="G168" s="189"/>
      <c r="H168" s="188"/>
      <c r="I168" s="188"/>
      <c r="J168" s="188"/>
      <c r="K168" s="188"/>
      <c r="L168" s="188"/>
      <c r="M168" s="188"/>
      <c r="N168" s="188"/>
      <c r="O168" s="188"/>
      <c r="P168" s="188"/>
      <c r="Q168" s="188"/>
      <c r="R168" s="188"/>
      <c r="S168" s="188"/>
      <c r="T168" s="188"/>
      <c r="U168" s="188"/>
      <c r="V168" s="188"/>
      <c r="W168" s="188"/>
      <c r="X168" s="188"/>
      <c r="Y168" s="188"/>
      <c r="Z168" s="188"/>
    </row>
    <row r="169" spans="1:26" ht="16.5" customHeight="1">
      <c r="A169" s="188"/>
      <c r="B169" s="188"/>
      <c r="C169" s="188"/>
      <c r="D169" s="190"/>
      <c r="E169" s="190"/>
      <c r="F169" s="190"/>
      <c r="G169" s="189"/>
      <c r="H169" s="188"/>
      <c r="I169" s="188"/>
      <c r="J169" s="188"/>
      <c r="K169" s="188"/>
      <c r="L169" s="188"/>
      <c r="M169" s="188"/>
      <c r="N169" s="188"/>
      <c r="O169" s="188"/>
      <c r="P169" s="188"/>
      <c r="Q169" s="188"/>
      <c r="R169" s="188"/>
      <c r="S169" s="188"/>
      <c r="T169" s="188"/>
      <c r="U169" s="188"/>
      <c r="V169" s="188"/>
      <c r="W169" s="188"/>
      <c r="X169" s="188"/>
      <c r="Y169" s="188"/>
      <c r="Z169" s="188"/>
    </row>
    <row r="170" spans="1:26" ht="16.5" customHeight="1">
      <c r="A170" s="188"/>
      <c r="B170" s="188"/>
      <c r="C170" s="188"/>
      <c r="D170" s="190"/>
      <c r="E170" s="190"/>
      <c r="F170" s="190"/>
      <c r="G170" s="189"/>
      <c r="H170" s="188"/>
      <c r="I170" s="188"/>
      <c r="J170" s="188"/>
      <c r="K170" s="188"/>
      <c r="L170" s="188"/>
      <c r="M170" s="188"/>
      <c r="N170" s="188"/>
      <c r="O170" s="188"/>
      <c r="P170" s="188"/>
      <c r="Q170" s="188"/>
      <c r="R170" s="188"/>
      <c r="S170" s="188"/>
      <c r="T170" s="188"/>
      <c r="U170" s="188"/>
      <c r="V170" s="188"/>
      <c r="W170" s="188"/>
      <c r="X170" s="188"/>
      <c r="Y170" s="188"/>
      <c r="Z170" s="188"/>
    </row>
    <row r="171" spans="1:26" ht="16.5" customHeight="1">
      <c r="A171" s="188"/>
      <c r="B171" s="188"/>
      <c r="C171" s="188"/>
      <c r="D171" s="190"/>
      <c r="E171" s="190"/>
      <c r="F171" s="190"/>
      <c r="G171" s="189"/>
      <c r="H171" s="188"/>
      <c r="I171" s="188"/>
      <c r="J171" s="188"/>
      <c r="K171" s="188"/>
      <c r="L171" s="188"/>
      <c r="M171" s="188"/>
      <c r="N171" s="188"/>
      <c r="O171" s="188"/>
      <c r="P171" s="188"/>
      <c r="Q171" s="188"/>
      <c r="R171" s="188"/>
      <c r="S171" s="188"/>
      <c r="T171" s="188"/>
      <c r="U171" s="188"/>
      <c r="V171" s="188"/>
      <c r="W171" s="188"/>
      <c r="X171" s="188"/>
      <c r="Y171" s="188"/>
      <c r="Z171" s="188"/>
    </row>
    <row r="172" spans="1:26" ht="16.5" customHeight="1">
      <c r="A172" s="188"/>
      <c r="B172" s="188"/>
      <c r="C172" s="188"/>
      <c r="D172" s="190"/>
      <c r="E172" s="190"/>
      <c r="F172" s="190"/>
      <c r="G172" s="189"/>
      <c r="H172" s="188"/>
      <c r="I172" s="188"/>
      <c r="J172" s="188"/>
      <c r="K172" s="188"/>
      <c r="L172" s="188"/>
      <c r="M172" s="188"/>
      <c r="N172" s="188"/>
      <c r="O172" s="188"/>
      <c r="P172" s="188"/>
      <c r="Q172" s="188"/>
      <c r="R172" s="188"/>
      <c r="S172" s="188"/>
      <c r="T172" s="188"/>
      <c r="U172" s="188"/>
      <c r="V172" s="188"/>
      <c r="W172" s="188"/>
      <c r="X172" s="188"/>
      <c r="Y172" s="188"/>
      <c r="Z172" s="188"/>
    </row>
    <row r="173" spans="1:26" ht="16.5" customHeight="1">
      <c r="A173" s="188"/>
      <c r="B173" s="188"/>
      <c r="C173" s="188"/>
      <c r="D173" s="190"/>
      <c r="E173" s="190"/>
      <c r="F173" s="190"/>
      <c r="G173" s="189"/>
      <c r="H173" s="188"/>
      <c r="I173" s="188"/>
      <c r="J173" s="188"/>
      <c r="K173" s="188"/>
      <c r="L173" s="188"/>
      <c r="M173" s="188"/>
      <c r="N173" s="188"/>
      <c r="O173" s="188"/>
      <c r="P173" s="188"/>
      <c r="Q173" s="188"/>
      <c r="R173" s="188"/>
      <c r="S173" s="188"/>
      <c r="T173" s="188"/>
      <c r="U173" s="188"/>
      <c r="V173" s="188"/>
      <c r="W173" s="188"/>
      <c r="X173" s="188"/>
      <c r="Y173" s="188"/>
      <c r="Z173" s="188"/>
    </row>
    <row r="174" spans="1:26" ht="16.5" customHeight="1">
      <c r="A174" s="188"/>
      <c r="B174" s="188"/>
      <c r="C174" s="188"/>
      <c r="D174" s="190"/>
      <c r="E174" s="190"/>
      <c r="F174" s="190"/>
      <c r="G174" s="189"/>
      <c r="H174" s="188"/>
      <c r="I174" s="188"/>
      <c r="J174" s="188"/>
      <c r="K174" s="188"/>
      <c r="L174" s="188"/>
      <c r="M174" s="188"/>
      <c r="N174" s="188"/>
      <c r="O174" s="188"/>
      <c r="P174" s="188"/>
      <c r="Q174" s="188"/>
      <c r="R174" s="188"/>
      <c r="S174" s="188"/>
      <c r="T174" s="188"/>
      <c r="U174" s="188"/>
      <c r="V174" s="188"/>
      <c r="W174" s="188"/>
      <c r="X174" s="188"/>
      <c r="Y174" s="188"/>
      <c r="Z174" s="188"/>
    </row>
    <row r="175" spans="1:26" ht="16.5" customHeight="1">
      <c r="A175" s="188"/>
      <c r="B175" s="188"/>
      <c r="C175" s="188"/>
      <c r="D175" s="190"/>
      <c r="E175" s="190"/>
      <c r="F175" s="190"/>
      <c r="G175" s="189"/>
      <c r="H175" s="188"/>
      <c r="I175" s="188"/>
      <c r="J175" s="188"/>
      <c r="K175" s="188"/>
      <c r="L175" s="188"/>
      <c r="M175" s="188"/>
      <c r="N175" s="188"/>
      <c r="O175" s="188"/>
      <c r="P175" s="188"/>
      <c r="Q175" s="188"/>
      <c r="R175" s="188"/>
      <c r="S175" s="188"/>
      <c r="T175" s="188"/>
      <c r="U175" s="188"/>
      <c r="V175" s="188"/>
      <c r="W175" s="188"/>
      <c r="X175" s="188"/>
      <c r="Y175" s="188"/>
      <c r="Z175" s="188"/>
    </row>
    <row r="176" spans="1:26" ht="16.5" customHeight="1">
      <c r="A176" s="188"/>
      <c r="B176" s="188"/>
      <c r="C176" s="188"/>
      <c r="D176" s="190"/>
      <c r="E176" s="190"/>
      <c r="F176" s="190"/>
      <c r="G176" s="189"/>
      <c r="H176" s="188"/>
      <c r="I176" s="188"/>
      <c r="J176" s="188"/>
      <c r="K176" s="188"/>
      <c r="L176" s="188"/>
      <c r="M176" s="188"/>
      <c r="N176" s="188"/>
      <c r="O176" s="188"/>
      <c r="P176" s="188"/>
      <c r="Q176" s="188"/>
      <c r="R176" s="188"/>
      <c r="S176" s="188"/>
      <c r="T176" s="188"/>
      <c r="U176" s="188"/>
      <c r="V176" s="188"/>
      <c r="W176" s="188"/>
      <c r="X176" s="188"/>
      <c r="Y176" s="188"/>
      <c r="Z176" s="188"/>
    </row>
    <row r="177" spans="1:26" ht="16.5" customHeight="1">
      <c r="A177" s="188"/>
      <c r="B177" s="188"/>
      <c r="C177" s="188"/>
      <c r="D177" s="190"/>
      <c r="E177" s="190"/>
      <c r="F177" s="190"/>
      <c r="G177" s="189"/>
      <c r="H177" s="188"/>
      <c r="I177" s="188"/>
      <c r="J177" s="188"/>
      <c r="K177" s="188"/>
      <c r="L177" s="188"/>
      <c r="M177" s="188"/>
      <c r="N177" s="188"/>
      <c r="O177" s="188"/>
      <c r="P177" s="188"/>
      <c r="Q177" s="188"/>
      <c r="R177" s="188"/>
      <c r="S177" s="188"/>
      <c r="T177" s="188"/>
      <c r="U177" s="188"/>
      <c r="V177" s="188"/>
      <c r="W177" s="188"/>
      <c r="X177" s="188"/>
      <c r="Y177" s="188"/>
      <c r="Z177" s="188"/>
    </row>
    <row r="178" spans="1:26" ht="16.5" customHeight="1">
      <c r="A178" s="188"/>
      <c r="B178" s="188"/>
      <c r="C178" s="188"/>
      <c r="D178" s="190"/>
      <c r="E178" s="190"/>
      <c r="F178" s="190"/>
      <c r="G178" s="189"/>
      <c r="H178" s="188"/>
      <c r="I178" s="188"/>
      <c r="J178" s="188"/>
      <c r="K178" s="188"/>
      <c r="L178" s="188"/>
      <c r="M178" s="188"/>
      <c r="N178" s="188"/>
      <c r="O178" s="188"/>
      <c r="P178" s="188"/>
      <c r="Q178" s="188"/>
      <c r="R178" s="188"/>
      <c r="S178" s="188"/>
      <c r="T178" s="188"/>
      <c r="U178" s="188"/>
      <c r="V178" s="188"/>
      <c r="W178" s="188"/>
      <c r="X178" s="188"/>
      <c r="Y178" s="188"/>
      <c r="Z178" s="188"/>
    </row>
    <row r="179" spans="1:26" ht="16.5" customHeight="1">
      <c r="A179" s="188"/>
      <c r="B179" s="188"/>
      <c r="C179" s="188"/>
      <c r="D179" s="190"/>
      <c r="E179" s="190"/>
      <c r="F179" s="190"/>
      <c r="G179" s="189"/>
      <c r="H179" s="188"/>
      <c r="I179" s="188"/>
      <c r="J179" s="188"/>
      <c r="K179" s="188"/>
      <c r="L179" s="188"/>
      <c r="M179" s="188"/>
      <c r="N179" s="188"/>
      <c r="O179" s="188"/>
      <c r="P179" s="188"/>
      <c r="Q179" s="188"/>
      <c r="R179" s="188"/>
      <c r="S179" s="188"/>
      <c r="T179" s="188"/>
      <c r="U179" s="188"/>
      <c r="V179" s="188"/>
      <c r="W179" s="188"/>
      <c r="X179" s="188"/>
      <c r="Y179" s="188"/>
      <c r="Z179" s="188"/>
    </row>
    <row r="180" spans="1:26" ht="16.5" customHeight="1">
      <c r="A180" s="188"/>
      <c r="B180" s="188"/>
      <c r="C180" s="188"/>
      <c r="D180" s="190"/>
      <c r="E180" s="190"/>
      <c r="F180" s="190"/>
      <c r="G180" s="189"/>
      <c r="H180" s="188"/>
      <c r="I180" s="188"/>
      <c r="J180" s="188"/>
      <c r="K180" s="188"/>
      <c r="L180" s="188"/>
      <c r="M180" s="188"/>
      <c r="N180" s="188"/>
      <c r="O180" s="188"/>
      <c r="P180" s="188"/>
      <c r="Q180" s="188"/>
      <c r="R180" s="188"/>
      <c r="S180" s="188"/>
      <c r="T180" s="188"/>
      <c r="U180" s="188"/>
      <c r="V180" s="188"/>
      <c r="W180" s="188"/>
      <c r="X180" s="188"/>
      <c r="Y180" s="188"/>
      <c r="Z180" s="188"/>
    </row>
    <row r="181" spans="1:26" ht="16.5" customHeight="1">
      <c r="A181" s="188"/>
      <c r="B181" s="188"/>
      <c r="C181" s="188"/>
      <c r="D181" s="190"/>
      <c r="E181" s="190"/>
      <c r="F181" s="190"/>
      <c r="G181" s="189"/>
      <c r="H181" s="188"/>
      <c r="I181" s="188"/>
      <c r="J181" s="188"/>
      <c r="K181" s="188"/>
      <c r="L181" s="188"/>
      <c r="M181" s="188"/>
      <c r="N181" s="188"/>
      <c r="O181" s="188"/>
      <c r="P181" s="188"/>
      <c r="Q181" s="188"/>
      <c r="R181" s="188"/>
      <c r="S181" s="188"/>
      <c r="T181" s="188"/>
      <c r="U181" s="188"/>
      <c r="V181" s="188"/>
      <c r="W181" s="188"/>
      <c r="X181" s="188"/>
      <c r="Y181" s="188"/>
      <c r="Z181" s="188"/>
    </row>
    <row r="182" spans="1:26" ht="16.5" customHeight="1">
      <c r="A182" s="188"/>
      <c r="B182" s="188"/>
      <c r="C182" s="188"/>
      <c r="D182" s="190"/>
      <c r="E182" s="190"/>
      <c r="F182" s="190"/>
      <c r="G182" s="189"/>
      <c r="H182" s="188"/>
      <c r="I182" s="188"/>
      <c r="J182" s="188"/>
      <c r="K182" s="188"/>
      <c r="L182" s="188"/>
      <c r="M182" s="188"/>
      <c r="N182" s="188"/>
      <c r="O182" s="188"/>
      <c r="P182" s="188"/>
      <c r="Q182" s="188"/>
      <c r="R182" s="188"/>
      <c r="S182" s="188"/>
      <c r="T182" s="188"/>
      <c r="U182" s="188"/>
      <c r="V182" s="188"/>
      <c r="W182" s="188"/>
      <c r="X182" s="188"/>
      <c r="Y182" s="188"/>
      <c r="Z182" s="188"/>
    </row>
    <row r="183" spans="1:26" ht="16.5" customHeight="1">
      <c r="A183" s="188"/>
      <c r="B183" s="188"/>
      <c r="C183" s="188"/>
      <c r="D183" s="190"/>
      <c r="E183" s="190"/>
      <c r="F183" s="190"/>
      <c r="G183" s="189"/>
      <c r="H183" s="188"/>
      <c r="I183" s="188"/>
      <c r="J183" s="188"/>
      <c r="K183" s="188"/>
      <c r="L183" s="188"/>
      <c r="M183" s="188"/>
      <c r="N183" s="188"/>
      <c r="O183" s="188"/>
      <c r="P183" s="188"/>
      <c r="Q183" s="188"/>
      <c r="R183" s="188"/>
      <c r="S183" s="188"/>
      <c r="T183" s="188"/>
      <c r="U183" s="188"/>
      <c r="V183" s="188"/>
      <c r="W183" s="188"/>
      <c r="X183" s="188"/>
      <c r="Y183" s="188"/>
      <c r="Z183" s="188"/>
    </row>
    <row r="184" spans="1:26" ht="16.5" customHeight="1">
      <c r="A184" s="188"/>
      <c r="B184" s="188"/>
      <c r="C184" s="188"/>
      <c r="D184" s="190"/>
      <c r="E184" s="190"/>
      <c r="F184" s="190"/>
      <c r="G184" s="189"/>
      <c r="H184" s="188"/>
      <c r="I184" s="188"/>
      <c r="J184" s="188"/>
      <c r="K184" s="188"/>
      <c r="L184" s="188"/>
      <c r="M184" s="188"/>
      <c r="N184" s="188"/>
      <c r="O184" s="188"/>
      <c r="P184" s="188"/>
      <c r="Q184" s="188"/>
      <c r="R184" s="188"/>
      <c r="S184" s="188"/>
      <c r="T184" s="188"/>
      <c r="U184" s="188"/>
      <c r="V184" s="188"/>
      <c r="W184" s="188"/>
      <c r="X184" s="188"/>
      <c r="Y184" s="188"/>
      <c r="Z184" s="188"/>
    </row>
    <row r="185" spans="1:26" ht="16.5" customHeight="1">
      <c r="A185" s="188"/>
      <c r="B185" s="188"/>
      <c r="C185" s="188"/>
      <c r="D185" s="190"/>
      <c r="E185" s="190"/>
      <c r="F185" s="190"/>
      <c r="G185" s="189"/>
      <c r="H185" s="188"/>
      <c r="I185" s="188"/>
      <c r="J185" s="188"/>
      <c r="K185" s="188"/>
      <c r="L185" s="188"/>
      <c r="M185" s="188"/>
      <c r="N185" s="188"/>
      <c r="O185" s="188"/>
      <c r="P185" s="188"/>
      <c r="Q185" s="188"/>
      <c r="R185" s="188"/>
      <c r="S185" s="188"/>
      <c r="T185" s="188"/>
      <c r="U185" s="188"/>
      <c r="V185" s="188"/>
      <c r="W185" s="188"/>
      <c r="X185" s="188"/>
      <c r="Y185" s="188"/>
      <c r="Z185" s="188"/>
    </row>
    <row r="186" spans="1:26" ht="16.5" customHeight="1">
      <c r="A186" s="188"/>
      <c r="B186" s="188"/>
      <c r="C186" s="188"/>
      <c r="D186" s="190"/>
      <c r="E186" s="190"/>
      <c r="F186" s="190"/>
      <c r="G186" s="189"/>
      <c r="H186" s="188"/>
      <c r="I186" s="188"/>
      <c r="J186" s="188"/>
      <c r="K186" s="188"/>
      <c r="L186" s="188"/>
      <c r="M186" s="188"/>
      <c r="N186" s="188"/>
      <c r="O186" s="188"/>
      <c r="P186" s="188"/>
      <c r="Q186" s="188"/>
      <c r="R186" s="188"/>
      <c r="S186" s="188"/>
      <c r="T186" s="188"/>
      <c r="U186" s="188"/>
      <c r="V186" s="188"/>
      <c r="W186" s="188"/>
      <c r="X186" s="188"/>
      <c r="Y186" s="188"/>
      <c r="Z186" s="188"/>
    </row>
    <row r="187" spans="1:26" ht="16.5" customHeight="1">
      <c r="A187" s="188"/>
      <c r="B187" s="188"/>
      <c r="C187" s="188"/>
      <c r="D187" s="190"/>
      <c r="E187" s="190"/>
      <c r="F187" s="190"/>
      <c r="G187" s="189"/>
      <c r="H187" s="188"/>
      <c r="I187" s="188"/>
      <c r="J187" s="188"/>
      <c r="K187" s="188"/>
      <c r="L187" s="188"/>
      <c r="M187" s="188"/>
      <c r="N187" s="188"/>
      <c r="O187" s="188"/>
      <c r="P187" s="188"/>
      <c r="Q187" s="188"/>
      <c r="R187" s="188"/>
      <c r="S187" s="188"/>
      <c r="T187" s="188"/>
      <c r="U187" s="188"/>
      <c r="V187" s="188"/>
      <c r="W187" s="188"/>
      <c r="X187" s="188"/>
      <c r="Y187" s="188"/>
      <c r="Z187" s="188"/>
    </row>
    <row r="188" spans="1:26" ht="16.5" customHeight="1">
      <c r="A188" s="188"/>
      <c r="B188" s="188"/>
      <c r="C188" s="188"/>
      <c r="D188" s="190"/>
      <c r="E188" s="190"/>
      <c r="F188" s="190"/>
      <c r="G188" s="189"/>
      <c r="H188" s="188"/>
      <c r="I188" s="188"/>
      <c r="J188" s="188"/>
      <c r="K188" s="188"/>
      <c r="L188" s="188"/>
      <c r="M188" s="188"/>
      <c r="N188" s="188"/>
      <c r="O188" s="188"/>
      <c r="P188" s="188"/>
      <c r="Q188" s="188"/>
      <c r="R188" s="188"/>
      <c r="S188" s="188"/>
      <c r="T188" s="188"/>
      <c r="U188" s="188"/>
      <c r="V188" s="188"/>
      <c r="W188" s="188"/>
      <c r="X188" s="188"/>
      <c r="Y188" s="188"/>
      <c r="Z188" s="188"/>
    </row>
    <row r="189" spans="1:26" ht="16.5" customHeight="1">
      <c r="A189" s="188"/>
      <c r="B189" s="188"/>
      <c r="C189" s="188"/>
      <c r="D189" s="190"/>
      <c r="E189" s="190"/>
      <c r="F189" s="190"/>
      <c r="G189" s="189"/>
      <c r="H189" s="188"/>
      <c r="I189" s="188"/>
      <c r="J189" s="188"/>
      <c r="K189" s="188"/>
      <c r="L189" s="188"/>
      <c r="M189" s="188"/>
      <c r="N189" s="188"/>
      <c r="O189" s="188"/>
      <c r="P189" s="188"/>
      <c r="Q189" s="188"/>
      <c r="R189" s="188"/>
      <c r="S189" s="188"/>
      <c r="T189" s="188"/>
      <c r="U189" s="188"/>
      <c r="V189" s="188"/>
      <c r="W189" s="188"/>
      <c r="X189" s="188"/>
      <c r="Y189" s="188"/>
      <c r="Z189" s="188"/>
    </row>
    <row r="190" spans="1:26" ht="16.5" customHeight="1">
      <c r="A190" s="188"/>
      <c r="B190" s="188"/>
      <c r="C190" s="188"/>
      <c r="D190" s="190"/>
      <c r="E190" s="190"/>
      <c r="F190" s="190"/>
      <c r="G190" s="189"/>
      <c r="H190" s="188"/>
      <c r="I190" s="188"/>
      <c r="J190" s="188"/>
      <c r="K190" s="188"/>
      <c r="L190" s="188"/>
      <c r="M190" s="188"/>
      <c r="N190" s="188"/>
      <c r="O190" s="188"/>
      <c r="P190" s="188"/>
      <c r="Q190" s="188"/>
      <c r="R190" s="188"/>
      <c r="S190" s="188"/>
      <c r="T190" s="188"/>
      <c r="U190" s="188"/>
      <c r="V190" s="188"/>
      <c r="W190" s="188"/>
      <c r="X190" s="188"/>
      <c r="Y190" s="188"/>
      <c r="Z190" s="188"/>
    </row>
    <row r="191" spans="1:26" ht="16.5" customHeight="1">
      <c r="A191" s="188"/>
      <c r="B191" s="188"/>
      <c r="C191" s="188"/>
      <c r="D191" s="190"/>
      <c r="E191" s="190"/>
      <c r="F191" s="190"/>
      <c r="G191" s="189"/>
      <c r="H191" s="188"/>
      <c r="I191" s="188"/>
      <c r="J191" s="188"/>
      <c r="K191" s="188"/>
      <c r="L191" s="188"/>
      <c r="M191" s="188"/>
      <c r="N191" s="188"/>
      <c r="O191" s="188"/>
      <c r="P191" s="188"/>
      <c r="Q191" s="188"/>
      <c r="R191" s="188"/>
      <c r="S191" s="188"/>
      <c r="T191" s="188"/>
      <c r="U191" s="188"/>
      <c r="V191" s="188"/>
      <c r="W191" s="188"/>
      <c r="X191" s="188"/>
      <c r="Y191" s="188"/>
      <c r="Z191" s="188"/>
    </row>
    <row r="192" spans="1:26" ht="16.5" customHeight="1">
      <c r="A192" s="188"/>
      <c r="B192" s="188"/>
      <c r="C192" s="188"/>
      <c r="D192" s="190"/>
      <c r="E192" s="190"/>
      <c r="F192" s="190"/>
      <c r="G192" s="189"/>
      <c r="H192" s="188"/>
      <c r="I192" s="188"/>
      <c r="J192" s="188"/>
      <c r="K192" s="188"/>
      <c r="L192" s="188"/>
      <c r="M192" s="188"/>
      <c r="N192" s="188"/>
      <c r="O192" s="188"/>
      <c r="P192" s="188"/>
      <c r="Q192" s="188"/>
      <c r="R192" s="188"/>
      <c r="S192" s="188"/>
      <c r="T192" s="188"/>
      <c r="U192" s="188"/>
      <c r="V192" s="188"/>
      <c r="W192" s="188"/>
      <c r="X192" s="188"/>
      <c r="Y192" s="188"/>
      <c r="Z192" s="188"/>
    </row>
    <row r="193" spans="1:26" ht="16.5" customHeight="1">
      <c r="A193" s="188"/>
      <c r="B193" s="188"/>
      <c r="C193" s="188"/>
      <c r="D193" s="190"/>
      <c r="E193" s="190"/>
      <c r="F193" s="190"/>
      <c r="G193" s="189"/>
      <c r="H193" s="188"/>
      <c r="I193" s="188"/>
      <c r="J193" s="188"/>
      <c r="K193" s="188"/>
      <c r="L193" s="188"/>
      <c r="M193" s="188"/>
      <c r="N193" s="188"/>
      <c r="O193" s="188"/>
      <c r="P193" s="188"/>
      <c r="Q193" s="188"/>
      <c r="R193" s="188"/>
      <c r="S193" s="188"/>
      <c r="T193" s="188"/>
      <c r="U193" s="188"/>
      <c r="V193" s="188"/>
      <c r="W193" s="188"/>
      <c r="X193" s="188"/>
      <c r="Y193" s="188"/>
      <c r="Z193" s="188"/>
    </row>
    <row r="194" spans="1:26" ht="16.5" customHeight="1">
      <c r="A194" s="188"/>
      <c r="B194" s="188"/>
      <c r="C194" s="188"/>
      <c r="D194" s="190"/>
      <c r="E194" s="190"/>
      <c r="F194" s="190"/>
      <c r="G194" s="189"/>
      <c r="H194" s="188"/>
      <c r="I194" s="188"/>
      <c r="J194" s="188"/>
      <c r="K194" s="188"/>
      <c r="L194" s="188"/>
      <c r="M194" s="188"/>
      <c r="N194" s="188"/>
      <c r="O194" s="188"/>
      <c r="P194" s="188"/>
      <c r="Q194" s="188"/>
      <c r="R194" s="188"/>
      <c r="S194" s="188"/>
      <c r="T194" s="188"/>
      <c r="U194" s="188"/>
      <c r="V194" s="188"/>
      <c r="W194" s="188"/>
      <c r="X194" s="188"/>
      <c r="Y194" s="188"/>
      <c r="Z194" s="188"/>
    </row>
    <row r="195" spans="1:26" ht="16.5" customHeight="1">
      <c r="A195" s="188"/>
      <c r="B195" s="188"/>
      <c r="C195" s="188"/>
      <c r="D195" s="190"/>
      <c r="E195" s="190"/>
      <c r="F195" s="190"/>
      <c r="G195" s="189"/>
      <c r="H195" s="188"/>
      <c r="I195" s="188"/>
      <c r="J195" s="188"/>
      <c r="K195" s="188"/>
      <c r="L195" s="188"/>
      <c r="M195" s="188"/>
      <c r="N195" s="188"/>
      <c r="O195" s="188"/>
      <c r="P195" s="188"/>
      <c r="Q195" s="188"/>
      <c r="R195" s="188"/>
      <c r="S195" s="188"/>
      <c r="T195" s="188"/>
      <c r="U195" s="188"/>
      <c r="V195" s="188"/>
      <c r="W195" s="188"/>
      <c r="X195" s="188"/>
      <c r="Y195" s="188"/>
      <c r="Z195" s="188"/>
    </row>
    <row r="196" spans="1:26" ht="16.5" customHeight="1">
      <c r="A196" s="188"/>
      <c r="B196" s="188"/>
      <c r="C196" s="188"/>
      <c r="D196" s="190"/>
      <c r="E196" s="190"/>
      <c r="F196" s="190"/>
      <c r="G196" s="189"/>
      <c r="H196" s="188"/>
      <c r="I196" s="188"/>
      <c r="J196" s="188"/>
      <c r="K196" s="188"/>
      <c r="L196" s="188"/>
      <c r="M196" s="188"/>
      <c r="N196" s="188"/>
      <c r="O196" s="188"/>
      <c r="P196" s="188"/>
      <c r="Q196" s="188"/>
      <c r="R196" s="188"/>
      <c r="S196" s="188"/>
      <c r="T196" s="188"/>
      <c r="U196" s="188"/>
      <c r="V196" s="188"/>
      <c r="W196" s="188"/>
      <c r="X196" s="188"/>
      <c r="Y196" s="188"/>
      <c r="Z196" s="188"/>
    </row>
    <row r="197" spans="1:26" ht="16.5" customHeight="1">
      <c r="A197" s="188"/>
      <c r="B197" s="188"/>
      <c r="C197" s="188"/>
      <c r="D197" s="190"/>
      <c r="E197" s="190"/>
      <c r="F197" s="190"/>
      <c r="G197" s="189"/>
      <c r="H197" s="188"/>
      <c r="I197" s="188"/>
      <c r="J197" s="188"/>
      <c r="K197" s="188"/>
      <c r="L197" s="188"/>
      <c r="M197" s="188"/>
      <c r="N197" s="188"/>
      <c r="O197" s="188"/>
      <c r="P197" s="188"/>
      <c r="Q197" s="188"/>
      <c r="R197" s="188"/>
      <c r="S197" s="188"/>
      <c r="T197" s="188"/>
      <c r="U197" s="188"/>
      <c r="V197" s="188"/>
      <c r="W197" s="188"/>
      <c r="X197" s="188"/>
      <c r="Y197" s="188"/>
      <c r="Z197" s="188"/>
    </row>
    <row r="198" spans="1:26" ht="16.5" customHeight="1">
      <c r="A198" s="188"/>
      <c r="B198" s="188"/>
      <c r="C198" s="188"/>
      <c r="D198" s="190"/>
      <c r="E198" s="190"/>
      <c r="F198" s="190"/>
      <c r="G198" s="189"/>
      <c r="H198" s="188"/>
      <c r="I198" s="188"/>
      <c r="J198" s="188"/>
      <c r="K198" s="188"/>
      <c r="L198" s="188"/>
      <c r="M198" s="188"/>
      <c r="N198" s="188"/>
      <c r="O198" s="188"/>
      <c r="P198" s="188"/>
      <c r="Q198" s="188"/>
      <c r="R198" s="188"/>
      <c r="S198" s="188"/>
      <c r="T198" s="188"/>
      <c r="U198" s="188"/>
      <c r="V198" s="188"/>
      <c r="W198" s="188"/>
      <c r="X198" s="188"/>
      <c r="Y198" s="188"/>
      <c r="Z198" s="188"/>
    </row>
    <row r="199" spans="1:26" ht="16.5" customHeight="1">
      <c r="A199" s="188"/>
      <c r="B199" s="188"/>
      <c r="C199" s="188"/>
      <c r="D199" s="190"/>
      <c r="E199" s="190"/>
      <c r="F199" s="190"/>
      <c r="G199" s="189"/>
      <c r="H199" s="188"/>
      <c r="I199" s="188"/>
      <c r="J199" s="188"/>
      <c r="K199" s="188"/>
      <c r="L199" s="188"/>
      <c r="M199" s="188"/>
      <c r="N199" s="188"/>
      <c r="O199" s="188"/>
      <c r="P199" s="188"/>
      <c r="Q199" s="188"/>
      <c r="R199" s="188"/>
      <c r="S199" s="188"/>
      <c r="T199" s="188"/>
      <c r="U199" s="188"/>
      <c r="V199" s="188"/>
      <c r="W199" s="188"/>
      <c r="X199" s="188"/>
      <c r="Y199" s="188"/>
      <c r="Z199" s="188"/>
    </row>
    <row r="200" spans="1:26" ht="16.5" customHeight="1">
      <c r="A200" s="188"/>
      <c r="B200" s="188"/>
      <c r="C200" s="188"/>
      <c r="D200" s="190"/>
      <c r="E200" s="190"/>
      <c r="F200" s="190"/>
      <c r="G200" s="189"/>
      <c r="H200" s="188"/>
      <c r="I200" s="188"/>
      <c r="J200" s="188"/>
      <c r="K200" s="188"/>
      <c r="L200" s="188"/>
      <c r="M200" s="188"/>
      <c r="N200" s="188"/>
      <c r="O200" s="188"/>
      <c r="P200" s="188"/>
      <c r="Q200" s="188"/>
      <c r="R200" s="188"/>
      <c r="S200" s="188"/>
      <c r="T200" s="188"/>
      <c r="U200" s="188"/>
      <c r="V200" s="188"/>
      <c r="W200" s="188"/>
      <c r="X200" s="188"/>
      <c r="Y200" s="188"/>
      <c r="Z200" s="188"/>
    </row>
    <row r="201" spans="1:26" ht="16.5" customHeight="1">
      <c r="A201" s="188"/>
      <c r="B201" s="188"/>
      <c r="C201" s="188"/>
      <c r="D201" s="190"/>
      <c r="E201" s="190"/>
      <c r="F201" s="190"/>
      <c r="G201" s="189"/>
      <c r="H201" s="188"/>
      <c r="I201" s="188"/>
      <c r="J201" s="188"/>
      <c r="K201" s="188"/>
      <c r="L201" s="188"/>
      <c r="M201" s="188"/>
      <c r="N201" s="188"/>
      <c r="O201" s="188"/>
      <c r="P201" s="188"/>
      <c r="Q201" s="188"/>
      <c r="R201" s="188"/>
      <c r="S201" s="188"/>
      <c r="T201" s="188"/>
      <c r="U201" s="188"/>
      <c r="V201" s="188"/>
      <c r="W201" s="188"/>
      <c r="X201" s="188"/>
      <c r="Y201" s="188"/>
      <c r="Z201" s="188"/>
    </row>
    <row r="202" spans="1:26" ht="16.5" customHeight="1">
      <c r="A202" s="188"/>
      <c r="B202" s="188"/>
      <c r="C202" s="188"/>
      <c r="D202" s="190"/>
      <c r="E202" s="190"/>
      <c r="F202" s="190"/>
      <c r="G202" s="189"/>
      <c r="H202" s="188"/>
      <c r="I202" s="188"/>
      <c r="J202" s="188"/>
      <c r="K202" s="188"/>
      <c r="L202" s="188"/>
      <c r="M202" s="188"/>
      <c r="N202" s="188"/>
      <c r="O202" s="188"/>
      <c r="P202" s="188"/>
      <c r="Q202" s="188"/>
      <c r="R202" s="188"/>
      <c r="S202" s="188"/>
      <c r="T202" s="188"/>
      <c r="U202" s="188"/>
      <c r="V202" s="188"/>
      <c r="W202" s="188"/>
      <c r="X202" s="188"/>
      <c r="Y202" s="188"/>
      <c r="Z202" s="188"/>
    </row>
    <row r="203" spans="1:26" ht="16.5" customHeight="1">
      <c r="A203" s="188"/>
      <c r="B203" s="188"/>
      <c r="C203" s="188"/>
      <c r="D203" s="190"/>
      <c r="E203" s="190"/>
      <c r="F203" s="190"/>
      <c r="G203" s="189"/>
      <c r="H203" s="188"/>
      <c r="I203" s="188"/>
      <c r="J203" s="188"/>
      <c r="K203" s="188"/>
      <c r="L203" s="188"/>
      <c r="M203" s="188"/>
      <c r="N203" s="188"/>
      <c r="O203" s="188"/>
      <c r="P203" s="188"/>
      <c r="Q203" s="188"/>
      <c r="R203" s="188"/>
      <c r="S203" s="188"/>
      <c r="T203" s="188"/>
      <c r="U203" s="188"/>
      <c r="V203" s="188"/>
      <c r="W203" s="188"/>
      <c r="X203" s="188"/>
      <c r="Y203" s="188"/>
      <c r="Z203" s="188"/>
    </row>
    <row r="204" spans="1:26" ht="16.5" customHeight="1">
      <c r="A204" s="188"/>
      <c r="B204" s="188"/>
      <c r="C204" s="188"/>
      <c r="D204" s="190"/>
      <c r="E204" s="190"/>
      <c r="F204" s="190"/>
      <c r="G204" s="189"/>
      <c r="H204" s="188"/>
      <c r="I204" s="188"/>
      <c r="J204" s="188"/>
      <c r="K204" s="188"/>
      <c r="L204" s="188"/>
      <c r="M204" s="188"/>
      <c r="N204" s="188"/>
      <c r="O204" s="188"/>
      <c r="P204" s="188"/>
      <c r="Q204" s="188"/>
      <c r="R204" s="188"/>
      <c r="S204" s="188"/>
      <c r="T204" s="188"/>
      <c r="U204" s="188"/>
      <c r="V204" s="188"/>
      <c r="W204" s="188"/>
      <c r="X204" s="188"/>
      <c r="Y204" s="188"/>
      <c r="Z204" s="188"/>
    </row>
    <row r="205" spans="1:26" ht="16.5" customHeight="1">
      <c r="A205" s="188"/>
      <c r="B205" s="188"/>
      <c r="C205" s="188"/>
      <c r="D205" s="190"/>
      <c r="E205" s="190"/>
      <c r="F205" s="190"/>
      <c r="G205" s="189"/>
      <c r="H205" s="188"/>
      <c r="I205" s="188"/>
      <c r="J205" s="188"/>
      <c r="K205" s="188"/>
      <c r="L205" s="188"/>
      <c r="M205" s="188"/>
      <c r="N205" s="188"/>
      <c r="O205" s="188"/>
      <c r="P205" s="188"/>
      <c r="Q205" s="188"/>
      <c r="R205" s="188"/>
      <c r="S205" s="188"/>
      <c r="T205" s="188"/>
      <c r="U205" s="188"/>
      <c r="V205" s="188"/>
      <c r="W205" s="188"/>
      <c r="X205" s="188"/>
      <c r="Y205" s="188"/>
      <c r="Z205" s="188"/>
    </row>
    <row r="206" spans="1:26" ht="16.5" customHeight="1">
      <c r="A206" s="188"/>
      <c r="B206" s="188"/>
      <c r="C206" s="188"/>
      <c r="D206" s="190"/>
      <c r="E206" s="190"/>
      <c r="F206" s="190"/>
      <c r="G206" s="189"/>
      <c r="H206" s="188"/>
      <c r="I206" s="188"/>
      <c r="J206" s="188"/>
      <c r="K206" s="188"/>
      <c r="L206" s="188"/>
      <c r="M206" s="188"/>
      <c r="N206" s="188"/>
      <c r="O206" s="188"/>
      <c r="P206" s="188"/>
      <c r="Q206" s="188"/>
      <c r="R206" s="188"/>
      <c r="S206" s="188"/>
      <c r="T206" s="188"/>
      <c r="U206" s="188"/>
      <c r="V206" s="188"/>
      <c r="W206" s="188"/>
      <c r="X206" s="188"/>
      <c r="Y206" s="188"/>
      <c r="Z206" s="188"/>
    </row>
    <row r="207" spans="1:26" ht="16.5" customHeight="1">
      <c r="A207" s="188"/>
      <c r="B207" s="188"/>
      <c r="C207" s="188"/>
      <c r="D207" s="190"/>
      <c r="E207" s="190"/>
      <c r="F207" s="190"/>
      <c r="G207" s="189"/>
      <c r="H207" s="188"/>
      <c r="I207" s="188"/>
      <c r="J207" s="188"/>
      <c r="K207" s="188"/>
      <c r="L207" s="188"/>
      <c r="M207" s="188"/>
      <c r="N207" s="188"/>
      <c r="O207" s="188"/>
      <c r="P207" s="188"/>
      <c r="Q207" s="188"/>
      <c r="R207" s="188"/>
      <c r="S207" s="188"/>
      <c r="T207" s="188"/>
      <c r="U207" s="188"/>
      <c r="V207" s="188"/>
      <c r="W207" s="188"/>
      <c r="X207" s="188"/>
      <c r="Y207" s="188"/>
      <c r="Z207" s="188"/>
    </row>
    <row r="208" spans="1:26" ht="16.5" customHeight="1">
      <c r="A208" s="188"/>
      <c r="B208" s="188"/>
      <c r="C208" s="188"/>
      <c r="D208" s="190"/>
      <c r="E208" s="190"/>
      <c r="F208" s="190"/>
      <c r="G208" s="189"/>
      <c r="H208" s="188"/>
      <c r="I208" s="188"/>
      <c r="J208" s="188"/>
      <c r="K208" s="188"/>
      <c r="L208" s="188"/>
      <c r="M208" s="188"/>
      <c r="N208" s="188"/>
      <c r="O208" s="188"/>
      <c r="P208" s="188"/>
      <c r="Q208" s="188"/>
      <c r="R208" s="188"/>
      <c r="S208" s="188"/>
      <c r="T208" s="188"/>
      <c r="U208" s="188"/>
      <c r="V208" s="188"/>
      <c r="W208" s="188"/>
      <c r="X208" s="188"/>
      <c r="Y208" s="188"/>
      <c r="Z208" s="188"/>
    </row>
    <row r="209" spans="1:26" ht="16.5" customHeight="1">
      <c r="A209" s="188"/>
      <c r="B209" s="188"/>
      <c r="C209" s="188"/>
      <c r="D209" s="190"/>
      <c r="E209" s="190"/>
      <c r="F209" s="190"/>
      <c r="G209" s="189"/>
      <c r="H209" s="188"/>
      <c r="I209" s="188"/>
      <c r="J209" s="188"/>
      <c r="K209" s="188"/>
      <c r="L209" s="188"/>
      <c r="M209" s="188"/>
      <c r="N209" s="188"/>
      <c r="O209" s="188"/>
      <c r="P209" s="188"/>
      <c r="Q209" s="188"/>
      <c r="R209" s="188"/>
      <c r="S209" s="188"/>
      <c r="T209" s="188"/>
      <c r="U209" s="188"/>
      <c r="V209" s="188"/>
      <c r="W209" s="188"/>
      <c r="X209" s="188"/>
      <c r="Y209" s="188"/>
      <c r="Z209" s="188"/>
    </row>
    <row r="210" spans="1:26" ht="16.5" customHeight="1">
      <c r="A210" s="188"/>
      <c r="B210" s="188"/>
      <c r="C210" s="188"/>
      <c r="D210" s="190"/>
      <c r="E210" s="190"/>
      <c r="F210" s="190"/>
      <c r="G210" s="189"/>
      <c r="H210" s="188"/>
      <c r="I210" s="188"/>
      <c r="J210" s="188"/>
      <c r="K210" s="188"/>
      <c r="L210" s="188"/>
      <c r="M210" s="188"/>
      <c r="N210" s="188"/>
      <c r="O210" s="188"/>
      <c r="P210" s="188"/>
      <c r="Q210" s="188"/>
      <c r="R210" s="188"/>
      <c r="S210" s="188"/>
      <c r="T210" s="188"/>
      <c r="U210" s="188"/>
      <c r="V210" s="188"/>
      <c r="W210" s="188"/>
      <c r="X210" s="188"/>
      <c r="Y210" s="188"/>
      <c r="Z210" s="188"/>
    </row>
    <row r="211" spans="1:26" ht="16.5" customHeight="1">
      <c r="A211" s="188"/>
      <c r="B211" s="188"/>
      <c r="C211" s="188"/>
      <c r="D211" s="190"/>
      <c r="E211" s="190"/>
      <c r="F211" s="190"/>
      <c r="G211" s="189"/>
      <c r="H211" s="188"/>
      <c r="I211" s="188"/>
      <c r="J211" s="188"/>
      <c r="K211" s="188"/>
      <c r="L211" s="188"/>
      <c r="M211" s="188"/>
      <c r="N211" s="188"/>
      <c r="O211" s="188"/>
      <c r="P211" s="188"/>
      <c r="Q211" s="188"/>
      <c r="R211" s="188"/>
      <c r="S211" s="188"/>
      <c r="T211" s="188"/>
      <c r="U211" s="188"/>
      <c r="V211" s="188"/>
      <c r="W211" s="188"/>
      <c r="X211" s="188"/>
      <c r="Y211" s="188"/>
      <c r="Z211" s="188"/>
    </row>
    <row r="212" spans="1:26" ht="16.5" customHeight="1">
      <c r="A212" s="188"/>
      <c r="B212" s="188"/>
      <c r="C212" s="188"/>
      <c r="D212" s="190"/>
      <c r="E212" s="190"/>
      <c r="F212" s="190"/>
      <c r="G212" s="189"/>
      <c r="H212" s="188"/>
      <c r="I212" s="188"/>
      <c r="J212" s="188"/>
      <c r="K212" s="188"/>
      <c r="L212" s="188"/>
      <c r="M212" s="188"/>
      <c r="N212" s="188"/>
      <c r="O212" s="188"/>
      <c r="P212" s="188"/>
      <c r="Q212" s="188"/>
      <c r="R212" s="188"/>
      <c r="S212" s="188"/>
      <c r="T212" s="188"/>
      <c r="U212" s="188"/>
      <c r="V212" s="188"/>
      <c r="W212" s="188"/>
      <c r="X212" s="188"/>
      <c r="Y212" s="188"/>
      <c r="Z212" s="188"/>
    </row>
    <row r="213" spans="1:26" ht="16.5" customHeight="1">
      <c r="A213" s="188"/>
      <c r="B213" s="188"/>
      <c r="C213" s="188"/>
      <c r="D213" s="190"/>
      <c r="E213" s="190"/>
      <c r="F213" s="190"/>
      <c r="G213" s="189"/>
      <c r="H213" s="188"/>
      <c r="I213" s="188"/>
      <c r="J213" s="188"/>
      <c r="K213" s="188"/>
      <c r="L213" s="188"/>
      <c r="M213" s="188"/>
      <c r="N213" s="188"/>
      <c r="O213" s="188"/>
      <c r="P213" s="188"/>
      <c r="Q213" s="188"/>
      <c r="R213" s="188"/>
      <c r="S213" s="188"/>
      <c r="T213" s="188"/>
      <c r="U213" s="188"/>
      <c r="V213" s="188"/>
      <c r="W213" s="188"/>
      <c r="X213" s="188"/>
      <c r="Y213" s="188"/>
      <c r="Z213" s="188"/>
    </row>
    <row r="214" spans="1:26" ht="16.5" customHeight="1">
      <c r="A214" s="188"/>
      <c r="B214" s="188"/>
      <c r="C214" s="188"/>
      <c r="D214" s="190"/>
      <c r="E214" s="190"/>
      <c r="F214" s="190"/>
      <c r="G214" s="189"/>
      <c r="H214" s="188"/>
      <c r="I214" s="188"/>
      <c r="J214" s="188"/>
      <c r="K214" s="188"/>
      <c r="L214" s="188"/>
      <c r="M214" s="188"/>
      <c r="N214" s="188"/>
      <c r="O214" s="188"/>
      <c r="P214" s="188"/>
      <c r="Q214" s="188"/>
      <c r="R214" s="188"/>
      <c r="S214" s="188"/>
      <c r="T214" s="188"/>
      <c r="U214" s="188"/>
      <c r="V214" s="188"/>
      <c r="W214" s="188"/>
      <c r="X214" s="188"/>
      <c r="Y214" s="188"/>
      <c r="Z214" s="188"/>
    </row>
    <row r="215" spans="1:26" ht="16.5" customHeight="1">
      <c r="A215" s="188"/>
      <c r="B215" s="188"/>
      <c r="C215" s="188"/>
      <c r="D215" s="190"/>
      <c r="E215" s="190"/>
      <c r="F215" s="190"/>
      <c r="G215" s="189"/>
      <c r="H215" s="188"/>
      <c r="I215" s="188"/>
      <c r="J215" s="188"/>
      <c r="K215" s="188"/>
      <c r="L215" s="188"/>
      <c r="M215" s="188"/>
      <c r="N215" s="188"/>
      <c r="O215" s="188"/>
      <c r="P215" s="188"/>
      <c r="Q215" s="188"/>
      <c r="R215" s="188"/>
      <c r="S215" s="188"/>
      <c r="T215" s="188"/>
      <c r="U215" s="188"/>
      <c r="V215" s="188"/>
      <c r="W215" s="188"/>
      <c r="X215" s="188"/>
      <c r="Y215" s="188"/>
      <c r="Z215" s="188"/>
    </row>
    <row r="216" spans="1:26" ht="16.5" customHeight="1">
      <c r="A216" s="188"/>
      <c r="B216" s="188"/>
      <c r="C216" s="188"/>
      <c r="D216" s="190"/>
      <c r="E216" s="190"/>
      <c r="F216" s="190"/>
      <c r="G216" s="189"/>
      <c r="H216" s="188"/>
      <c r="I216" s="188"/>
      <c r="J216" s="188"/>
      <c r="K216" s="188"/>
      <c r="L216" s="188"/>
      <c r="M216" s="188"/>
      <c r="N216" s="188"/>
      <c r="O216" s="188"/>
      <c r="P216" s="188"/>
      <c r="Q216" s="188"/>
      <c r="R216" s="188"/>
      <c r="S216" s="188"/>
      <c r="T216" s="188"/>
      <c r="U216" s="188"/>
      <c r="V216" s="188"/>
      <c r="W216" s="188"/>
      <c r="X216" s="188"/>
      <c r="Y216" s="188"/>
      <c r="Z216" s="188"/>
    </row>
    <row r="217" spans="1:26" ht="16.5" customHeight="1">
      <c r="A217" s="188"/>
      <c r="B217" s="188"/>
      <c r="C217" s="188"/>
      <c r="D217" s="190"/>
      <c r="E217" s="190"/>
      <c r="F217" s="190"/>
      <c r="G217" s="189"/>
      <c r="H217" s="188"/>
      <c r="I217" s="188"/>
      <c r="J217" s="188"/>
      <c r="K217" s="188"/>
      <c r="L217" s="188"/>
      <c r="M217" s="188"/>
      <c r="N217" s="188"/>
      <c r="O217" s="188"/>
      <c r="P217" s="188"/>
      <c r="Q217" s="188"/>
      <c r="R217" s="188"/>
      <c r="S217" s="188"/>
      <c r="T217" s="188"/>
      <c r="U217" s="188"/>
      <c r="V217" s="188"/>
      <c r="W217" s="188"/>
      <c r="X217" s="188"/>
      <c r="Y217" s="188"/>
      <c r="Z217" s="188"/>
    </row>
    <row r="218" spans="1:26" ht="16.5" customHeight="1">
      <c r="A218" s="188"/>
      <c r="B218" s="188"/>
      <c r="C218" s="188"/>
      <c r="D218" s="190"/>
      <c r="E218" s="190"/>
      <c r="F218" s="190"/>
      <c r="G218" s="189"/>
      <c r="H218" s="188"/>
      <c r="I218" s="188"/>
      <c r="J218" s="188"/>
      <c r="K218" s="188"/>
      <c r="L218" s="188"/>
      <c r="M218" s="188"/>
      <c r="N218" s="188"/>
      <c r="O218" s="188"/>
      <c r="P218" s="188"/>
      <c r="Q218" s="188"/>
      <c r="R218" s="188"/>
      <c r="S218" s="188"/>
      <c r="T218" s="188"/>
      <c r="U218" s="188"/>
      <c r="V218" s="188"/>
      <c r="W218" s="188"/>
      <c r="X218" s="188"/>
      <c r="Y218" s="188"/>
      <c r="Z218" s="188"/>
    </row>
    <row r="219" spans="1:26" ht="16.5" customHeight="1">
      <c r="A219" s="188"/>
      <c r="B219" s="188"/>
      <c r="C219" s="188"/>
      <c r="D219" s="190"/>
      <c r="E219" s="190"/>
      <c r="F219" s="190"/>
      <c r="G219" s="189"/>
      <c r="H219" s="188"/>
      <c r="I219" s="188"/>
      <c r="J219" s="188"/>
      <c r="K219" s="188"/>
      <c r="L219" s="188"/>
      <c r="M219" s="188"/>
      <c r="N219" s="188"/>
      <c r="O219" s="188"/>
      <c r="P219" s="188"/>
      <c r="Q219" s="188"/>
      <c r="R219" s="188"/>
      <c r="S219" s="188"/>
      <c r="T219" s="188"/>
      <c r="U219" s="188"/>
      <c r="V219" s="188"/>
      <c r="W219" s="188"/>
      <c r="X219" s="188"/>
      <c r="Y219" s="188"/>
      <c r="Z219" s="188"/>
    </row>
    <row r="220" spans="1:26" ht="16.5" customHeight="1">
      <c r="A220" s="188"/>
      <c r="B220" s="188"/>
      <c r="C220" s="188"/>
      <c r="D220" s="190"/>
      <c r="E220" s="190"/>
      <c r="F220" s="190"/>
      <c r="G220" s="189"/>
      <c r="H220" s="188"/>
      <c r="I220" s="188"/>
      <c r="J220" s="188"/>
      <c r="K220" s="188"/>
      <c r="L220" s="188"/>
      <c r="M220" s="188"/>
      <c r="N220" s="188"/>
      <c r="O220" s="188"/>
      <c r="P220" s="188"/>
      <c r="Q220" s="188"/>
      <c r="R220" s="188"/>
      <c r="S220" s="188"/>
      <c r="T220" s="188"/>
      <c r="U220" s="188"/>
      <c r="V220" s="188"/>
      <c r="W220" s="188"/>
      <c r="X220" s="188"/>
      <c r="Y220" s="188"/>
      <c r="Z220" s="188"/>
    </row>
    <row r="221" spans="1:26" ht="16.5" customHeight="1">
      <c r="A221" s="188"/>
      <c r="B221" s="188"/>
      <c r="C221" s="188"/>
      <c r="D221" s="190"/>
      <c r="E221" s="190"/>
      <c r="F221" s="190"/>
      <c r="G221" s="189"/>
      <c r="H221" s="188"/>
      <c r="I221" s="188"/>
      <c r="J221" s="188"/>
      <c r="K221" s="188"/>
      <c r="L221" s="188"/>
      <c r="M221" s="188"/>
      <c r="N221" s="188"/>
      <c r="O221" s="188"/>
      <c r="P221" s="188"/>
      <c r="Q221" s="188"/>
      <c r="R221" s="188"/>
      <c r="S221" s="188"/>
      <c r="T221" s="188"/>
      <c r="U221" s="188"/>
      <c r="V221" s="188"/>
      <c r="W221" s="188"/>
      <c r="X221" s="188"/>
      <c r="Y221" s="188"/>
      <c r="Z221" s="188"/>
    </row>
    <row r="222" spans="1:26" ht="16.5" customHeight="1">
      <c r="A222" s="188"/>
      <c r="B222" s="188"/>
      <c r="C222" s="188"/>
      <c r="D222" s="190"/>
      <c r="E222" s="190"/>
      <c r="F222" s="190"/>
      <c r="G222" s="189"/>
      <c r="H222" s="188"/>
      <c r="I222" s="188"/>
      <c r="J222" s="188"/>
      <c r="K222" s="188"/>
      <c r="L222" s="188"/>
      <c r="M222" s="188"/>
      <c r="N222" s="188"/>
      <c r="O222" s="188"/>
      <c r="P222" s="188"/>
      <c r="Q222" s="188"/>
      <c r="R222" s="188"/>
      <c r="S222" s="188"/>
      <c r="T222" s="188"/>
      <c r="U222" s="188"/>
      <c r="V222" s="188"/>
      <c r="W222" s="188"/>
      <c r="X222" s="188"/>
      <c r="Y222" s="188"/>
      <c r="Z222" s="188"/>
    </row>
    <row r="223" spans="1:26" ht="16.5" customHeight="1">
      <c r="A223" s="188"/>
      <c r="B223" s="188"/>
      <c r="C223" s="188"/>
      <c r="D223" s="190"/>
      <c r="E223" s="190"/>
      <c r="F223" s="190"/>
      <c r="G223" s="189"/>
      <c r="H223" s="188"/>
      <c r="I223" s="188"/>
      <c r="J223" s="188"/>
      <c r="K223" s="188"/>
      <c r="L223" s="188"/>
      <c r="M223" s="188"/>
      <c r="N223" s="188"/>
      <c r="O223" s="188"/>
      <c r="P223" s="188"/>
      <c r="Q223" s="188"/>
      <c r="R223" s="188"/>
      <c r="S223" s="188"/>
      <c r="T223" s="188"/>
      <c r="U223" s="188"/>
      <c r="V223" s="188"/>
      <c r="W223" s="188"/>
      <c r="X223" s="188"/>
      <c r="Y223" s="188"/>
      <c r="Z223" s="188"/>
    </row>
    <row r="224" spans="1:26" ht="16.5" customHeight="1">
      <c r="A224" s="188"/>
      <c r="B224" s="188"/>
      <c r="C224" s="188"/>
      <c r="D224" s="190"/>
      <c r="E224" s="190"/>
      <c r="F224" s="190"/>
      <c r="G224" s="189"/>
      <c r="H224" s="188"/>
      <c r="I224" s="188"/>
      <c r="J224" s="188"/>
      <c r="K224" s="188"/>
      <c r="L224" s="188"/>
      <c r="M224" s="188"/>
      <c r="N224" s="188"/>
      <c r="O224" s="188"/>
      <c r="P224" s="188"/>
      <c r="Q224" s="188"/>
      <c r="R224" s="188"/>
      <c r="S224" s="188"/>
      <c r="T224" s="188"/>
      <c r="U224" s="188"/>
      <c r="V224" s="188"/>
      <c r="W224" s="188"/>
      <c r="X224" s="188"/>
      <c r="Y224" s="188"/>
      <c r="Z224" s="188"/>
    </row>
    <row r="225" spans="1:26" ht="16.5" customHeight="1">
      <c r="A225" s="188"/>
      <c r="B225" s="188"/>
      <c r="C225" s="188"/>
      <c r="D225" s="190"/>
      <c r="E225" s="190"/>
      <c r="F225" s="190"/>
      <c r="G225" s="189"/>
      <c r="H225" s="188"/>
      <c r="I225" s="188"/>
      <c r="J225" s="188"/>
      <c r="K225" s="188"/>
      <c r="L225" s="188"/>
      <c r="M225" s="188"/>
      <c r="N225" s="188"/>
      <c r="O225" s="188"/>
      <c r="P225" s="188"/>
      <c r="Q225" s="188"/>
      <c r="R225" s="188"/>
      <c r="S225" s="188"/>
      <c r="T225" s="188"/>
      <c r="U225" s="188"/>
      <c r="V225" s="188"/>
      <c r="W225" s="188"/>
      <c r="X225" s="188"/>
      <c r="Y225" s="188"/>
      <c r="Z225" s="188"/>
    </row>
    <row r="226" spans="1:26" ht="16.5" customHeight="1">
      <c r="A226" s="188"/>
      <c r="B226" s="188"/>
      <c r="C226" s="188"/>
      <c r="D226" s="190"/>
      <c r="E226" s="190"/>
      <c r="F226" s="190"/>
      <c r="G226" s="189"/>
      <c r="H226" s="188"/>
      <c r="I226" s="188"/>
      <c r="J226" s="188"/>
      <c r="K226" s="188"/>
      <c r="L226" s="188"/>
      <c r="M226" s="188"/>
      <c r="N226" s="188"/>
      <c r="O226" s="188"/>
      <c r="P226" s="188"/>
      <c r="Q226" s="188"/>
      <c r="R226" s="188"/>
      <c r="S226" s="188"/>
      <c r="T226" s="188"/>
      <c r="U226" s="188"/>
      <c r="V226" s="188"/>
      <c r="W226" s="188"/>
      <c r="X226" s="188"/>
      <c r="Y226" s="188"/>
      <c r="Z226" s="188"/>
    </row>
    <row r="227" spans="1:26" ht="16.5" customHeight="1">
      <c r="A227" s="188"/>
      <c r="B227" s="188"/>
      <c r="C227" s="188"/>
      <c r="D227" s="190"/>
      <c r="E227" s="190"/>
      <c r="F227" s="190"/>
      <c r="G227" s="189"/>
      <c r="H227" s="188"/>
      <c r="I227" s="188"/>
      <c r="J227" s="188"/>
      <c r="K227" s="188"/>
      <c r="L227" s="188"/>
      <c r="M227" s="188"/>
      <c r="N227" s="188"/>
      <c r="O227" s="188"/>
      <c r="P227" s="188"/>
      <c r="Q227" s="188"/>
      <c r="R227" s="188"/>
      <c r="S227" s="188"/>
      <c r="T227" s="188"/>
      <c r="U227" s="188"/>
      <c r="V227" s="188"/>
      <c r="W227" s="188"/>
      <c r="X227" s="188"/>
      <c r="Y227" s="188"/>
      <c r="Z227" s="188"/>
    </row>
    <row r="228" spans="1:26" ht="16.5" customHeight="1">
      <c r="A228" s="188"/>
      <c r="B228" s="188"/>
      <c r="C228" s="188"/>
      <c r="D228" s="190"/>
      <c r="E228" s="190"/>
      <c r="F228" s="190"/>
      <c r="G228" s="189"/>
      <c r="H228" s="188"/>
      <c r="I228" s="188"/>
      <c r="J228" s="188"/>
      <c r="K228" s="188"/>
      <c r="L228" s="188"/>
      <c r="M228" s="188"/>
      <c r="N228" s="188"/>
      <c r="O228" s="188"/>
      <c r="P228" s="188"/>
      <c r="Q228" s="188"/>
      <c r="R228" s="188"/>
      <c r="S228" s="188"/>
      <c r="T228" s="188"/>
      <c r="U228" s="188"/>
      <c r="V228" s="188"/>
      <c r="W228" s="188"/>
      <c r="X228" s="188"/>
      <c r="Y228" s="188"/>
      <c r="Z228" s="188"/>
    </row>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F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Z1000"/>
  <sheetViews>
    <sheetView workbookViewId="0"/>
  </sheetViews>
  <sheetFormatPr defaultColWidth="10.109375" defaultRowHeight="15" customHeight="1"/>
  <cols>
    <col min="1" max="1" width="5" customWidth="1"/>
    <col min="2" max="2" width="24.88671875" customWidth="1"/>
    <col min="3" max="3" width="13.77734375" customWidth="1"/>
    <col min="4" max="4" width="14.44140625" customWidth="1"/>
    <col min="5" max="5" width="8.21875" customWidth="1"/>
    <col min="6" max="6" width="6.88671875" customWidth="1"/>
    <col min="7" max="25" width="11.44140625" customWidth="1"/>
  </cols>
  <sheetData>
    <row r="1" spans="1:26" ht="18">
      <c r="A1" s="361" t="s">
        <v>1444</v>
      </c>
      <c r="B1" s="381"/>
      <c r="C1" s="381"/>
      <c r="D1" s="381"/>
      <c r="E1" s="381"/>
      <c r="F1" s="200"/>
      <c r="G1" s="200"/>
      <c r="H1" s="200"/>
      <c r="I1" s="200"/>
      <c r="J1" s="200"/>
      <c r="K1" s="200"/>
      <c r="L1" s="200"/>
      <c r="M1" s="200"/>
      <c r="N1" s="200"/>
      <c r="O1" s="200"/>
      <c r="P1" s="200"/>
      <c r="Q1" s="200"/>
      <c r="R1" s="200"/>
      <c r="S1" s="200"/>
      <c r="T1" s="200"/>
      <c r="U1" s="200"/>
      <c r="V1" s="200"/>
      <c r="W1" s="200"/>
      <c r="X1" s="200"/>
      <c r="Y1" s="200"/>
      <c r="Z1" s="200"/>
    </row>
    <row r="2" spans="1:26" ht="18">
      <c r="A2" s="327"/>
      <c r="B2" s="327"/>
      <c r="C2" s="327"/>
      <c r="D2" s="327"/>
      <c r="E2" s="327"/>
      <c r="F2" s="200"/>
      <c r="G2" s="200"/>
      <c r="H2" s="200"/>
      <c r="I2" s="200"/>
      <c r="J2" s="200"/>
      <c r="K2" s="200"/>
      <c r="L2" s="200"/>
      <c r="M2" s="200"/>
      <c r="N2" s="200"/>
      <c r="O2" s="200"/>
      <c r="P2" s="200"/>
      <c r="Q2" s="200"/>
      <c r="R2" s="200"/>
      <c r="S2" s="200"/>
      <c r="T2" s="200"/>
      <c r="U2" s="200"/>
      <c r="V2" s="200"/>
      <c r="W2" s="200"/>
      <c r="X2" s="200"/>
      <c r="Y2" s="200"/>
      <c r="Z2" s="200"/>
    </row>
    <row r="3" spans="1:26" ht="15" customHeight="1">
      <c r="A3" s="201" t="s">
        <v>116</v>
      </c>
      <c r="B3" s="201" t="s">
        <v>40</v>
      </c>
      <c r="C3" s="201" t="s">
        <v>41</v>
      </c>
      <c r="D3" s="201" t="s">
        <v>4</v>
      </c>
      <c r="E3" s="201" t="s">
        <v>42</v>
      </c>
      <c r="F3" s="200"/>
      <c r="G3" s="200"/>
      <c r="H3" s="200"/>
      <c r="I3" s="200"/>
      <c r="J3" s="200"/>
      <c r="K3" s="200"/>
      <c r="L3" s="200"/>
      <c r="M3" s="200"/>
      <c r="N3" s="200"/>
      <c r="O3" s="200"/>
      <c r="P3" s="200"/>
      <c r="Q3" s="200"/>
      <c r="R3" s="200"/>
      <c r="S3" s="200"/>
      <c r="T3" s="200"/>
      <c r="U3" s="200"/>
      <c r="V3" s="200"/>
      <c r="W3" s="200"/>
      <c r="X3" s="200"/>
      <c r="Y3" s="200"/>
      <c r="Z3" s="200"/>
    </row>
    <row r="4" spans="1:26" ht="18">
      <c r="A4" s="202">
        <v>1</v>
      </c>
      <c r="B4" s="203" t="s">
        <v>1445</v>
      </c>
      <c r="C4" s="204"/>
      <c r="D4" s="205" t="e">
        <f>'2.1.Giá trị KT'!D14</f>
        <v>#REF!</v>
      </c>
      <c r="E4" s="202" t="s">
        <v>38</v>
      </c>
      <c r="F4" s="200"/>
      <c r="G4" s="200"/>
      <c r="H4" s="200"/>
      <c r="I4" s="200"/>
      <c r="J4" s="200"/>
      <c r="K4" s="200"/>
      <c r="L4" s="200"/>
      <c r="M4" s="200"/>
      <c r="N4" s="200"/>
      <c r="O4" s="200"/>
      <c r="P4" s="200"/>
      <c r="Q4" s="200"/>
      <c r="R4" s="200"/>
      <c r="S4" s="200"/>
      <c r="T4" s="200"/>
      <c r="U4" s="200"/>
      <c r="V4" s="200"/>
      <c r="W4" s="200"/>
      <c r="X4" s="200"/>
      <c r="Y4" s="200"/>
      <c r="Z4" s="200"/>
    </row>
    <row r="5" spans="1:26" ht="18">
      <c r="A5" s="202">
        <v>2</v>
      </c>
      <c r="B5" s="203" t="s">
        <v>45</v>
      </c>
      <c r="C5" s="202" t="s">
        <v>46</v>
      </c>
      <c r="D5" s="205" t="e">
        <f>D4*65%</f>
        <v>#REF!</v>
      </c>
      <c r="E5" s="202" t="s">
        <v>47</v>
      </c>
      <c r="F5" s="200"/>
      <c r="G5" s="200"/>
      <c r="H5" s="200"/>
      <c r="I5" s="200"/>
      <c r="J5" s="200"/>
      <c r="K5" s="200"/>
      <c r="L5" s="200"/>
      <c r="M5" s="200"/>
      <c r="N5" s="200"/>
      <c r="O5" s="200"/>
      <c r="P5" s="200"/>
      <c r="Q5" s="200"/>
      <c r="R5" s="200"/>
      <c r="S5" s="200"/>
      <c r="T5" s="200"/>
      <c r="U5" s="200"/>
      <c r="V5" s="200"/>
      <c r="W5" s="200"/>
      <c r="X5" s="200"/>
      <c r="Y5" s="200"/>
      <c r="Z5" s="200"/>
    </row>
    <row r="6" spans="1:26" ht="18">
      <c r="A6" s="202">
        <v>3</v>
      </c>
      <c r="B6" s="203" t="s">
        <v>48</v>
      </c>
      <c r="C6" s="202" t="s">
        <v>1446</v>
      </c>
      <c r="D6" s="205" t="e">
        <f>(D4+D5)*6%</f>
        <v>#REF!</v>
      </c>
      <c r="E6" s="202" t="s">
        <v>50</v>
      </c>
      <c r="F6" s="200"/>
      <c r="G6" s="200"/>
      <c r="H6" s="200"/>
      <c r="I6" s="200"/>
      <c r="J6" s="200"/>
      <c r="K6" s="200"/>
      <c r="L6" s="200"/>
      <c r="M6" s="200"/>
      <c r="N6" s="200"/>
      <c r="O6" s="200"/>
      <c r="P6" s="200"/>
      <c r="Q6" s="200"/>
      <c r="R6" s="200"/>
      <c r="S6" s="200"/>
      <c r="T6" s="200"/>
      <c r="U6" s="200"/>
      <c r="V6" s="200"/>
      <c r="W6" s="200"/>
      <c r="X6" s="200"/>
      <c r="Y6" s="200"/>
      <c r="Z6" s="200"/>
    </row>
    <row r="7" spans="1:26" ht="18">
      <c r="A7" s="202">
        <v>4</v>
      </c>
      <c r="B7" s="203" t="s">
        <v>1447</v>
      </c>
      <c r="C7" s="202" t="s">
        <v>52</v>
      </c>
      <c r="D7" s="205" t="e">
        <f>SUM(D4:D6)</f>
        <v>#REF!</v>
      </c>
      <c r="E7" s="202" t="s">
        <v>1448</v>
      </c>
      <c r="F7" s="200"/>
      <c r="G7" s="200"/>
      <c r="H7" s="200"/>
      <c r="I7" s="200"/>
      <c r="J7" s="200"/>
      <c r="K7" s="200"/>
      <c r="L7" s="200"/>
      <c r="M7" s="200"/>
      <c r="N7" s="200"/>
      <c r="O7" s="200"/>
      <c r="P7" s="200"/>
      <c r="Q7" s="200"/>
      <c r="R7" s="200"/>
      <c r="S7" s="200"/>
      <c r="T7" s="200"/>
      <c r="U7" s="200"/>
      <c r="V7" s="200"/>
      <c r="W7" s="200"/>
      <c r="X7" s="200"/>
      <c r="Y7" s="200"/>
      <c r="Z7" s="200"/>
    </row>
    <row r="8" spans="1:26" ht="18">
      <c r="A8" s="206"/>
      <c r="B8" s="207" t="s">
        <v>54</v>
      </c>
      <c r="C8" s="207" t="s">
        <v>1448</v>
      </c>
      <c r="D8" s="208" t="e">
        <f>ROUNDDOWN(D7,-5)</f>
        <v>#REF!</v>
      </c>
      <c r="E8" s="209"/>
      <c r="F8" s="200"/>
      <c r="G8" s="200"/>
      <c r="H8" s="200"/>
      <c r="I8" s="200"/>
      <c r="J8" s="200"/>
      <c r="K8" s="200"/>
      <c r="L8" s="200"/>
      <c r="M8" s="200"/>
      <c r="N8" s="200"/>
      <c r="O8" s="200"/>
      <c r="P8" s="200"/>
      <c r="Q8" s="200"/>
      <c r="R8" s="200"/>
      <c r="S8" s="200"/>
      <c r="T8" s="200"/>
      <c r="U8" s="200"/>
      <c r="V8" s="200"/>
      <c r="W8" s="200"/>
      <c r="X8" s="200"/>
      <c r="Y8" s="200"/>
      <c r="Z8" s="200"/>
    </row>
    <row r="9" spans="1:26" ht="18">
      <c r="A9" s="210"/>
      <c r="B9" s="210"/>
      <c r="C9" s="328"/>
      <c r="D9" s="210"/>
      <c r="E9" s="210"/>
      <c r="F9" s="200"/>
      <c r="G9" s="200"/>
      <c r="H9" s="200"/>
      <c r="I9" s="200"/>
      <c r="J9" s="200"/>
      <c r="K9" s="200"/>
      <c r="L9" s="200"/>
      <c r="M9" s="200"/>
      <c r="N9" s="200"/>
      <c r="O9" s="200"/>
      <c r="P9" s="200"/>
      <c r="Q9" s="200"/>
      <c r="R9" s="200"/>
      <c r="S9" s="200"/>
      <c r="T9" s="200"/>
      <c r="U9" s="200"/>
      <c r="V9" s="200"/>
      <c r="W9" s="200"/>
      <c r="X9" s="200"/>
      <c r="Y9" s="200"/>
      <c r="Z9" s="200"/>
    </row>
    <row r="10" spans="1:26" ht="18">
      <c r="A10" s="210"/>
      <c r="B10" s="210"/>
      <c r="C10" s="210"/>
      <c r="D10" s="210"/>
      <c r="E10" s="210"/>
      <c r="F10" s="200"/>
      <c r="G10" s="200"/>
      <c r="H10" s="200"/>
      <c r="I10" s="200"/>
      <c r="J10" s="200"/>
      <c r="K10" s="200"/>
      <c r="L10" s="200"/>
      <c r="M10" s="200"/>
      <c r="N10" s="200"/>
      <c r="O10" s="200"/>
      <c r="P10" s="200"/>
      <c r="Q10" s="200"/>
      <c r="R10" s="200"/>
      <c r="S10" s="200"/>
      <c r="T10" s="200"/>
      <c r="U10" s="200"/>
      <c r="V10" s="200"/>
      <c r="W10" s="200"/>
      <c r="X10" s="200"/>
      <c r="Y10" s="200"/>
      <c r="Z10" s="200"/>
    </row>
    <row r="11" spans="1:26" ht="18">
      <c r="A11" s="200"/>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row>
    <row r="12" spans="1:26" ht="18">
      <c r="A12" s="200"/>
      <c r="B12" s="200"/>
      <c r="C12" s="200"/>
      <c r="D12" s="200"/>
      <c r="E12" s="200"/>
      <c r="F12" s="200"/>
      <c r="G12" s="200"/>
      <c r="H12" s="200"/>
      <c r="I12" s="200"/>
      <c r="J12" s="200"/>
      <c r="K12" s="200"/>
      <c r="L12" s="200"/>
      <c r="M12" s="200"/>
      <c r="N12" s="200"/>
      <c r="O12" s="200"/>
      <c r="P12" s="200"/>
      <c r="Q12" s="200"/>
      <c r="R12" s="200"/>
      <c r="S12" s="200"/>
      <c r="T12" s="200"/>
      <c r="U12" s="200"/>
      <c r="V12" s="200"/>
      <c r="W12" s="200"/>
      <c r="X12" s="200"/>
      <c r="Y12" s="200"/>
      <c r="Z12" s="200"/>
    </row>
    <row r="13" spans="1:26" ht="18">
      <c r="A13" s="200"/>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 r="A15" s="200"/>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row>
    <row r="16" spans="1:26" ht="18">
      <c r="A16" s="200"/>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row>
    <row r="17" spans="1:26" ht="18">
      <c r="A17" s="200"/>
      <c r="B17" s="200"/>
      <c r="C17" s="200"/>
      <c r="D17" s="200"/>
      <c r="E17" s="200"/>
      <c r="F17" s="200"/>
      <c r="G17" s="200"/>
      <c r="H17" s="200"/>
      <c r="I17" s="200"/>
      <c r="J17" s="200"/>
      <c r="K17" s="200"/>
      <c r="L17" s="200"/>
      <c r="M17" s="200"/>
      <c r="N17" s="200"/>
      <c r="O17" s="200"/>
      <c r="P17" s="200"/>
      <c r="Q17" s="200"/>
      <c r="R17" s="200"/>
      <c r="S17" s="200"/>
      <c r="T17" s="200"/>
      <c r="U17" s="200"/>
      <c r="V17" s="200"/>
      <c r="W17" s="200"/>
      <c r="X17" s="200"/>
      <c r="Y17" s="200"/>
      <c r="Z17" s="200"/>
    </row>
    <row r="18" spans="1:26" ht="18">
      <c r="A18" s="200"/>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00"/>
      <c r="Z18" s="200"/>
    </row>
    <row r="19" spans="1:26" ht="18">
      <c r="A19" s="200"/>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row>
    <row r="20" spans="1:26" ht="18">
      <c r="A20" s="200"/>
      <c r="B20" s="200"/>
      <c r="C20" s="200"/>
      <c r="D20" s="200"/>
      <c r="E20" s="200"/>
      <c r="F20" s="200"/>
      <c r="G20" s="200"/>
      <c r="H20" s="200"/>
      <c r="I20" s="200"/>
      <c r="J20" s="200"/>
      <c r="K20" s="200"/>
      <c r="L20" s="200"/>
      <c r="M20" s="200"/>
      <c r="N20" s="200"/>
      <c r="O20" s="200"/>
      <c r="P20" s="200"/>
      <c r="Q20" s="200"/>
      <c r="R20" s="200"/>
      <c r="S20" s="200"/>
      <c r="T20" s="200"/>
      <c r="U20" s="200"/>
      <c r="V20" s="200"/>
      <c r="W20" s="200"/>
      <c r="X20" s="200"/>
      <c r="Y20" s="200"/>
      <c r="Z20" s="200"/>
    </row>
    <row r="21" spans="1:26" ht="15.75" customHeight="1">
      <c r="A21" s="200"/>
      <c r="B21" s="200"/>
      <c r="C21" s="200"/>
      <c r="D21" s="200"/>
      <c r="E21" s="200"/>
      <c r="F21" s="200"/>
      <c r="G21" s="200"/>
      <c r="H21" s="200"/>
      <c r="I21" s="200"/>
      <c r="J21" s="200"/>
      <c r="K21" s="200"/>
      <c r="L21" s="200"/>
      <c r="M21" s="200"/>
      <c r="N21" s="200"/>
      <c r="O21" s="200"/>
      <c r="P21" s="200"/>
      <c r="Q21" s="200"/>
      <c r="R21" s="200"/>
      <c r="S21" s="200"/>
      <c r="T21" s="200"/>
      <c r="U21" s="200"/>
      <c r="V21" s="200"/>
      <c r="W21" s="200"/>
      <c r="X21" s="200"/>
      <c r="Y21" s="200"/>
      <c r="Z21" s="200"/>
    </row>
    <row r="22" spans="1:26" ht="15.75" customHeight="1">
      <c r="A22" s="200"/>
      <c r="B22" s="200"/>
      <c r="C22" s="200"/>
      <c r="D22" s="200"/>
      <c r="E22" s="200"/>
      <c r="F22" s="200"/>
      <c r="G22" s="200"/>
      <c r="H22" s="200"/>
      <c r="I22" s="200"/>
      <c r="J22" s="200"/>
      <c r="K22" s="200"/>
      <c r="L22" s="200"/>
      <c r="M22" s="200"/>
      <c r="N22" s="200"/>
      <c r="O22" s="200"/>
      <c r="P22" s="200"/>
      <c r="Q22" s="200"/>
      <c r="R22" s="200"/>
      <c r="S22" s="200"/>
      <c r="T22" s="200"/>
      <c r="U22" s="200"/>
      <c r="V22" s="200"/>
      <c r="W22" s="200"/>
      <c r="X22" s="200"/>
      <c r="Y22" s="200"/>
      <c r="Z22" s="200"/>
    </row>
    <row r="23" spans="1:26" ht="15.75" customHeight="1">
      <c r="A23" s="200"/>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row>
    <row r="24" spans="1:26" ht="15.75" customHeight="1">
      <c r="A24" s="200"/>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5.75" customHeight="1">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5.75" customHeight="1">
      <c r="A26" s="200"/>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row>
    <row r="27" spans="1:26" ht="15.75" customHeight="1">
      <c r="A27" s="200"/>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row>
    <row r="28" spans="1:26" ht="15.75" customHeight="1">
      <c r="A28" s="200"/>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row>
    <row r="29" spans="1:26" ht="15.75" customHeight="1">
      <c r="A29" s="200"/>
      <c r="B29" s="200"/>
      <c r="C29" s="200"/>
      <c r="D29" s="200"/>
      <c r="E29" s="200"/>
      <c r="F29" s="200"/>
      <c r="G29" s="200"/>
      <c r="H29" s="200"/>
      <c r="I29" s="200"/>
      <c r="J29" s="200"/>
      <c r="K29" s="200"/>
      <c r="L29" s="200"/>
      <c r="M29" s="200"/>
      <c r="N29" s="200"/>
      <c r="O29" s="200"/>
      <c r="P29" s="200"/>
      <c r="Q29" s="200"/>
      <c r="R29" s="200"/>
      <c r="S29" s="200"/>
      <c r="T29" s="200"/>
      <c r="U29" s="200"/>
      <c r="V29" s="200"/>
      <c r="W29" s="200"/>
      <c r="X29" s="200"/>
      <c r="Y29" s="200"/>
      <c r="Z29" s="200"/>
    </row>
    <row r="30" spans="1:26" ht="15.75" customHeight="1">
      <c r="A30" s="200"/>
      <c r="B30" s="200"/>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row>
    <row r="31" spans="1:26" ht="15.75" customHeight="1">
      <c r="A31" s="200"/>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spans="1:26" ht="15.75" customHeight="1">
      <c r="A32" s="200"/>
      <c r="B32" s="200"/>
      <c r="C32" s="200"/>
      <c r="D32" s="200"/>
      <c r="E32" s="200"/>
      <c r="F32" s="200"/>
      <c r="G32" s="200"/>
      <c r="H32" s="200"/>
      <c r="I32" s="200"/>
      <c r="J32" s="200"/>
      <c r="K32" s="200"/>
      <c r="L32" s="200"/>
      <c r="M32" s="200"/>
      <c r="N32" s="200"/>
      <c r="O32" s="200"/>
      <c r="P32" s="200"/>
      <c r="Q32" s="200"/>
      <c r="R32" s="200"/>
      <c r="S32" s="200"/>
      <c r="T32" s="200"/>
      <c r="U32" s="200"/>
      <c r="V32" s="200"/>
      <c r="W32" s="200"/>
      <c r="X32" s="200"/>
      <c r="Y32" s="200"/>
      <c r="Z32" s="200"/>
    </row>
    <row r="33" spans="1:26" ht="15.75" customHeight="1">
      <c r="A33" s="200"/>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row>
    <row r="34" spans="1:26" ht="15.75" customHeight="1">
      <c r="A34" s="200"/>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row>
    <row r="35" spans="1:26" ht="15.75" customHeight="1">
      <c r="A35" s="200"/>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5.75" customHeight="1">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5.75" customHeight="1">
      <c r="A37" s="200"/>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row>
    <row r="38" spans="1:26" ht="15.75" customHeight="1">
      <c r="A38" s="200"/>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row>
    <row r="39" spans="1:26" ht="15.75" customHeight="1">
      <c r="A39" s="20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row>
    <row r="40" spans="1:26" ht="15.75" customHeight="1">
      <c r="A40" s="200"/>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row>
    <row r="41" spans="1:26" ht="15.75" customHeight="1">
      <c r="A41" s="200"/>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spans="1:26" ht="15.75" customHeight="1">
      <c r="A42" s="200"/>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row>
    <row r="43" spans="1:26" ht="15.75" customHeight="1">
      <c r="A43" s="200"/>
      <c r="B43" s="200"/>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row>
    <row r="44" spans="1:26" ht="15.75" customHeight="1">
      <c r="A44" s="200"/>
      <c r="B44" s="200"/>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row>
    <row r="45" spans="1:26" ht="15.75" customHeight="1">
      <c r="A45" s="200"/>
      <c r="B45" s="200"/>
      <c r="C45" s="200"/>
      <c r="D45" s="200"/>
      <c r="E45" s="200"/>
      <c r="F45" s="200"/>
      <c r="G45" s="200"/>
      <c r="H45" s="200"/>
      <c r="I45" s="200"/>
      <c r="J45" s="200"/>
      <c r="K45" s="200"/>
      <c r="L45" s="200"/>
      <c r="M45" s="200"/>
      <c r="N45" s="200"/>
      <c r="O45" s="200"/>
      <c r="P45" s="200"/>
      <c r="Q45" s="200"/>
      <c r="R45" s="200"/>
      <c r="S45" s="200"/>
      <c r="T45" s="200"/>
      <c r="U45" s="200"/>
      <c r="V45" s="200"/>
      <c r="W45" s="200"/>
      <c r="X45" s="200"/>
      <c r="Y45" s="200"/>
      <c r="Z45" s="200"/>
    </row>
    <row r="46" spans="1:26" ht="15.75" customHeight="1">
      <c r="A46" s="200"/>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5.75" customHeight="1">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5.75" customHeight="1">
      <c r="A48" s="200"/>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row>
    <row r="49" spans="1:26" ht="15.75" customHeight="1">
      <c r="A49" s="200"/>
      <c r="B49" s="200"/>
      <c r="C49" s="200"/>
      <c r="D49" s="200"/>
      <c r="E49" s="200"/>
      <c r="F49" s="200"/>
      <c r="G49" s="200"/>
      <c r="H49" s="200"/>
      <c r="I49" s="200"/>
      <c r="J49" s="200"/>
      <c r="K49" s="200"/>
      <c r="L49" s="200"/>
      <c r="M49" s="200"/>
      <c r="N49" s="200"/>
      <c r="O49" s="200"/>
      <c r="P49" s="200"/>
      <c r="Q49" s="200"/>
      <c r="R49" s="200"/>
      <c r="S49" s="200"/>
      <c r="T49" s="200"/>
      <c r="U49" s="200"/>
      <c r="V49" s="200"/>
      <c r="W49" s="200"/>
      <c r="X49" s="200"/>
      <c r="Y49" s="200"/>
      <c r="Z49" s="200"/>
    </row>
    <row r="50" spans="1:26" ht="15.75" customHeight="1">
      <c r="A50" s="200"/>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row>
    <row r="51" spans="1:26" ht="15.75" customHeight="1">
      <c r="A51" s="200"/>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c r="Z51" s="200"/>
    </row>
    <row r="52" spans="1:26" ht="15.75" customHeight="1">
      <c r="A52" s="200"/>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row>
    <row r="53" spans="1:26" ht="15.75" customHeight="1">
      <c r="A53" s="200"/>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row>
    <row r="54" spans="1:26" ht="15.75" customHeight="1">
      <c r="A54" s="200"/>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row>
    <row r="55" spans="1:26" ht="15.75" customHeight="1">
      <c r="A55" s="200"/>
      <c r="B55" s="200"/>
      <c r="C55" s="200"/>
      <c r="D55" s="200"/>
      <c r="E55" s="200"/>
      <c r="F55" s="200"/>
      <c r="G55" s="200"/>
      <c r="H55" s="200"/>
      <c r="I55" s="200"/>
      <c r="J55" s="200"/>
      <c r="K55" s="200"/>
      <c r="L55" s="200"/>
      <c r="M55" s="200"/>
      <c r="N55" s="200"/>
      <c r="O55" s="200"/>
      <c r="P55" s="200"/>
      <c r="Q55" s="200"/>
      <c r="R55" s="200"/>
      <c r="S55" s="200"/>
      <c r="T55" s="200"/>
      <c r="U55" s="200"/>
      <c r="V55" s="200"/>
      <c r="W55" s="200"/>
      <c r="X55" s="200"/>
      <c r="Y55" s="200"/>
      <c r="Z55" s="200"/>
    </row>
    <row r="56" spans="1:26" ht="15.75" customHeight="1">
      <c r="A56" s="200"/>
      <c r="B56" s="200"/>
      <c r="C56" s="200"/>
      <c r="D56" s="200"/>
      <c r="E56" s="200"/>
      <c r="F56" s="200"/>
      <c r="G56" s="200"/>
      <c r="H56" s="200"/>
      <c r="I56" s="200"/>
      <c r="J56" s="200"/>
      <c r="K56" s="200"/>
      <c r="L56" s="200"/>
      <c r="M56" s="200"/>
      <c r="N56" s="200"/>
      <c r="O56" s="200"/>
      <c r="P56" s="200"/>
      <c r="Q56" s="200"/>
      <c r="R56" s="200"/>
      <c r="S56" s="200"/>
      <c r="T56" s="200"/>
      <c r="U56" s="200"/>
      <c r="V56" s="200"/>
      <c r="W56" s="200"/>
      <c r="X56" s="200"/>
      <c r="Y56" s="200"/>
      <c r="Z56" s="200"/>
    </row>
    <row r="57" spans="1:26" ht="15.75" customHeight="1">
      <c r="A57" s="200"/>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5.75" customHeight="1">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5.75" customHeight="1">
      <c r="A59" s="200"/>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row>
    <row r="60" spans="1:26" ht="15.75" customHeight="1">
      <c r="A60" s="200"/>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row>
    <row r="61" spans="1:26" ht="15.75" customHeight="1">
      <c r="A61" s="200"/>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row>
    <row r="62" spans="1:26" ht="15.75" customHeight="1">
      <c r="A62" s="200"/>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row>
    <row r="63" spans="1:26" ht="15.75" customHeight="1">
      <c r="A63" s="200"/>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row>
    <row r="64" spans="1:26" ht="15.75" customHeight="1">
      <c r="A64" s="200"/>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row>
    <row r="65" spans="1:26" ht="15.75" customHeight="1">
      <c r="A65" s="200"/>
      <c r="B65" s="200"/>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row>
    <row r="66" spans="1:26" ht="15.75" customHeight="1">
      <c r="A66" s="200"/>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row>
    <row r="67" spans="1:26" ht="15.75" customHeight="1">
      <c r="A67" s="200"/>
      <c r="B67" s="200"/>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row>
    <row r="68" spans="1:26" ht="15.75" customHeight="1">
      <c r="A68" s="200"/>
      <c r="B68" s="200"/>
      <c r="C68" s="200"/>
      <c r="D68" s="200"/>
      <c r="E68" s="200"/>
      <c r="F68" s="200"/>
      <c r="G68" s="200"/>
      <c r="H68" s="200"/>
      <c r="I68" s="200"/>
      <c r="J68" s="200"/>
      <c r="K68" s="200"/>
      <c r="L68" s="200"/>
      <c r="M68" s="200"/>
      <c r="N68" s="200"/>
      <c r="O68" s="200"/>
      <c r="P68" s="200"/>
      <c r="Q68" s="200"/>
      <c r="R68" s="200"/>
      <c r="S68" s="200"/>
      <c r="T68" s="200"/>
      <c r="U68" s="200"/>
      <c r="V68" s="200"/>
      <c r="W68" s="200"/>
      <c r="X68" s="200"/>
      <c r="Y68" s="200"/>
      <c r="Z68" s="200"/>
    </row>
    <row r="69" spans="1:26" ht="15.75" customHeight="1">
      <c r="A69" s="200"/>
      <c r="B69" s="200"/>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row>
    <row r="70" spans="1:26" ht="15.75" customHeight="1">
      <c r="A70" s="200"/>
      <c r="B70" s="200"/>
      <c r="C70" s="200"/>
      <c r="D70" s="200"/>
      <c r="E70" s="200"/>
      <c r="F70" s="200"/>
      <c r="G70" s="200"/>
      <c r="H70" s="200"/>
      <c r="I70" s="200"/>
      <c r="J70" s="200"/>
      <c r="K70" s="200"/>
      <c r="L70" s="200"/>
      <c r="M70" s="200"/>
      <c r="N70" s="200"/>
      <c r="O70" s="200"/>
      <c r="P70" s="200"/>
      <c r="Q70" s="200"/>
      <c r="R70" s="200"/>
      <c r="S70" s="200"/>
      <c r="T70" s="200"/>
      <c r="U70" s="200"/>
      <c r="V70" s="200"/>
      <c r="W70" s="200"/>
      <c r="X70" s="200"/>
      <c r="Y70" s="200"/>
      <c r="Z70" s="200"/>
    </row>
    <row r="71" spans="1:26" ht="15.75" customHeight="1">
      <c r="A71" s="200"/>
      <c r="B71" s="200"/>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row>
    <row r="72" spans="1:26" ht="15.75" customHeight="1">
      <c r="A72" s="200"/>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row>
    <row r="73" spans="1:26" ht="15.75" customHeight="1">
      <c r="A73" s="200"/>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row>
    <row r="74" spans="1:26" ht="15.75" customHeight="1">
      <c r="A74" s="20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row>
    <row r="75" spans="1:26" ht="15.75" customHeight="1">
      <c r="A75" s="200"/>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row>
    <row r="76" spans="1:26" ht="15.75" customHeight="1">
      <c r="A76" s="200"/>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row>
    <row r="77" spans="1:26" ht="15.75" customHeight="1">
      <c r="A77" s="200"/>
      <c r="B77" s="200"/>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row>
    <row r="78" spans="1:26" ht="15.75" customHeight="1">
      <c r="A78" s="200"/>
      <c r="B78" s="200"/>
      <c r="C78" s="200"/>
      <c r="D78" s="200"/>
      <c r="E78" s="200"/>
      <c r="F78" s="200"/>
      <c r="G78" s="200"/>
      <c r="H78" s="200"/>
      <c r="I78" s="200"/>
      <c r="J78" s="200"/>
      <c r="K78" s="200"/>
      <c r="L78" s="200"/>
      <c r="M78" s="200"/>
      <c r="N78" s="200"/>
      <c r="O78" s="200"/>
      <c r="P78" s="200"/>
      <c r="Q78" s="200"/>
      <c r="R78" s="200"/>
      <c r="S78" s="200"/>
      <c r="T78" s="200"/>
      <c r="U78" s="200"/>
      <c r="V78" s="200"/>
      <c r="W78" s="200"/>
      <c r="X78" s="200"/>
      <c r="Y78" s="200"/>
      <c r="Z78" s="200"/>
    </row>
    <row r="79" spans="1:26" ht="15.75" customHeight="1">
      <c r="A79" s="200"/>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row>
    <row r="80" spans="1:26" ht="15.75" customHeight="1">
      <c r="A80" s="200"/>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row>
    <row r="81" spans="1:26" ht="15.75" customHeight="1">
      <c r="A81" s="200"/>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row>
    <row r="82" spans="1:26" ht="15.75" customHeight="1">
      <c r="A82" s="200"/>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row>
    <row r="83" spans="1:26" ht="15.75" customHeight="1">
      <c r="A83" s="200"/>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row>
    <row r="84" spans="1:26" ht="15.75" customHeight="1">
      <c r="A84" s="20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row>
    <row r="85" spans="1:26" ht="15.75" customHeight="1">
      <c r="A85" s="200"/>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row>
    <row r="86" spans="1:26" ht="15.75" customHeight="1">
      <c r="A86" s="200"/>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row>
    <row r="87" spans="1:26" ht="15.75" customHeight="1">
      <c r="A87" s="200"/>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row>
    <row r="88" spans="1:26" ht="15.75" customHeight="1">
      <c r="A88" s="20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row>
    <row r="89" spans="1:26" ht="15.75" customHeight="1">
      <c r="A89" s="200"/>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row>
    <row r="90" spans="1:26" ht="15.75" customHeight="1">
      <c r="A90" s="200"/>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row>
    <row r="91" spans="1:26" ht="15.75" customHeight="1">
      <c r="A91" s="200"/>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row>
    <row r="92" spans="1:26" ht="15.75" customHeight="1">
      <c r="A92" s="200"/>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row>
    <row r="93" spans="1:26" ht="15.75" customHeight="1">
      <c r="A93" s="200"/>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row>
    <row r="94" spans="1:26" ht="15.75" customHeight="1">
      <c r="A94" s="200"/>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row>
    <row r="95" spans="1:26" ht="15.75" customHeight="1">
      <c r="A95" s="200"/>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row>
    <row r="96" spans="1:26" ht="15.75" customHeight="1">
      <c r="A96" s="2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row>
    <row r="97" spans="1:26" ht="15.75" customHeight="1">
      <c r="A97" s="200"/>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row>
    <row r="98" spans="1:26" ht="15.75" customHeight="1">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row>
    <row r="99" spans="1:26" ht="15.75" customHeight="1">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row>
    <row r="100" spans="1:26" ht="15.75" customHeight="1">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r="101" spans="1:26" ht="15.75" customHeight="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r="102" spans="1:26" ht="15.75" customHeight="1">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r="103" spans="1:26" ht="15.75" customHeight="1">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r="104" spans="1:26" ht="15.75" customHeight="1">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r="105" spans="1:26" ht="15.75" customHeight="1">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r="106" spans="1:26" ht="15.75" customHeight="1">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r="107" spans="1:26" ht="15.75" customHeight="1">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r="108" spans="1:26" ht="15.75" customHeight="1">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r="109" spans="1:26" ht="15.75" customHeight="1">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r="110" spans="1:26" ht="15.75" customHeight="1">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r="111" spans="1:26" ht="15.75" customHeight="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r="112" spans="1:26" ht="15.75" customHeight="1">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r="113" spans="1:26" ht="15.75" customHeight="1">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r="114" spans="1:26" ht="15.75" customHeight="1">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r="115" spans="1:26" ht="15.75" customHeight="1">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r="116" spans="1:26" ht="15.75" customHeight="1">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r="117" spans="1:26" ht="15.75" customHeight="1">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r="118" spans="1:26" ht="15.75" customHeight="1">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r="119" spans="1:26" ht="15.75" customHeight="1">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r="120" spans="1:26" ht="15.75" customHeight="1">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r="121" spans="1:26" ht="15.75" customHeight="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r="122" spans="1:26" ht="15.75" customHeight="1">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r="123" spans="1:26" ht="15.75" customHeight="1">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r="124" spans="1:26" ht="15.75" customHeight="1">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r="125" spans="1:26" ht="15.75" customHeight="1">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r="126" spans="1:26" ht="15.75" customHeight="1">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r="127" spans="1:26" ht="15.75" customHeight="1">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r="128" spans="1:26" ht="15.75" customHeight="1">
      <c r="A128" s="200"/>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r="129" spans="1:26" ht="15.75" customHeight="1">
      <c r="A129" s="200"/>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r="130" spans="1:26" ht="15.75" customHeight="1">
      <c r="A130" s="200"/>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r="131" spans="1:26" ht="15.75" customHeight="1">
      <c r="A131" s="200"/>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r="132" spans="1:26" ht="15.75" customHeight="1">
      <c r="A132" s="200"/>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r="133" spans="1:26" ht="15.75" customHeight="1">
      <c r="A133" s="200"/>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r="134" spans="1:26" ht="15.75" customHeight="1">
      <c r="A134" s="200"/>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r="135" spans="1:26" ht="15.75" customHeight="1">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r="136" spans="1:26" ht="15.75" customHeight="1">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r="137" spans="1:26" ht="15.75" customHeight="1">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r="138" spans="1:26" ht="15.75" customHeight="1">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r="139" spans="1:26" ht="15.75" customHeight="1">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r="140" spans="1:26" ht="15.75" customHeight="1">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r="141" spans="1:26" ht="15.75" customHeight="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r="142" spans="1:26" ht="15.75" customHeight="1">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r="143" spans="1:26" ht="15.75" customHeight="1">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r="144" spans="1:26" ht="15.75" customHeight="1">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r="145" spans="1:26" ht="15.75" customHeight="1">
      <c r="A145" s="200"/>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r="146" spans="1:26" ht="15.75" customHeight="1">
      <c r="A146" s="200"/>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r="147" spans="1:26" ht="15.75" customHeight="1">
      <c r="A147" s="200"/>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r="148" spans="1:26" ht="15.75" customHeight="1">
      <c r="A148" s="200"/>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r="149" spans="1:26" ht="15.75" customHeight="1">
      <c r="A149" s="200"/>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r="150" spans="1:26" ht="15.75" customHeight="1">
      <c r="A150" s="20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r="151" spans="1:26" ht="15.75" customHeight="1">
      <c r="A151" s="200"/>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r="152" spans="1:26" ht="15.75" customHeight="1">
      <c r="A152" s="200"/>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r="153" spans="1:26" ht="15.75" customHeight="1">
      <c r="A153" s="200"/>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r="154" spans="1:26" ht="15.75" customHeight="1">
      <c r="A154" s="200"/>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r="155" spans="1:26" ht="15.75" customHeight="1">
      <c r="A155" s="200"/>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r="156" spans="1:26" ht="15.75" customHeight="1">
      <c r="A156" s="200"/>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r="157" spans="1:26" ht="15.75" customHeight="1">
      <c r="A157" s="200"/>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r="158" spans="1:26" ht="15.75" customHeight="1">
      <c r="A158" s="200"/>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r="159" spans="1:26" ht="15.75" customHeight="1">
      <c r="A159" s="200"/>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r="160" spans="1:26" ht="15.75" customHeight="1">
      <c r="A160" s="20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r="161" spans="1:26" ht="15.75" customHeight="1">
      <c r="A161" s="200"/>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r="162" spans="1:26" ht="15.75" customHeight="1">
      <c r="A162" s="200"/>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r="163" spans="1:26" ht="15.75" customHeight="1">
      <c r="A163" s="200"/>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r="164" spans="1:26" ht="15.75" customHeight="1">
      <c r="A164" s="200"/>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r="165" spans="1:26" ht="15.75" customHeight="1">
      <c r="A165" s="200"/>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r="166" spans="1:26" ht="15.75" customHeight="1">
      <c r="A166" s="200"/>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r="167" spans="1:26" ht="15.75" customHeight="1">
      <c r="A167" s="200"/>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r="168" spans="1:26" ht="15.75" customHeight="1">
      <c r="A168" s="200"/>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r="169" spans="1:26" ht="15.75" customHeight="1">
      <c r="A169" s="2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r="170" spans="1:26" ht="15.75" customHeight="1">
      <c r="A170" s="20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r="171" spans="1:26" ht="15.75" customHeight="1">
      <c r="A171" s="200"/>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r="172" spans="1:26" ht="15.75" customHeight="1">
      <c r="A172" s="200"/>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r="173" spans="1:26" ht="15.75" customHeight="1">
      <c r="A173" s="200"/>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r="174" spans="1:26" ht="15.75" customHeight="1">
      <c r="A174" s="20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r="175" spans="1:26" ht="15.75" customHeight="1">
      <c r="A175" s="200"/>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r="176" spans="1:26" ht="15.75" customHeight="1">
      <c r="A176" s="200"/>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r="177" spans="1:26" ht="15.75" customHeight="1">
      <c r="A177" s="200"/>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r="178" spans="1:26" ht="15.75" customHeight="1">
      <c r="A178" s="2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r="179" spans="1:26" ht="15.75" customHeight="1">
      <c r="A179" s="200"/>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r="180" spans="1:26" ht="15.75" customHeight="1">
      <c r="A180" s="20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r="181" spans="1:26" ht="15.75" customHeight="1">
      <c r="A181" s="200"/>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r="182" spans="1:26" ht="15.75" customHeight="1">
      <c r="A182" s="200"/>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r="183" spans="1:26" ht="15.75" customHeight="1">
      <c r="A183" s="200"/>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r="184" spans="1:26" ht="15.75" customHeight="1">
      <c r="A184" s="200"/>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r="185" spans="1:26" ht="15.75" customHeight="1">
      <c r="A185" s="200"/>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r="186" spans="1:26" ht="15.75" customHeight="1">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r="187" spans="1:26" ht="15.75" customHeight="1">
      <c r="A187" s="200"/>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r="188" spans="1:26" ht="15.75" customHeight="1">
      <c r="A188" s="200"/>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r="189" spans="1:26" ht="15.75" customHeight="1">
      <c r="A189" s="200"/>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r="190" spans="1:26" ht="15.75" customHeight="1">
      <c r="A190" s="20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r="191" spans="1:26" ht="15.75" customHeight="1">
      <c r="A191" s="200"/>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r="192" spans="1:26" ht="15.75" customHeight="1">
      <c r="A192" s="200"/>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r="193" spans="1:26" ht="15.75" customHeight="1">
      <c r="A193" s="200"/>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r="194" spans="1:26" ht="15.75" customHeight="1">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r="195" spans="1:26" ht="15.75" customHeight="1">
      <c r="A195" s="200"/>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r="196" spans="1:26" ht="15.75" customHeight="1">
      <c r="A196" s="200"/>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r="197" spans="1:26" ht="15.75" customHeight="1">
      <c r="A197" s="200"/>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r="198" spans="1:26" ht="15.75" customHeight="1">
      <c r="A198" s="200"/>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r="199" spans="1:26" ht="15.75" customHeight="1">
      <c r="A199" s="200"/>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r="200" spans="1:26" ht="15.75" customHeight="1">
      <c r="A200" s="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r="201" spans="1:26" ht="15.75" customHeight="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r="202" spans="1:26" ht="15.75" customHeight="1">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r="203" spans="1:26" ht="15.75" customHeight="1">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r="204" spans="1:26" ht="15.75" customHeight="1">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r="205" spans="1:26" ht="15.75" customHeight="1">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r="206" spans="1:26" ht="15.75" customHeight="1">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r="207" spans="1:26" ht="15.75" customHeight="1">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r="208" spans="1:26" ht="15.75" customHeight="1">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r="209" spans="1:26" ht="15.75" customHeight="1">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r="210" spans="1:26" ht="15.75" customHeight="1">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r="211" spans="1:26" ht="15.75" customHeight="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r="212" spans="1:26" ht="15.75" customHeight="1">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r="213" spans="1:26" ht="15.75" customHeight="1">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r="214" spans="1:26" ht="15.75" customHeight="1">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r="215" spans="1:26" ht="15.75" customHeight="1">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r="216" spans="1:26" ht="15.75" customHeight="1">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r="217" spans="1:26" ht="15.75" customHeight="1">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r="218" spans="1:26" ht="15.75" customHeight="1">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r="219" spans="1:26" ht="15.75" customHeight="1">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r="220" spans="1:26" ht="15.75" customHeight="1">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Z1000"/>
  <sheetViews>
    <sheetView workbookViewId="0"/>
  </sheetViews>
  <sheetFormatPr defaultColWidth="10.109375" defaultRowHeight="15" customHeight="1"/>
  <cols>
    <col min="1" max="1" width="4.88671875" customWidth="1"/>
    <col min="2" max="2" width="35.88671875" customWidth="1"/>
    <col min="3" max="3" width="23.21875" customWidth="1"/>
    <col min="4" max="4" width="16.77734375" customWidth="1"/>
    <col min="5" max="25" width="7.21875" customWidth="1"/>
  </cols>
  <sheetData>
    <row r="1" spans="1:26" ht="15.75" customHeight="1">
      <c r="A1" s="211"/>
      <c r="B1" s="362" t="s">
        <v>1449</v>
      </c>
      <c r="C1" s="380"/>
      <c r="D1" s="380"/>
      <c r="E1" s="380"/>
      <c r="F1" s="1"/>
      <c r="G1" s="1"/>
      <c r="H1" s="1"/>
      <c r="I1" s="1"/>
      <c r="J1" s="1"/>
      <c r="K1" s="1"/>
      <c r="L1" s="1"/>
      <c r="M1" s="1"/>
      <c r="N1" s="1"/>
      <c r="O1" s="1"/>
      <c r="P1" s="1"/>
      <c r="Q1" s="1"/>
      <c r="R1" s="1"/>
      <c r="S1" s="1"/>
      <c r="T1" s="1"/>
      <c r="U1" s="1"/>
      <c r="V1" s="1"/>
      <c r="W1" s="1"/>
      <c r="X1" s="1"/>
      <c r="Y1" s="1"/>
      <c r="Z1" s="1"/>
    </row>
    <row r="2" spans="1:26" ht="15.75" customHeight="1">
      <c r="A2" s="211"/>
      <c r="B2" s="7"/>
      <c r="C2" s="211"/>
      <c r="D2" s="212"/>
      <c r="E2" s="7"/>
      <c r="F2" s="1"/>
      <c r="G2" s="1"/>
      <c r="H2" s="1"/>
      <c r="I2" s="1"/>
      <c r="J2" s="1"/>
      <c r="K2" s="1"/>
      <c r="L2" s="1"/>
      <c r="M2" s="1"/>
      <c r="N2" s="1"/>
      <c r="O2" s="1"/>
      <c r="P2" s="1"/>
      <c r="Q2" s="1"/>
      <c r="R2" s="1"/>
      <c r="S2" s="1"/>
      <c r="T2" s="1"/>
      <c r="U2" s="1"/>
      <c r="V2" s="1"/>
      <c r="W2" s="1"/>
      <c r="X2" s="1"/>
      <c r="Y2" s="1"/>
      <c r="Z2" s="1"/>
    </row>
    <row r="3" spans="1:26" ht="15.75" customHeight="1">
      <c r="A3" s="213" t="s">
        <v>116</v>
      </c>
      <c r="B3" s="213" t="s">
        <v>2</v>
      </c>
      <c r="C3" s="213" t="s">
        <v>3</v>
      </c>
      <c r="D3" s="213" t="s">
        <v>4</v>
      </c>
      <c r="E3" s="213" t="s">
        <v>5</v>
      </c>
      <c r="F3" s="1"/>
      <c r="G3" s="1"/>
      <c r="H3" s="1"/>
      <c r="I3" s="1"/>
      <c r="J3" s="1"/>
      <c r="K3" s="1"/>
      <c r="L3" s="1"/>
      <c r="M3" s="1"/>
      <c r="N3" s="1"/>
      <c r="O3" s="1"/>
      <c r="P3" s="1"/>
      <c r="Q3" s="1"/>
      <c r="R3" s="1"/>
      <c r="S3" s="1"/>
      <c r="T3" s="1"/>
      <c r="U3" s="1"/>
      <c r="V3" s="1"/>
      <c r="W3" s="1"/>
      <c r="X3" s="1"/>
      <c r="Y3" s="1"/>
      <c r="Z3" s="1"/>
    </row>
    <row r="4" spans="1:26" ht="15.75" customHeight="1">
      <c r="A4" s="213" t="s">
        <v>6</v>
      </c>
      <c r="B4" s="214" t="s">
        <v>1450</v>
      </c>
      <c r="C4" s="213"/>
      <c r="D4" s="215"/>
      <c r="E4" s="213"/>
      <c r="F4" s="1"/>
      <c r="G4" s="1"/>
      <c r="H4" s="1"/>
      <c r="I4" s="1"/>
      <c r="J4" s="1"/>
      <c r="K4" s="1"/>
      <c r="L4" s="1"/>
      <c r="M4" s="1"/>
      <c r="N4" s="1"/>
      <c r="O4" s="1"/>
      <c r="P4" s="1"/>
      <c r="Q4" s="1"/>
      <c r="R4" s="1"/>
      <c r="S4" s="1"/>
      <c r="T4" s="1"/>
      <c r="U4" s="1"/>
      <c r="V4" s="1"/>
      <c r="W4" s="1"/>
      <c r="X4" s="1"/>
      <c r="Y4" s="1"/>
      <c r="Z4" s="1"/>
    </row>
    <row r="5" spans="1:26" ht="15.75" customHeight="1">
      <c r="A5" s="216">
        <v>1</v>
      </c>
      <c r="B5" s="217" t="s">
        <v>1451</v>
      </c>
      <c r="C5" s="216"/>
      <c r="D5" s="218">
        <f>'2.3.AW'!F6</f>
        <v>17</v>
      </c>
      <c r="E5" s="217"/>
      <c r="F5" s="1"/>
      <c r="G5" s="1"/>
      <c r="H5" s="1"/>
      <c r="I5" s="1"/>
      <c r="J5" s="1"/>
      <c r="K5" s="1"/>
      <c r="L5" s="1"/>
      <c r="M5" s="1"/>
      <c r="N5" s="1"/>
      <c r="O5" s="1"/>
      <c r="P5" s="1"/>
      <c r="Q5" s="1"/>
      <c r="R5" s="1"/>
      <c r="S5" s="1"/>
      <c r="T5" s="1"/>
      <c r="U5" s="1"/>
      <c r="V5" s="1"/>
      <c r="W5" s="1"/>
      <c r="X5" s="1"/>
      <c r="Y5" s="1"/>
      <c r="Z5" s="1"/>
    </row>
    <row r="6" spans="1:26" ht="15.75" customHeight="1">
      <c r="A6" s="216">
        <v>2</v>
      </c>
      <c r="B6" s="217" t="s">
        <v>1452</v>
      </c>
      <c r="C6" s="216"/>
      <c r="D6" s="218">
        <f>'2.2.UCW'!E6</f>
        <v>1720</v>
      </c>
      <c r="E6" s="217"/>
      <c r="F6" s="1"/>
      <c r="G6" s="1"/>
      <c r="H6" s="1"/>
      <c r="I6" s="1"/>
      <c r="J6" s="1"/>
      <c r="K6" s="1"/>
      <c r="L6" s="1"/>
      <c r="M6" s="1"/>
      <c r="N6" s="1"/>
      <c r="O6" s="1"/>
      <c r="P6" s="1"/>
      <c r="Q6" s="1"/>
      <c r="R6" s="1"/>
      <c r="S6" s="1"/>
      <c r="T6" s="1"/>
      <c r="U6" s="1"/>
      <c r="V6" s="1"/>
      <c r="W6" s="1"/>
      <c r="X6" s="1"/>
      <c r="Y6" s="1"/>
      <c r="Z6" s="1"/>
    </row>
    <row r="7" spans="1:26" ht="15.75" customHeight="1">
      <c r="A7" s="216">
        <v>3</v>
      </c>
      <c r="B7" s="217" t="s">
        <v>12</v>
      </c>
      <c r="C7" s="216" t="s">
        <v>1453</v>
      </c>
      <c r="D7" s="218">
        <f>D5+D6</f>
        <v>1737</v>
      </c>
      <c r="E7" s="217"/>
      <c r="F7" s="1"/>
      <c r="G7" s="1"/>
      <c r="H7" s="1"/>
      <c r="I7" s="1"/>
      <c r="J7" s="1"/>
      <c r="K7" s="1"/>
      <c r="L7" s="1"/>
      <c r="M7" s="1"/>
      <c r="N7" s="1"/>
      <c r="O7" s="1"/>
      <c r="P7" s="1"/>
      <c r="Q7" s="1"/>
      <c r="R7" s="1"/>
      <c r="S7" s="1"/>
      <c r="T7" s="1"/>
      <c r="U7" s="1"/>
      <c r="V7" s="1"/>
      <c r="W7" s="1"/>
      <c r="X7" s="1"/>
      <c r="Y7" s="1"/>
      <c r="Z7" s="1"/>
    </row>
    <row r="8" spans="1:26" ht="15.75" customHeight="1">
      <c r="A8" s="216">
        <v>4</v>
      </c>
      <c r="B8" s="217" t="s">
        <v>15</v>
      </c>
      <c r="C8" s="216" t="s">
        <v>1454</v>
      </c>
      <c r="D8" s="219" t="e">
        <f>'2.4.Hệ số phức tạp về KT- TCF'!E12</f>
        <v>#REF!</v>
      </c>
      <c r="E8" s="217"/>
      <c r="F8" s="1"/>
      <c r="G8" s="1"/>
      <c r="H8" s="1"/>
      <c r="I8" s="1"/>
      <c r="J8" s="1"/>
      <c r="K8" s="1"/>
      <c r="L8" s="1"/>
      <c r="M8" s="1"/>
      <c r="N8" s="1"/>
      <c r="O8" s="1"/>
      <c r="P8" s="1"/>
      <c r="Q8" s="1"/>
      <c r="R8" s="1"/>
      <c r="S8" s="1"/>
      <c r="T8" s="1"/>
      <c r="U8" s="1"/>
      <c r="V8" s="1"/>
      <c r="W8" s="1"/>
      <c r="X8" s="1"/>
      <c r="Y8" s="1"/>
      <c r="Z8" s="1"/>
    </row>
    <row r="9" spans="1:26" ht="15.75" customHeight="1">
      <c r="A9" s="216">
        <v>5</v>
      </c>
      <c r="B9" s="217" t="s">
        <v>1455</v>
      </c>
      <c r="C9" s="216" t="s">
        <v>1456</v>
      </c>
      <c r="D9" s="219">
        <f>'2.5.Hệ số phức tạp về MT - ECF'!O13</f>
        <v>0.69409999999999983</v>
      </c>
      <c r="E9" s="217"/>
      <c r="F9" s="1"/>
      <c r="G9" s="1"/>
      <c r="H9" s="1"/>
      <c r="I9" s="1"/>
      <c r="J9" s="1"/>
      <c r="K9" s="1"/>
      <c r="L9" s="1"/>
      <c r="M9" s="1"/>
      <c r="N9" s="1"/>
      <c r="O9" s="1"/>
      <c r="P9" s="1"/>
      <c r="Q9" s="1"/>
      <c r="R9" s="1"/>
      <c r="S9" s="1"/>
      <c r="T9" s="1"/>
      <c r="U9" s="1"/>
      <c r="V9" s="1"/>
      <c r="W9" s="1"/>
      <c r="X9" s="1"/>
      <c r="Y9" s="1"/>
      <c r="Z9" s="1"/>
    </row>
    <row r="10" spans="1:26" ht="15.75" customHeight="1">
      <c r="A10" s="216">
        <v>6</v>
      </c>
      <c r="B10" s="217" t="s">
        <v>21</v>
      </c>
      <c r="C10" s="216" t="s">
        <v>1457</v>
      </c>
      <c r="D10" s="218" t="e">
        <f>D7*D8*D9</f>
        <v>#REF!</v>
      </c>
      <c r="E10" s="217"/>
      <c r="F10" s="1"/>
      <c r="G10" s="1"/>
      <c r="H10" s="1"/>
      <c r="I10" s="1"/>
      <c r="J10" s="1"/>
      <c r="K10" s="1"/>
      <c r="L10" s="1"/>
      <c r="M10" s="1"/>
      <c r="N10" s="1"/>
      <c r="O10" s="1"/>
      <c r="P10" s="1"/>
      <c r="Q10" s="1"/>
      <c r="R10" s="1"/>
      <c r="S10" s="1"/>
      <c r="T10" s="1"/>
      <c r="U10" s="1"/>
      <c r="V10" s="1"/>
      <c r="W10" s="1"/>
      <c r="X10" s="1"/>
      <c r="Y10" s="1"/>
      <c r="Z10" s="1"/>
    </row>
    <row r="11" spans="1:26" ht="15.75" customHeight="1">
      <c r="A11" s="213" t="s">
        <v>24</v>
      </c>
      <c r="B11" s="220" t="s">
        <v>25</v>
      </c>
      <c r="C11" s="329" t="s">
        <v>1458</v>
      </c>
      <c r="D11" s="218">
        <v>8</v>
      </c>
      <c r="E11" s="217"/>
      <c r="F11" s="1"/>
      <c r="G11" s="1"/>
      <c r="H11" s="1"/>
      <c r="I11" s="1"/>
      <c r="J11" s="1"/>
      <c r="K11" s="1"/>
      <c r="L11" s="1"/>
      <c r="M11" s="1"/>
      <c r="N11" s="1"/>
      <c r="O11" s="1"/>
      <c r="P11" s="1"/>
      <c r="Q11" s="1"/>
      <c r="R11" s="1"/>
      <c r="S11" s="1"/>
      <c r="T11" s="1"/>
      <c r="U11" s="1"/>
      <c r="V11" s="1"/>
      <c r="W11" s="1"/>
      <c r="X11" s="1"/>
      <c r="Y11" s="1"/>
      <c r="Z11" s="1"/>
    </row>
    <row r="12" spans="1:26" ht="15.75" customHeight="1">
      <c r="A12" s="221" t="s">
        <v>27</v>
      </c>
      <c r="B12" s="220" t="s">
        <v>28</v>
      </c>
      <c r="C12" s="329" t="s">
        <v>1459</v>
      </c>
      <c r="D12" s="218" t="e">
        <f>D10*D11</f>
        <v>#REF!</v>
      </c>
      <c r="E12" s="216"/>
      <c r="F12" s="1"/>
      <c r="G12" s="1"/>
      <c r="H12" s="1"/>
      <c r="I12" s="1"/>
      <c r="J12" s="1"/>
      <c r="K12" s="1"/>
      <c r="L12" s="1"/>
      <c r="M12" s="1"/>
      <c r="N12" s="1"/>
      <c r="O12" s="1"/>
      <c r="P12" s="1"/>
      <c r="Q12" s="1"/>
      <c r="R12" s="1"/>
      <c r="S12" s="1"/>
      <c r="T12" s="1"/>
      <c r="U12" s="1"/>
      <c r="V12" s="1"/>
      <c r="W12" s="1"/>
      <c r="X12" s="1"/>
      <c r="Y12" s="1"/>
      <c r="Z12" s="1"/>
    </row>
    <row r="13" spans="1:26" ht="15.75" customHeight="1">
      <c r="A13" s="221" t="s">
        <v>31</v>
      </c>
      <c r="B13" s="220" t="s">
        <v>32</v>
      </c>
      <c r="C13" s="329" t="s">
        <v>1460</v>
      </c>
      <c r="D13" s="218">
        <f>'Bang luong'!C19</f>
        <v>64101</v>
      </c>
      <c r="E13" s="216" t="s">
        <v>1461</v>
      </c>
      <c r="F13" s="1"/>
      <c r="G13" s="1"/>
      <c r="H13" s="1"/>
      <c r="I13" s="1"/>
      <c r="J13" s="1"/>
      <c r="K13" s="1"/>
      <c r="L13" s="1"/>
      <c r="M13" s="1"/>
      <c r="N13" s="1"/>
      <c r="O13" s="1"/>
      <c r="P13" s="1"/>
      <c r="Q13" s="1"/>
      <c r="R13" s="1"/>
      <c r="S13" s="1"/>
      <c r="T13" s="1"/>
      <c r="U13" s="1"/>
      <c r="V13" s="1"/>
      <c r="W13" s="1"/>
      <c r="X13" s="1"/>
      <c r="Y13" s="1"/>
      <c r="Z13" s="1"/>
    </row>
    <row r="14" spans="1:26" ht="15.75" customHeight="1">
      <c r="A14" s="221" t="s">
        <v>35</v>
      </c>
      <c r="B14" s="220" t="s">
        <v>1462</v>
      </c>
      <c r="C14" s="329" t="s">
        <v>1463</v>
      </c>
      <c r="D14" s="222" t="e">
        <f>D12*D13</f>
        <v>#REF!</v>
      </c>
      <c r="E14" s="216" t="s">
        <v>1464</v>
      </c>
      <c r="F14" s="1"/>
      <c r="G14" s="1"/>
      <c r="H14" s="1"/>
      <c r="I14" s="1"/>
      <c r="J14" s="1"/>
      <c r="K14" s="1"/>
      <c r="L14" s="1"/>
      <c r="M14" s="1"/>
      <c r="N14" s="1"/>
      <c r="O14" s="1"/>
      <c r="P14" s="1"/>
      <c r="Q14" s="1"/>
      <c r="R14" s="1"/>
      <c r="S14" s="1"/>
      <c r="T14" s="1"/>
      <c r="U14" s="1"/>
      <c r="V14" s="1"/>
      <c r="W14" s="1"/>
      <c r="X14" s="1"/>
      <c r="Y14" s="1"/>
      <c r="Z14" s="1"/>
    </row>
    <row r="15" spans="1:26" ht="15.75" customHeight="1">
      <c r="A15" s="72"/>
      <c r="B15" s="1"/>
      <c r="C15" s="72"/>
      <c r="D15" s="223"/>
      <c r="E15" s="1"/>
      <c r="F15" s="1"/>
      <c r="G15" s="1"/>
      <c r="H15" s="1"/>
      <c r="I15" s="1"/>
      <c r="J15" s="1"/>
      <c r="K15" s="1"/>
      <c r="L15" s="1"/>
      <c r="M15" s="1"/>
      <c r="N15" s="1"/>
      <c r="O15" s="1"/>
      <c r="P15" s="1"/>
      <c r="Q15" s="1"/>
      <c r="R15" s="1"/>
      <c r="S15" s="1"/>
      <c r="T15" s="1"/>
      <c r="U15" s="1"/>
      <c r="V15" s="1"/>
      <c r="W15" s="1"/>
      <c r="X15" s="1"/>
      <c r="Y15" s="1"/>
      <c r="Z15" s="1"/>
    </row>
    <row r="16" spans="1:26" ht="15.75" customHeight="1">
      <c r="A16" s="72"/>
      <c r="B16" s="1"/>
      <c r="C16" s="72"/>
      <c r="D16" s="223"/>
      <c r="E16" s="1"/>
      <c r="F16" s="1"/>
      <c r="G16" s="1"/>
      <c r="H16" s="1"/>
      <c r="I16" s="1"/>
      <c r="J16" s="1"/>
      <c r="K16" s="1"/>
      <c r="L16" s="1"/>
      <c r="M16" s="1"/>
      <c r="N16" s="1"/>
      <c r="O16" s="1"/>
      <c r="P16" s="1"/>
      <c r="Q16" s="1"/>
      <c r="R16" s="1"/>
      <c r="S16" s="1"/>
      <c r="T16" s="1"/>
      <c r="U16" s="1"/>
      <c r="V16" s="1"/>
      <c r="W16" s="1"/>
      <c r="X16" s="1"/>
      <c r="Y16" s="1"/>
      <c r="Z16" s="1"/>
    </row>
    <row r="17" spans="1:26" ht="15.75" customHeight="1">
      <c r="A17" s="72"/>
      <c r="B17" s="1"/>
      <c r="C17" s="72"/>
      <c r="D17" s="223"/>
      <c r="E17" s="1"/>
      <c r="F17" s="1"/>
      <c r="G17" s="1"/>
      <c r="H17" s="1"/>
      <c r="I17" s="1"/>
      <c r="J17" s="1"/>
      <c r="K17" s="1"/>
      <c r="L17" s="1"/>
      <c r="M17" s="1"/>
      <c r="N17" s="1"/>
      <c r="O17" s="1"/>
      <c r="P17" s="1"/>
      <c r="Q17" s="1"/>
      <c r="R17" s="1"/>
      <c r="S17" s="1"/>
      <c r="T17" s="1"/>
      <c r="U17" s="1"/>
      <c r="V17" s="1"/>
      <c r="W17" s="1"/>
      <c r="X17" s="1"/>
      <c r="Y17" s="1"/>
      <c r="Z17" s="1"/>
    </row>
    <row r="18" spans="1:26" ht="15.75" customHeight="1">
      <c r="A18" s="72"/>
      <c r="B18" s="1"/>
      <c r="C18" s="72"/>
      <c r="D18" s="223"/>
      <c r="E18" s="1"/>
      <c r="F18" s="1"/>
      <c r="G18" s="1"/>
      <c r="H18" s="1"/>
      <c r="I18" s="1"/>
      <c r="J18" s="1"/>
      <c r="K18" s="1"/>
      <c r="L18" s="1"/>
      <c r="M18" s="1"/>
      <c r="N18" s="1"/>
      <c r="O18" s="1"/>
      <c r="P18" s="1"/>
      <c r="Q18" s="1"/>
      <c r="R18" s="1"/>
      <c r="S18" s="1"/>
      <c r="T18" s="1"/>
      <c r="U18" s="1"/>
      <c r="V18" s="1"/>
      <c r="W18" s="1"/>
      <c r="X18" s="1"/>
      <c r="Y18" s="1"/>
      <c r="Z18" s="1"/>
    </row>
    <row r="19" spans="1:26" ht="15.75" customHeight="1">
      <c r="A19" s="72"/>
      <c r="B19" s="1"/>
      <c r="C19" s="72"/>
      <c r="D19" s="223"/>
      <c r="E19" s="1"/>
      <c r="F19" s="1"/>
      <c r="G19" s="1"/>
      <c r="H19" s="1"/>
      <c r="I19" s="1"/>
      <c r="J19" s="1"/>
      <c r="K19" s="1"/>
      <c r="L19" s="1"/>
      <c r="M19" s="1"/>
      <c r="N19" s="1"/>
      <c r="O19" s="1"/>
      <c r="P19" s="1"/>
      <c r="Q19" s="1"/>
      <c r="R19" s="1"/>
      <c r="S19" s="1"/>
      <c r="T19" s="1"/>
      <c r="U19" s="1"/>
      <c r="V19" s="1"/>
      <c r="W19" s="1"/>
      <c r="X19" s="1"/>
      <c r="Y19" s="1"/>
      <c r="Z19" s="1"/>
    </row>
    <row r="20" spans="1:26" ht="15.75" customHeight="1">
      <c r="A20" s="72"/>
      <c r="B20" s="1"/>
      <c r="C20" s="72"/>
      <c r="D20" s="223"/>
      <c r="E20" s="1"/>
      <c r="F20" s="1"/>
      <c r="G20" s="1"/>
      <c r="H20" s="1"/>
      <c r="I20" s="1"/>
      <c r="J20" s="1"/>
      <c r="K20" s="1"/>
      <c r="L20" s="1"/>
      <c r="M20" s="1"/>
      <c r="N20" s="1"/>
      <c r="O20" s="1"/>
      <c r="P20" s="1"/>
      <c r="Q20" s="1"/>
      <c r="R20" s="1"/>
      <c r="S20" s="1"/>
      <c r="T20" s="1"/>
      <c r="U20" s="1"/>
      <c r="V20" s="1"/>
      <c r="W20" s="1"/>
      <c r="X20" s="1"/>
      <c r="Y20" s="1"/>
      <c r="Z20" s="1"/>
    </row>
    <row r="21" spans="1:26" ht="15.75" customHeight="1">
      <c r="A21" s="72"/>
      <c r="B21" s="1"/>
      <c r="C21" s="72"/>
      <c r="D21" s="223"/>
      <c r="E21" s="1"/>
      <c r="F21" s="1"/>
      <c r="G21" s="1"/>
      <c r="H21" s="1"/>
      <c r="I21" s="1"/>
      <c r="J21" s="1"/>
      <c r="K21" s="1"/>
      <c r="L21" s="1"/>
      <c r="M21" s="1"/>
      <c r="N21" s="1"/>
      <c r="O21" s="1"/>
      <c r="P21" s="1"/>
      <c r="Q21" s="1"/>
      <c r="R21" s="1"/>
      <c r="S21" s="1"/>
      <c r="T21" s="1"/>
      <c r="U21" s="1"/>
      <c r="V21" s="1"/>
      <c r="W21" s="1"/>
      <c r="X21" s="1"/>
      <c r="Y21" s="1"/>
      <c r="Z21" s="1"/>
    </row>
    <row r="22" spans="1:26" ht="15.75" customHeight="1">
      <c r="A22" s="72"/>
      <c r="B22" s="1"/>
      <c r="C22" s="72"/>
      <c r="D22" s="223"/>
      <c r="E22" s="1"/>
      <c r="F22" s="1"/>
      <c r="G22" s="1"/>
      <c r="H22" s="1"/>
      <c r="I22" s="1"/>
      <c r="J22" s="1"/>
      <c r="K22" s="1"/>
      <c r="L22" s="1"/>
      <c r="M22" s="1"/>
      <c r="N22" s="1"/>
      <c r="O22" s="1"/>
      <c r="P22" s="1"/>
      <c r="Q22" s="1"/>
      <c r="R22" s="1"/>
      <c r="S22" s="1"/>
      <c r="T22" s="1"/>
      <c r="U22" s="1"/>
      <c r="V22" s="1"/>
      <c r="W22" s="1"/>
      <c r="X22" s="1"/>
      <c r="Y22" s="1"/>
      <c r="Z22" s="1"/>
    </row>
    <row r="23" spans="1:26" ht="15.75" customHeight="1">
      <c r="A23" s="72"/>
      <c r="B23" s="1"/>
      <c r="C23" s="72"/>
      <c r="D23" s="223"/>
      <c r="E23" s="1"/>
      <c r="F23" s="1"/>
      <c r="G23" s="1"/>
      <c r="H23" s="1"/>
      <c r="I23" s="1"/>
      <c r="J23" s="1"/>
      <c r="K23" s="1"/>
      <c r="L23" s="1"/>
      <c r="M23" s="1"/>
      <c r="N23" s="1"/>
      <c r="O23" s="1"/>
      <c r="P23" s="1"/>
      <c r="Q23" s="1"/>
      <c r="R23" s="1"/>
      <c r="S23" s="1"/>
      <c r="T23" s="1"/>
      <c r="U23" s="1"/>
      <c r="V23" s="1"/>
      <c r="W23" s="1"/>
      <c r="X23" s="1"/>
      <c r="Y23" s="1"/>
      <c r="Z23" s="1"/>
    </row>
    <row r="24" spans="1:26" ht="15.75" customHeight="1">
      <c r="A24" s="72"/>
      <c r="B24" s="1"/>
      <c r="C24" s="72"/>
      <c r="D24" s="223"/>
      <c r="E24" s="1"/>
      <c r="F24" s="1"/>
      <c r="G24" s="1"/>
      <c r="H24" s="1"/>
      <c r="I24" s="1"/>
      <c r="J24" s="1"/>
      <c r="K24" s="1"/>
      <c r="L24" s="1"/>
      <c r="M24" s="1"/>
      <c r="N24" s="1"/>
      <c r="O24" s="1"/>
      <c r="P24" s="1"/>
      <c r="Q24" s="1"/>
      <c r="R24" s="1"/>
      <c r="S24" s="1"/>
      <c r="T24" s="1"/>
      <c r="U24" s="1"/>
      <c r="V24" s="1"/>
      <c r="W24" s="1"/>
      <c r="X24" s="1"/>
      <c r="Y24" s="1"/>
      <c r="Z24" s="1"/>
    </row>
    <row r="25" spans="1:26" ht="15.75" customHeight="1">
      <c r="A25" s="72"/>
      <c r="B25" s="1"/>
      <c r="C25" s="72"/>
      <c r="D25" s="223"/>
      <c r="E25" s="1"/>
      <c r="F25" s="1"/>
      <c r="G25" s="1"/>
      <c r="H25" s="1"/>
      <c r="I25" s="1"/>
      <c r="J25" s="1"/>
      <c r="K25" s="1"/>
      <c r="L25" s="1"/>
      <c r="M25" s="1"/>
      <c r="N25" s="1"/>
      <c r="O25" s="1"/>
      <c r="P25" s="1"/>
      <c r="Q25" s="1"/>
      <c r="R25" s="1"/>
      <c r="S25" s="1"/>
      <c r="T25" s="1"/>
      <c r="U25" s="1"/>
      <c r="V25" s="1"/>
      <c r="W25" s="1"/>
      <c r="X25" s="1"/>
      <c r="Y25" s="1"/>
      <c r="Z25" s="1"/>
    </row>
    <row r="26" spans="1:26" ht="15.75" customHeight="1">
      <c r="A26" s="72"/>
      <c r="B26" s="1"/>
      <c r="C26" s="72"/>
      <c r="D26" s="223"/>
      <c r="E26" s="1"/>
      <c r="F26" s="1"/>
      <c r="G26" s="1"/>
      <c r="H26" s="1"/>
      <c r="I26" s="1"/>
      <c r="J26" s="1"/>
      <c r="K26" s="1"/>
      <c r="L26" s="1"/>
      <c r="M26" s="1"/>
      <c r="N26" s="1"/>
      <c r="O26" s="1"/>
      <c r="P26" s="1"/>
      <c r="Q26" s="1"/>
      <c r="R26" s="1"/>
      <c r="S26" s="1"/>
      <c r="T26" s="1"/>
      <c r="U26" s="1"/>
      <c r="V26" s="1"/>
      <c r="W26" s="1"/>
      <c r="X26" s="1"/>
      <c r="Y26" s="1"/>
      <c r="Z26" s="1"/>
    </row>
    <row r="27" spans="1:26" ht="15.75" customHeight="1">
      <c r="A27" s="72"/>
      <c r="B27" s="1"/>
      <c r="C27" s="72"/>
      <c r="D27" s="223"/>
      <c r="E27" s="1"/>
      <c r="F27" s="1"/>
      <c r="G27" s="1"/>
      <c r="H27" s="1"/>
      <c r="I27" s="1"/>
      <c r="J27" s="1"/>
      <c r="K27" s="1"/>
      <c r="L27" s="1"/>
      <c r="M27" s="1"/>
      <c r="N27" s="1"/>
      <c r="O27" s="1"/>
      <c r="P27" s="1"/>
      <c r="Q27" s="1"/>
      <c r="R27" s="1"/>
      <c r="S27" s="1"/>
      <c r="T27" s="1"/>
      <c r="U27" s="1"/>
      <c r="V27" s="1"/>
      <c r="W27" s="1"/>
      <c r="X27" s="1"/>
      <c r="Y27" s="1"/>
      <c r="Z27" s="1"/>
    </row>
    <row r="28" spans="1:26" ht="15.75" customHeight="1">
      <c r="A28" s="72"/>
      <c r="B28" s="1"/>
      <c r="C28" s="72"/>
      <c r="D28" s="223"/>
      <c r="E28" s="1"/>
      <c r="F28" s="1"/>
      <c r="G28" s="1"/>
      <c r="H28" s="1"/>
      <c r="I28" s="1"/>
      <c r="J28" s="1"/>
      <c r="K28" s="1"/>
      <c r="L28" s="1"/>
      <c r="M28" s="1"/>
      <c r="N28" s="1"/>
      <c r="O28" s="1"/>
      <c r="P28" s="1"/>
      <c r="Q28" s="1"/>
      <c r="R28" s="1"/>
      <c r="S28" s="1"/>
      <c r="T28" s="1"/>
      <c r="U28" s="1"/>
      <c r="V28" s="1"/>
      <c r="W28" s="1"/>
      <c r="X28" s="1"/>
      <c r="Y28" s="1"/>
      <c r="Z28" s="1"/>
    </row>
    <row r="29" spans="1:26" ht="15.75" customHeight="1">
      <c r="A29" s="72"/>
      <c r="B29" s="1"/>
      <c r="C29" s="72"/>
      <c r="D29" s="223"/>
      <c r="E29" s="1"/>
      <c r="F29" s="1"/>
      <c r="G29" s="1"/>
      <c r="H29" s="1"/>
      <c r="I29" s="1"/>
      <c r="J29" s="1"/>
      <c r="K29" s="1"/>
      <c r="L29" s="1"/>
      <c r="M29" s="1"/>
      <c r="N29" s="1"/>
      <c r="O29" s="1"/>
      <c r="P29" s="1"/>
      <c r="Q29" s="1"/>
      <c r="R29" s="1"/>
      <c r="S29" s="1"/>
      <c r="T29" s="1"/>
      <c r="U29" s="1"/>
      <c r="V29" s="1"/>
      <c r="W29" s="1"/>
      <c r="X29" s="1"/>
      <c r="Y29" s="1"/>
      <c r="Z29" s="1"/>
    </row>
    <row r="30" spans="1:26" ht="15.75" customHeight="1">
      <c r="A30" s="72"/>
      <c r="B30" s="1"/>
      <c r="C30" s="72"/>
      <c r="D30" s="223"/>
      <c r="E30" s="1"/>
      <c r="F30" s="1"/>
      <c r="G30" s="1"/>
      <c r="H30" s="1"/>
      <c r="I30" s="1"/>
      <c r="J30" s="1"/>
      <c r="K30" s="1"/>
      <c r="L30" s="1"/>
      <c r="M30" s="1"/>
      <c r="N30" s="1"/>
      <c r="O30" s="1"/>
      <c r="P30" s="1"/>
      <c r="Q30" s="1"/>
      <c r="R30" s="1"/>
      <c r="S30" s="1"/>
      <c r="T30" s="1"/>
      <c r="U30" s="1"/>
      <c r="V30" s="1"/>
      <c r="W30" s="1"/>
      <c r="X30" s="1"/>
      <c r="Y30" s="1"/>
      <c r="Z30" s="1"/>
    </row>
    <row r="31" spans="1:26" ht="15.75" customHeight="1">
      <c r="A31" s="72"/>
      <c r="B31" s="1"/>
      <c r="C31" s="72"/>
      <c r="D31" s="223"/>
      <c r="E31" s="1"/>
      <c r="F31" s="1"/>
      <c r="G31" s="1"/>
      <c r="H31" s="1"/>
      <c r="I31" s="1"/>
      <c r="J31" s="1"/>
      <c r="K31" s="1"/>
      <c r="L31" s="1"/>
      <c r="M31" s="1"/>
      <c r="N31" s="1"/>
      <c r="O31" s="1"/>
      <c r="P31" s="1"/>
      <c r="Q31" s="1"/>
      <c r="R31" s="1"/>
      <c r="S31" s="1"/>
      <c r="T31" s="1"/>
      <c r="U31" s="1"/>
      <c r="V31" s="1"/>
      <c r="W31" s="1"/>
      <c r="X31" s="1"/>
      <c r="Y31" s="1"/>
      <c r="Z31" s="1"/>
    </row>
    <row r="32" spans="1:26" ht="15.75" customHeight="1">
      <c r="A32" s="72"/>
      <c r="B32" s="1"/>
      <c r="C32" s="72"/>
      <c r="D32" s="223"/>
      <c r="E32" s="1"/>
      <c r="F32" s="1"/>
      <c r="G32" s="1"/>
      <c r="H32" s="1"/>
      <c r="I32" s="1"/>
      <c r="J32" s="1"/>
      <c r="K32" s="1"/>
      <c r="L32" s="1"/>
      <c r="M32" s="1"/>
      <c r="N32" s="1"/>
      <c r="O32" s="1"/>
      <c r="P32" s="1"/>
      <c r="Q32" s="1"/>
      <c r="R32" s="1"/>
      <c r="S32" s="1"/>
      <c r="T32" s="1"/>
      <c r="U32" s="1"/>
      <c r="V32" s="1"/>
      <c r="W32" s="1"/>
      <c r="X32" s="1"/>
      <c r="Y32" s="1"/>
      <c r="Z32" s="1"/>
    </row>
    <row r="33" spans="1:26" ht="15.75" customHeight="1">
      <c r="A33" s="72"/>
      <c r="B33" s="1"/>
      <c r="C33" s="72"/>
      <c r="D33" s="223"/>
      <c r="E33" s="1"/>
      <c r="F33" s="1"/>
      <c r="G33" s="1"/>
      <c r="H33" s="1"/>
      <c r="I33" s="1"/>
      <c r="J33" s="1"/>
      <c r="K33" s="1"/>
      <c r="L33" s="1"/>
      <c r="M33" s="1"/>
      <c r="N33" s="1"/>
      <c r="O33" s="1"/>
      <c r="P33" s="1"/>
      <c r="Q33" s="1"/>
      <c r="R33" s="1"/>
      <c r="S33" s="1"/>
      <c r="T33" s="1"/>
      <c r="U33" s="1"/>
      <c r="V33" s="1"/>
      <c r="W33" s="1"/>
      <c r="X33" s="1"/>
      <c r="Y33" s="1"/>
      <c r="Z33" s="1"/>
    </row>
    <row r="34" spans="1:26" ht="15.75" customHeight="1">
      <c r="A34" s="72"/>
      <c r="B34" s="1"/>
      <c r="C34" s="72"/>
      <c r="D34" s="223"/>
      <c r="E34" s="1"/>
      <c r="F34" s="1"/>
      <c r="G34" s="1"/>
      <c r="H34" s="1"/>
      <c r="I34" s="1"/>
      <c r="J34" s="1"/>
      <c r="K34" s="1"/>
      <c r="L34" s="1"/>
      <c r="M34" s="1"/>
      <c r="N34" s="1"/>
      <c r="O34" s="1"/>
      <c r="P34" s="1"/>
      <c r="Q34" s="1"/>
      <c r="R34" s="1"/>
      <c r="S34" s="1"/>
      <c r="T34" s="1"/>
      <c r="U34" s="1"/>
      <c r="V34" s="1"/>
      <c r="W34" s="1"/>
      <c r="X34" s="1"/>
      <c r="Y34" s="1"/>
      <c r="Z34" s="1"/>
    </row>
    <row r="35" spans="1:26" ht="15.75" customHeight="1">
      <c r="A35" s="72"/>
      <c r="B35" s="1"/>
      <c r="C35" s="72"/>
      <c r="D35" s="223"/>
      <c r="E35" s="1"/>
      <c r="F35" s="1"/>
      <c r="G35" s="1"/>
      <c r="H35" s="1"/>
      <c r="I35" s="1"/>
      <c r="J35" s="1"/>
      <c r="K35" s="1"/>
      <c r="L35" s="1"/>
      <c r="M35" s="1"/>
      <c r="N35" s="1"/>
      <c r="O35" s="1"/>
      <c r="P35" s="1"/>
      <c r="Q35" s="1"/>
      <c r="R35" s="1"/>
      <c r="S35" s="1"/>
      <c r="T35" s="1"/>
      <c r="U35" s="1"/>
      <c r="V35" s="1"/>
      <c r="W35" s="1"/>
      <c r="X35" s="1"/>
      <c r="Y35" s="1"/>
      <c r="Z35" s="1"/>
    </row>
    <row r="36" spans="1:26" ht="15.75" customHeight="1">
      <c r="A36" s="72"/>
      <c r="B36" s="1"/>
      <c r="C36" s="72"/>
      <c r="D36" s="223"/>
      <c r="E36" s="1"/>
      <c r="F36" s="1"/>
      <c r="G36" s="1"/>
      <c r="H36" s="1"/>
      <c r="I36" s="1"/>
      <c r="J36" s="1"/>
      <c r="K36" s="1"/>
      <c r="L36" s="1"/>
      <c r="M36" s="1"/>
      <c r="N36" s="1"/>
      <c r="O36" s="1"/>
      <c r="P36" s="1"/>
      <c r="Q36" s="1"/>
      <c r="R36" s="1"/>
      <c r="S36" s="1"/>
      <c r="T36" s="1"/>
      <c r="U36" s="1"/>
      <c r="V36" s="1"/>
      <c r="W36" s="1"/>
      <c r="X36" s="1"/>
      <c r="Y36" s="1"/>
      <c r="Z36" s="1"/>
    </row>
    <row r="37" spans="1:26" ht="15.75" customHeight="1">
      <c r="A37" s="72"/>
      <c r="B37" s="1"/>
      <c r="C37" s="72"/>
      <c r="D37" s="223"/>
      <c r="E37" s="1"/>
      <c r="F37" s="1"/>
      <c r="G37" s="1"/>
      <c r="H37" s="1"/>
      <c r="I37" s="1"/>
      <c r="J37" s="1"/>
      <c r="K37" s="1"/>
      <c r="L37" s="1"/>
      <c r="M37" s="1"/>
      <c r="N37" s="1"/>
      <c r="O37" s="1"/>
      <c r="P37" s="1"/>
      <c r="Q37" s="1"/>
      <c r="R37" s="1"/>
      <c r="S37" s="1"/>
      <c r="T37" s="1"/>
      <c r="U37" s="1"/>
      <c r="V37" s="1"/>
      <c r="W37" s="1"/>
      <c r="X37" s="1"/>
      <c r="Y37" s="1"/>
      <c r="Z37" s="1"/>
    </row>
    <row r="38" spans="1:26" ht="15.75" customHeight="1">
      <c r="A38" s="72"/>
      <c r="B38" s="1"/>
      <c r="C38" s="72"/>
      <c r="D38" s="223"/>
      <c r="E38" s="1"/>
      <c r="F38" s="1"/>
      <c r="G38" s="1"/>
      <c r="H38" s="1"/>
      <c r="I38" s="1"/>
      <c r="J38" s="1"/>
      <c r="K38" s="1"/>
      <c r="L38" s="1"/>
      <c r="M38" s="1"/>
      <c r="N38" s="1"/>
      <c r="O38" s="1"/>
      <c r="P38" s="1"/>
      <c r="Q38" s="1"/>
      <c r="R38" s="1"/>
      <c r="S38" s="1"/>
      <c r="T38" s="1"/>
      <c r="U38" s="1"/>
      <c r="V38" s="1"/>
      <c r="W38" s="1"/>
      <c r="X38" s="1"/>
      <c r="Y38" s="1"/>
      <c r="Z38" s="1"/>
    </row>
    <row r="39" spans="1:26" ht="15.75" customHeight="1">
      <c r="A39" s="72"/>
      <c r="B39" s="1"/>
      <c r="C39" s="72"/>
      <c r="D39" s="223"/>
      <c r="E39" s="1"/>
      <c r="F39" s="1"/>
      <c r="G39" s="1"/>
      <c r="H39" s="1"/>
      <c r="I39" s="1"/>
      <c r="J39" s="1"/>
      <c r="K39" s="1"/>
      <c r="L39" s="1"/>
      <c r="M39" s="1"/>
      <c r="N39" s="1"/>
      <c r="O39" s="1"/>
      <c r="P39" s="1"/>
      <c r="Q39" s="1"/>
      <c r="R39" s="1"/>
      <c r="S39" s="1"/>
      <c r="T39" s="1"/>
      <c r="U39" s="1"/>
      <c r="V39" s="1"/>
      <c r="W39" s="1"/>
      <c r="X39" s="1"/>
      <c r="Y39" s="1"/>
      <c r="Z39" s="1"/>
    </row>
    <row r="40" spans="1:26" ht="15.75" customHeight="1">
      <c r="A40" s="72"/>
      <c r="B40" s="1"/>
      <c r="C40" s="72"/>
      <c r="D40" s="223"/>
      <c r="E40" s="1"/>
      <c r="F40" s="1"/>
      <c r="G40" s="1"/>
      <c r="H40" s="1"/>
      <c r="I40" s="1"/>
      <c r="J40" s="1"/>
      <c r="K40" s="1"/>
      <c r="L40" s="1"/>
      <c r="M40" s="1"/>
      <c r="N40" s="1"/>
      <c r="O40" s="1"/>
      <c r="P40" s="1"/>
      <c r="Q40" s="1"/>
      <c r="R40" s="1"/>
      <c r="S40" s="1"/>
      <c r="T40" s="1"/>
      <c r="U40" s="1"/>
      <c r="V40" s="1"/>
      <c r="W40" s="1"/>
      <c r="X40" s="1"/>
      <c r="Y40" s="1"/>
      <c r="Z40" s="1"/>
    </row>
    <row r="41" spans="1:26" ht="15.75" customHeight="1">
      <c r="A41" s="72"/>
      <c r="B41" s="1"/>
      <c r="C41" s="72"/>
      <c r="D41" s="223"/>
      <c r="E41" s="1"/>
      <c r="F41" s="1"/>
      <c r="G41" s="1"/>
      <c r="H41" s="1"/>
      <c r="I41" s="1"/>
      <c r="J41" s="1"/>
      <c r="K41" s="1"/>
      <c r="L41" s="1"/>
      <c r="M41" s="1"/>
      <c r="N41" s="1"/>
      <c r="O41" s="1"/>
      <c r="P41" s="1"/>
      <c r="Q41" s="1"/>
      <c r="R41" s="1"/>
      <c r="S41" s="1"/>
      <c r="T41" s="1"/>
      <c r="U41" s="1"/>
      <c r="V41" s="1"/>
      <c r="W41" s="1"/>
      <c r="X41" s="1"/>
      <c r="Y41" s="1"/>
      <c r="Z41" s="1"/>
    </row>
    <row r="42" spans="1:26" ht="15.75" customHeight="1">
      <c r="A42" s="72"/>
      <c r="B42" s="1"/>
      <c r="C42" s="72"/>
      <c r="D42" s="223"/>
      <c r="E42" s="1"/>
      <c r="F42" s="1"/>
      <c r="G42" s="1"/>
      <c r="H42" s="1"/>
      <c r="I42" s="1"/>
      <c r="J42" s="1"/>
      <c r="K42" s="1"/>
      <c r="L42" s="1"/>
      <c r="M42" s="1"/>
      <c r="N42" s="1"/>
      <c r="O42" s="1"/>
      <c r="P42" s="1"/>
      <c r="Q42" s="1"/>
      <c r="R42" s="1"/>
      <c r="S42" s="1"/>
      <c r="T42" s="1"/>
      <c r="U42" s="1"/>
      <c r="V42" s="1"/>
      <c r="W42" s="1"/>
      <c r="X42" s="1"/>
      <c r="Y42" s="1"/>
      <c r="Z42" s="1"/>
    </row>
    <row r="43" spans="1:26" ht="15.75" customHeight="1">
      <c r="A43" s="72"/>
      <c r="B43" s="1"/>
      <c r="C43" s="72"/>
      <c r="D43" s="223"/>
      <c r="E43" s="1"/>
      <c r="F43" s="1"/>
      <c r="G43" s="1"/>
      <c r="H43" s="1"/>
      <c r="I43" s="1"/>
      <c r="J43" s="1"/>
      <c r="K43" s="1"/>
      <c r="L43" s="1"/>
      <c r="M43" s="1"/>
      <c r="N43" s="1"/>
      <c r="O43" s="1"/>
      <c r="P43" s="1"/>
      <c r="Q43" s="1"/>
      <c r="R43" s="1"/>
      <c r="S43" s="1"/>
      <c r="T43" s="1"/>
      <c r="U43" s="1"/>
      <c r="V43" s="1"/>
      <c r="W43" s="1"/>
      <c r="X43" s="1"/>
      <c r="Y43" s="1"/>
      <c r="Z43" s="1"/>
    </row>
    <row r="44" spans="1:26" ht="15.75" customHeight="1">
      <c r="A44" s="72"/>
      <c r="B44" s="1"/>
      <c r="C44" s="72"/>
      <c r="D44" s="223"/>
      <c r="E44" s="1"/>
      <c r="F44" s="1"/>
      <c r="G44" s="1"/>
      <c r="H44" s="1"/>
      <c r="I44" s="1"/>
      <c r="J44" s="1"/>
      <c r="K44" s="1"/>
      <c r="L44" s="1"/>
      <c r="M44" s="1"/>
      <c r="N44" s="1"/>
      <c r="O44" s="1"/>
      <c r="P44" s="1"/>
      <c r="Q44" s="1"/>
      <c r="R44" s="1"/>
      <c r="S44" s="1"/>
      <c r="T44" s="1"/>
      <c r="U44" s="1"/>
      <c r="V44" s="1"/>
      <c r="W44" s="1"/>
      <c r="X44" s="1"/>
      <c r="Y44" s="1"/>
      <c r="Z44" s="1"/>
    </row>
    <row r="45" spans="1:26" ht="15.75" customHeight="1">
      <c r="A45" s="72"/>
      <c r="B45" s="1"/>
      <c r="C45" s="72"/>
      <c r="D45" s="223"/>
      <c r="E45" s="1"/>
      <c r="F45" s="1"/>
      <c r="G45" s="1"/>
      <c r="H45" s="1"/>
      <c r="I45" s="1"/>
      <c r="J45" s="1"/>
      <c r="K45" s="1"/>
      <c r="L45" s="1"/>
      <c r="M45" s="1"/>
      <c r="N45" s="1"/>
      <c r="O45" s="1"/>
      <c r="P45" s="1"/>
      <c r="Q45" s="1"/>
      <c r="R45" s="1"/>
      <c r="S45" s="1"/>
      <c r="T45" s="1"/>
      <c r="U45" s="1"/>
      <c r="V45" s="1"/>
      <c r="W45" s="1"/>
      <c r="X45" s="1"/>
      <c r="Y45" s="1"/>
      <c r="Z45" s="1"/>
    </row>
    <row r="46" spans="1:26" ht="15.75" customHeight="1">
      <c r="A46" s="72"/>
      <c r="B46" s="1"/>
      <c r="C46" s="72"/>
      <c r="D46" s="223"/>
      <c r="E46" s="1"/>
      <c r="F46" s="1"/>
      <c r="G46" s="1"/>
      <c r="H46" s="1"/>
      <c r="I46" s="1"/>
      <c r="J46" s="1"/>
      <c r="K46" s="1"/>
      <c r="L46" s="1"/>
      <c r="M46" s="1"/>
      <c r="N46" s="1"/>
      <c r="O46" s="1"/>
      <c r="P46" s="1"/>
      <c r="Q46" s="1"/>
      <c r="R46" s="1"/>
      <c r="S46" s="1"/>
      <c r="T46" s="1"/>
      <c r="U46" s="1"/>
      <c r="V46" s="1"/>
      <c r="W46" s="1"/>
      <c r="X46" s="1"/>
      <c r="Y46" s="1"/>
      <c r="Z46" s="1"/>
    </row>
    <row r="47" spans="1:26" ht="15.75" customHeight="1">
      <c r="A47" s="72"/>
      <c r="B47" s="1"/>
      <c r="C47" s="72"/>
      <c r="D47" s="223"/>
      <c r="E47" s="1"/>
      <c r="F47" s="1"/>
      <c r="G47" s="1"/>
      <c r="H47" s="1"/>
      <c r="I47" s="1"/>
      <c r="J47" s="1"/>
      <c r="K47" s="1"/>
      <c r="L47" s="1"/>
      <c r="M47" s="1"/>
      <c r="N47" s="1"/>
      <c r="O47" s="1"/>
      <c r="P47" s="1"/>
      <c r="Q47" s="1"/>
      <c r="R47" s="1"/>
      <c r="S47" s="1"/>
      <c r="T47" s="1"/>
      <c r="U47" s="1"/>
      <c r="V47" s="1"/>
      <c r="W47" s="1"/>
      <c r="X47" s="1"/>
      <c r="Y47" s="1"/>
      <c r="Z47" s="1"/>
    </row>
    <row r="48" spans="1:26" ht="15.75" customHeight="1">
      <c r="A48" s="72"/>
      <c r="B48" s="1"/>
      <c r="C48" s="72"/>
      <c r="D48" s="223"/>
      <c r="E48" s="1"/>
      <c r="F48" s="1"/>
      <c r="G48" s="1"/>
      <c r="H48" s="1"/>
      <c r="I48" s="1"/>
      <c r="J48" s="1"/>
      <c r="K48" s="1"/>
      <c r="L48" s="1"/>
      <c r="M48" s="1"/>
      <c r="N48" s="1"/>
      <c r="O48" s="1"/>
      <c r="P48" s="1"/>
      <c r="Q48" s="1"/>
      <c r="R48" s="1"/>
      <c r="S48" s="1"/>
      <c r="T48" s="1"/>
      <c r="U48" s="1"/>
      <c r="V48" s="1"/>
      <c r="W48" s="1"/>
      <c r="X48" s="1"/>
      <c r="Y48" s="1"/>
      <c r="Z48" s="1"/>
    </row>
    <row r="49" spans="1:26" ht="15.75" customHeight="1">
      <c r="A49" s="72"/>
      <c r="B49" s="1"/>
      <c r="C49" s="72"/>
      <c r="D49" s="223"/>
      <c r="E49" s="1"/>
      <c r="F49" s="1"/>
      <c r="G49" s="1"/>
      <c r="H49" s="1"/>
      <c r="I49" s="1"/>
      <c r="J49" s="1"/>
      <c r="K49" s="1"/>
      <c r="L49" s="1"/>
      <c r="M49" s="1"/>
      <c r="N49" s="1"/>
      <c r="O49" s="1"/>
      <c r="P49" s="1"/>
      <c r="Q49" s="1"/>
      <c r="R49" s="1"/>
      <c r="S49" s="1"/>
      <c r="T49" s="1"/>
      <c r="U49" s="1"/>
      <c r="V49" s="1"/>
      <c r="W49" s="1"/>
      <c r="X49" s="1"/>
      <c r="Y49" s="1"/>
      <c r="Z49" s="1"/>
    </row>
    <row r="50" spans="1:26" ht="15.75" customHeight="1">
      <c r="A50" s="72"/>
      <c r="B50" s="1"/>
      <c r="C50" s="72"/>
      <c r="D50" s="223"/>
      <c r="E50" s="1"/>
      <c r="F50" s="1"/>
      <c r="G50" s="1"/>
      <c r="H50" s="1"/>
      <c r="I50" s="1"/>
      <c r="J50" s="1"/>
      <c r="K50" s="1"/>
      <c r="L50" s="1"/>
      <c r="M50" s="1"/>
      <c r="N50" s="1"/>
      <c r="O50" s="1"/>
      <c r="P50" s="1"/>
      <c r="Q50" s="1"/>
      <c r="R50" s="1"/>
      <c r="S50" s="1"/>
      <c r="T50" s="1"/>
      <c r="U50" s="1"/>
      <c r="V50" s="1"/>
      <c r="W50" s="1"/>
      <c r="X50" s="1"/>
      <c r="Y50" s="1"/>
      <c r="Z50" s="1"/>
    </row>
    <row r="51" spans="1:26" ht="15.75" customHeight="1">
      <c r="A51" s="72"/>
      <c r="B51" s="1"/>
      <c r="C51" s="72"/>
      <c r="D51" s="223"/>
      <c r="E51" s="1"/>
      <c r="F51" s="1"/>
      <c r="G51" s="1"/>
      <c r="H51" s="1"/>
      <c r="I51" s="1"/>
      <c r="J51" s="1"/>
      <c r="K51" s="1"/>
      <c r="L51" s="1"/>
      <c r="M51" s="1"/>
      <c r="N51" s="1"/>
      <c r="O51" s="1"/>
      <c r="P51" s="1"/>
      <c r="Q51" s="1"/>
      <c r="R51" s="1"/>
      <c r="S51" s="1"/>
      <c r="T51" s="1"/>
      <c r="U51" s="1"/>
      <c r="V51" s="1"/>
      <c r="W51" s="1"/>
      <c r="X51" s="1"/>
      <c r="Y51" s="1"/>
      <c r="Z51" s="1"/>
    </row>
    <row r="52" spans="1:26" ht="15.75" customHeight="1">
      <c r="A52" s="72"/>
      <c r="B52" s="1"/>
      <c r="C52" s="72"/>
      <c r="D52" s="223"/>
      <c r="E52" s="1"/>
      <c r="F52" s="1"/>
      <c r="G52" s="1"/>
      <c r="H52" s="1"/>
      <c r="I52" s="1"/>
      <c r="J52" s="1"/>
      <c r="K52" s="1"/>
      <c r="L52" s="1"/>
      <c r="M52" s="1"/>
      <c r="N52" s="1"/>
      <c r="O52" s="1"/>
      <c r="P52" s="1"/>
      <c r="Q52" s="1"/>
      <c r="R52" s="1"/>
      <c r="S52" s="1"/>
      <c r="T52" s="1"/>
      <c r="U52" s="1"/>
      <c r="V52" s="1"/>
      <c r="W52" s="1"/>
      <c r="X52" s="1"/>
      <c r="Y52" s="1"/>
      <c r="Z52" s="1"/>
    </row>
    <row r="53" spans="1:26" ht="15.75" customHeight="1">
      <c r="A53" s="72"/>
      <c r="B53" s="1"/>
      <c r="C53" s="72"/>
      <c r="D53" s="223"/>
      <c r="E53" s="1"/>
      <c r="F53" s="1"/>
      <c r="G53" s="1"/>
      <c r="H53" s="1"/>
      <c r="I53" s="1"/>
      <c r="J53" s="1"/>
      <c r="K53" s="1"/>
      <c r="L53" s="1"/>
      <c r="M53" s="1"/>
      <c r="N53" s="1"/>
      <c r="O53" s="1"/>
      <c r="P53" s="1"/>
      <c r="Q53" s="1"/>
      <c r="R53" s="1"/>
      <c r="S53" s="1"/>
      <c r="T53" s="1"/>
      <c r="U53" s="1"/>
      <c r="V53" s="1"/>
      <c r="W53" s="1"/>
      <c r="X53" s="1"/>
      <c r="Y53" s="1"/>
      <c r="Z53" s="1"/>
    </row>
    <row r="54" spans="1:26" ht="15.75" customHeight="1">
      <c r="A54" s="72"/>
      <c r="B54" s="1"/>
      <c r="C54" s="72"/>
      <c r="D54" s="223"/>
      <c r="E54" s="1"/>
      <c r="F54" s="1"/>
      <c r="G54" s="1"/>
      <c r="H54" s="1"/>
      <c r="I54" s="1"/>
      <c r="J54" s="1"/>
      <c r="K54" s="1"/>
      <c r="L54" s="1"/>
      <c r="M54" s="1"/>
      <c r="N54" s="1"/>
      <c r="O54" s="1"/>
      <c r="P54" s="1"/>
      <c r="Q54" s="1"/>
      <c r="R54" s="1"/>
      <c r="S54" s="1"/>
      <c r="T54" s="1"/>
      <c r="U54" s="1"/>
      <c r="V54" s="1"/>
      <c r="W54" s="1"/>
      <c r="X54" s="1"/>
      <c r="Y54" s="1"/>
      <c r="Z54" s="1"/>
    </row>
    <row r="55" spans="1:26" ht="15.75" customHeight="1">
      <c r="A55" s="72"/>
      <c r="B55" s="1"/>
      <c r="C55" s="72"/>
      <c r="D55" s="223"/>
      <c r="E55" s="1"/>
      <c r="F55" s="1"/>
      <c r="G55" s="1"/>
      <c r="H55" s="1"/>
      <c r="I55" s="1"/>
      <c r="J55" s="1"/>
      <c r="K55" s="1"/>
      <c r="L55" s="1"/>
      <c r="M55" s="1"/>
      <c r="N55" s="1"/>
      <c r="O55" s="1"/>
      <c r="P55" s="1"/>
      <c r="Q55" s="1"/>
      <c r="R55" s="1"/>
      <c r="S55" s="1"/>
      <c r="T55" s="1"/>
      <c r="U55" s="1"/>
      <c r="V55" s="1"/>
      <c r="W55" s="1"/>
      <c r="X55" s="1"/>
      <c r="Y55" s="1"/>
      <c r="Z55" s="1"/>
    </row>
    <row r="56" spans="1:26" ht="15.75" customHeight="1">
      <c r="A56" s="72"/>
      <c r="B56" s="1"/>
      <c r="C56" s="72"/>
      <c r="D56" s="223"/>
      <c r="E56" s="1"/>
      <c r="F56" s="1"/>
      <c r="G56" s="1"/>
      <c r="H56" s="1"/>
      <c r="I56" s="1"/>
      <c r="J56" s="1"/>
      <c r="K56" s="1"/>
      <c r="L56" s="1"/>
      <c r="M56" s="1"/>
      <c r="N56" s="1"/>
      <c r="O56" s="1"/>
      <c r="P56" s="1"/>
      <c r="Q56" s="1"/>
      <c r="R56" s="1"/>
      <c r="S56" s="1"/>
      <c r="T56" s="1"/>
      <c r="U56" s="1"/>
      <c r="V56" s="1"/>
      <c r="W56" s="1"/>
      <c r="X56" s="1"/>
      <c r="Y56" s="1"/>
      <c r="Z56" s="1"/>
    </row>
    <row r="57" spans="1:26" ht="15.75" customHeight="1">
      <c r="A57" s="72"/>
      <c r="B57" s="1"/>
      <c r="C57" s="72"/>
      <c r="D57" s="223"/>
      <c r="E57" s="1"/>
      <c r="F57" s="1"/>
      <c r="G57" s="1"/>
      <c r="H57" s="1"/>
      <c r="I57" s="1"/>
      <c r="J57" s="1"/>
      <c r="K57" s="1"/>
      <c r="L57" s="1"/>
      <c r="M57" s="1"/>
      <c r="N57" s="1"/>
      <c r="O57" s="1"/>
      <c r="P57" s="1"/>
      <c r="Q57" s="1"/>
      <c r="R57" s="1"/>
      <c r="S57" s="1"/>
      <c r="T57" s="1"/>
      <c r="U57" s="1"/>
      <c r="V57" s="1"/>
      <c r="W57" s="1"/>
      <c r="X57" s="1"/>
      <c r="Y57" s="1"/>
      <c r="Z57" s="1"/>
    </row>
    <row r="58" spans="1:26" ht="15.75" customHeight="1">
      <c r="A58" s="72"/>
      <c r="B58" s="1"/>
      <c r="C58" s="72"/>
      <c r="D58" s="223"/>
      <c r="E58" s="1"/>
      <c r="F58" s="1"/>
      <c r="G58" s="1"/>
      <c r="H58" s="1"/>
      <c r="I58" s="1"/>
      <c r="J58" s="1"/>
      <c r="K58" s="1"/>
      <c r="L58" s="1"/>
      <c r="M58" s="1"/>
      <c r="N58" s="1"/>
      <c r="O58" s="1"/>
      <c r="P58" s="1"/>
      <c r="Q58" s="1"/>
      <c r="R58" s="1"/>
      <c r="S58" s="1"/>
      <c r="T58" s="1"/>
      <c r="U58" s="1"/>
      <c r="V58" s="1"/>
      <c r="W58" s="1"/>
      <c r="X58" s="1"/>
      <c r="Y58" s="1"/>
      <c r="Z58" s="1"/>
    </row>
    <row r="59" spans="1:26" ht="15.75" customHeight="1">
      <c r="A59" s="72"/>
      <c r="B59" s="1"/>
      <c r="C59" s="72"/>
      <c r="D59" s="223"/>
      <c r="E59" s="1"/>
      <c r="F59" s="1"/>
      <c r="G59" s="1"/>
      <c r="H59" s="1"/>
      <c r="I59" s="1"/>
      <c r="J59" s="1"/>
      <c r="K59" s="1"/>
      <c r="L59" s="1"/>
      <c r="M59" s="1"/>
      <c r="N59" s="1"/>
      <c r="O59" s="1"/>
      <c r="P59" s="1"/>
      <c r="Q59" s="1"/>
      <c r="R59" s="1"/>
      <c r="S59" s="1"/>
      <c r="T59" s="1"/>
      <c r="U59" s="1"/>
      <c r="V59" s="1"/>
      <c r="W59" s="1"/>
      <c r="X59" s="1"/>
      <c r="Y59" s="1"/>
      <c r="Z59" s="1"/>
    </row>
    <row r="60" spans="1:26" ht="15.75" customHeight="1">
      <c r="A60" s="72"/>
      <c r="B60" s="1"/>
      <c r="C60" s="72"/>
      <c r="D60" s="223"/>
      <c r="E60" s="1"/>
      <c r="F60" s="1"/>
      <c r="G60" s="1"/>
      <c r="H60" s="1"/>
      <c r="I60" s="1"/>
      <c r="J60" s="1"/>
      <c r="K60" s="1"/>
      <c r="L60" s="1"/>
      <c r="M60" s="1"/>
      <c r="N60" s="1"/>
      <c r="O60" s="1"/>
      <c r="P60" s="1"/>
      <c r="Q60" s="1"/>
      <c r="R60" s="1"/>
      <c r="S60" s="1"/>
      <c r="T60" s="1"/>
      <c r="U60" s="1"/>
      <c r="V60" s="1"/>
      <c r="W60" s="1"/>
      <c r="X60" s="1"/>
      <c r="Y60" s="1"/>
      <c r="Z60" s="1"/>
    </row>
    <row r="61" spans="1:26" ht="15.75" customHeight="1">
      <c r="A61" s="72"/>
      <c r="B61" s="1"/>
      <c r="C61" s="72"/>
      <c r="D61" s="223"/>
      <c r="E61" s="1"/>
      <c r="F61" s="1"/>
      <c r="G61" s="1"/>
      <c r="H61" s="1"/>
      <c r="I61" s="1"/>
      <c r="J61" s="1"/>
      <c r="K61" s="1"/>
      <c r="L61" s="1"/>
      <c r="M61" s="1"/>
      <c r="N61" s="1"/>
      <c r="O61" s="1"/>
      <c r="P61" s="1"/>
      <c r="Q61" s="1"/>
      <c r="R61" s="1"/>
      <c r="S61" s="1"/>
      <c r="T61" s="1"/>
      <c r="U61" s="1"/>
      <c r="V61" s="1"/>
      <c r="W61" s="1"/>
      <c r="X61" s="1"/>
      <c r="Y61" s="1"/>
      <c r="Z61" s="1"/>
    </row>
    <row r="62" spans="1:26" ht="15.75" customHeight="1">
      <c r="A62" s="72"/>
      <c r="B62" s="1"/>
      <c r="C62" s="72"/>
      <c r="D62" s="223"/>
      <c r="E62" s="1"/>
      <c r="F62" s="1"/>
      <c r="G62" s="1"/>
      <c r="H62" s="1"/>
      <c r="I62" s="1"/>
      <c r="J62" s="1"/>
      <c r="K62" s="1"/>
      <c r="L62" s="1"/>
      <c r="M62" s="1"/>
      <c r="N62" s="1"/>
      <c r="O62" s="1"/>
      <c r="P62" s="1"/>
      <c r="Q62" s="1"/>
      <c r="R62" s="1"/>
      <c r="S62" s="1"/>
      <c r="T62" s="1"/>
      <c r="U62" s="1"/>
      <c r="V62" s="1"/>
      <c r="W62" s="1"/>
      <c r="X62" s="1"/>
      <c r="Y62" s="1"/>
      <c r="Z62" s="1"/>
    </row>
    <row r="63" spans="1:26" ht="15.75" customHeight="1">
      <c r="A63" s="72"/>
      <c r="B63" s="1"/>
      <c r="C63" s="72"/>
      <c r="D63" s="223"/>
      <c r="E63" s="1"/>
      <c r="F63" s="1"/>
      <c r="G63" s="1"/>
      <c r="H63" s="1"/>
      <c r="I63" s="1"/>
      <c r="J63" s="1"/>
      <c r="K63" s="1"/>
      <c r="L63" s="1"/>
      <c r="M63" s="1"/>
      <c r="N63" s="1"/>
      <c r="O63" s="1"/>
      <c r="P63" s="1"/>
      <c r="Q63" s="1"/>
      <c r="R63" s="1"/>
      <c r="S63" s="1"/>
      <c r="T63" s="1"/>
      <c r="U63" s="1"/>
      <c r="V63" s="1"/>
      <c r="W63" s="1"/>
      <c r="X63" s="1"/>
      <c r="Y63" s="1"/>
      <c r="Z63" s="1"/>
    </row>
    <row r="64" spans="1:26" ht="15.75" customHeight="1">
      <c r="A64" s="72"/>
      <c r="B64" s="1"/>
      <c r="C64" s="72"/>
      <c r="D64" s="223"/>
      <c r="E64" s="1"/>
      <c r="F64" s="1"/>
      <c r="G64" s="1"/>
      <c r="H64" s="1"/>
      <c r="I64" s="1"/>
      <c r="J64" s="1"/>
      <c r="K64" s="1"/>
      <c r="L64" s="1"/>
      <c r="M64" s="1"/>
      <c r="N64" s="1"/>
      <c r="O64" s="1"/>
      <c r="P64" s="1"/>
      <c r="Q64" s="1"/>
      <c r="R64" s="1"/>
      <c r="S64" s="1"/>
      <c r="T64" s="1"/>
      <c r="U64" s="1"/>
      <c r="V64" s="1"/>
      <c r="W64" s="1"/>
      <c r="X64" s="1"/>
      <c r="Y64" s="1"/>
      <c r="Z64" s="1"/>
    </row>
    <row r="65" spans="1:26" ht="15.75" customHeight="1">
      <c r="A65" s="72"/>
      <c r="B65" s="1"/>
      <c r="C65" s="72"/>
      <c r="D65" s="223"/>
      <c r="E65" s="1"/>
      <c r="F65" s="1"/>
      <c r="G65" s="1"/>
      <c r="H65" s="1"/>
      <c r="I65" s="1"/>
      <c r="J65" s="1"/>
      <c r="K65" s="1"/>
      <c r="L65" s="1"/>
      <c r="M65" s="1"/>
      <c r="N65" s="1"/>
      <c r="O65" s="1"/>
      <c r="P65" s="1"/>
      <c r="Q65" s="1"/>
      <c r="R65" s="1"/>
      <c r="S65" s="1"/>
      <c r="T65" s="1"/>
      <c r="U65" s="1"/>
      <c r="V65" s="1"/>
      <c r="W65" s="1"/>
      <c r="X65" s="1"/>
      <c r="Y65" s="1"/>
      <c r="Z65" s="1"/>
    </row>
    <row r="66" spans="1:26" ht="15.75" customHeight="1">
      <c r="A66" s="72"/>
      <c r="B66" s="1"/>
      <c r="C66" s="72"/>
      <c r="D66" s="223"/>
      <c r="E66" s="1"/>
      <c r="F66" s="1"/>
      <c r="G66" s="1"/>
      <c r="H66" s="1"/>
      <c r="I66" s="1"/>
      <c r="J66" s="1"/>
      <c r="K66" s="1"/>
      <c r="L66" s="1"/>
      <c r="M66" s="1"/>
      <c r="N66" s="1"/>
      <c r="O66" s="1"/>
      <c r="P66" s="1"/>
      <c r="Q66" s="1"/>
      <c r="R66" s="1"/>
      <c r="S66" s="1"/>
      <c r="T66" s="1"/>
      <c r="U66" s="1"/>
      <c r="V66" s="1"/>
      <c r="W66" s="1"/>
      <c r="X66" s="1"/>
      <c r="Y66" s="1"/>
      <c r="Z66" s="1"/>
    </row>
    <row r="67" spans="1:26" ht="15.75" customHeight="1">
      <c r="A67" s="72"/>
      <c r="B67" s="1"/>
      <c r="C67" s="72"/>
      <c r="D67" s="223"/>
      <c r="E67" s="1"/>
      <c r="F67" s="1"/>
      <c r="G67" s="1"/>
      <c r="H67" s="1"/>
      <c r="I67" s="1"/>
      <c r="J67" s="1"/>
      <c r="K67" s="1"/>
      <c r="L67" s="1"/>
      <c r="M67" s="1"/>
      <c r="N67" s="1"/>
      <c r="O67" s="1"/>
      <c r="P67" s="1"/>
      <c r="Q67" s="1"/>
      <c r="R67" s="1"/>
      <c r="S67" s="1"/>
      <c r="T67" s="1"/>
      <c r="U67" s="1"/>
      <c r="V67" s="1"/>
      <c r="W67" s="1"/>
      <c r="X67" s="1"/>
      <c r="Y67" s="1"/>
      <c r="Z67" s="1"/>
    </row>
    <row r="68" spans="1:26" ht="15.75" customHeight="1">
      <c r="A68" s="72"/>
      <c r="B68" s="1"/>
      <c r="C68" s="72"/>
      <c r="D68" s="223"/>
      <c r="E68" s="1"/>
      <c r="F68" s="1"/>
      <c r="G68" s="1"/>
      <c r="H68" s="1"/>
      <c r="I68" s="1"/>
      <c r="J68" s="1"/>
      <c r="K68" s="1"/>
      <c r="L68" s="1"/>
      <c r="M68" s="1"/>
      <c r="N68" s="1"/>
      <c r="O68" s="1"/>
      <c r="P68" s="1"/>
      <c r="Q68" s="1"/>
      <c r="R68" s="1"/>
      <c r="S68" s="1"/>
      <c r="T68" s="1"/>
      <c r="U68" s="1"/>
      <c r="V68" s="1"/>
      <c r="W68" s="1"/>
      <c r="X68" s="1"/>
      <c r="Y68" s="1"/>
      <c r="Z68" s="1"/>
    </row>
    <row r="69" spans="1:26" ht="15.75" customHeight="1">
      <c r="A69" s="72"/>
      <c r="B69" s="1"/>
      <c r="C69" s="72"/>
      <c r="D69" s="223"/>
      <c r="E69" s="1"/>
      <c r="F69" s="1"/>
      <c r="G69" s="1"/>
      <c r="H69" s="1"/>
      <c r="I69" s="1"/>
      <c r="J69" s="1"/>
      <c r="K69" s="1"/>
      <c r="L69" s="1"/>
      <c r="M69" s="1"/>
      <c r="N69" s="1"/>
      <c r="O69" s="1"/>
      <c r="P69" s="1"/>
      <c r="Q69" s="1"/>
      <c r="R69" s="1"/>
      <c r="S69" s="1"/>
      <c r="T69" s="1"/>
      <c r="U69" s="1"/>
      <c r="V69" s="1"/>
      <c r="W69" s="1"/>
      <c r="X69" s="1"/>
      <c r="Y69" s="1"/>
      <c r="Z69" s="1"/>
    </row>
    <row r="70" spans="1:26" ht="15.75" customHeight="1">
      <c r="A70" s="72"/>
      <c r="B70" s="1"/>
      <c r="C70" s="72"/>
      <c r="D70" s="223"/>
      <c r="E70" s="1"/>
      <c r="F70" s="1"/>
      <c r="G70" s="1"/>
      <c r="H70" s="1"/>
      <c r="I70" s="1"/>
      <c r="J70" s="1"/>
      <c r="K70" s="1"/>
      <c r="L70" s="1"/>
      <c r="M70" s="1"/>
      <c r="N70" s="1"/>
      <c r="O70" s="1"/>
      <c r="P70" s="1"/>
      <c r="Q70" s="1"/>
      <c r="R70" s="1"/>
      <c r="S70" s="1"/>
      <c r="T70" s="1"/>
      <c r="U70" s="1"/>
      <c r="V70" s="1"/>
      <c r="W70" s="1"/>
      <c r="X70" s="1"/>
      <c r="Y70" s="1"/>
      <c r="Z70" s="1"/>
    </row>
    <row r="71" spans="1:26" ht="15.75" customHeight="1">
      <c r="A71" s="72"/>
      <c r="B71" s="1"/>
      <c r="C71" s="72"/>
      <c r="D71" s="223"/>
      <c r="E71" s="1"/>
      <c r="F71" s="1"/>
      <c r="G71" s="1"/>
      <c r="H71" s="1"/>
      <c r="I71" s="1"/>
      <c r="J71" s="1"/>
      <c r="K71" s="1"/>
      <c r="L71" s="1"/>
      <c r="M71" s="1"/>
      <c r="N71" s="1"/>
      <c r="O71" s="1"/>
      <c r="P71" s="1"/>
      <c r="Q71" s="1"/>
      <c r="R71" s="1"/>
      <c r="S71" s="1"/>
      <c r="T71" s="1"/>
      <c r="U71" s="1"/>
      <c r="V71" s="1"/>
      <c r="W71" s="1"/>
      <c r="X71" s="1"/>
      <c r="Y71" s="1"/>
      <c r="Z71" s="1"/>
    </row>
    <row r="72" spans="1:26" ht="15.75" customHeight="1">
      <c r="A72" s="72"/>
      <c r="B72" s="1"/>
      <c r="C72" s="72"/>
      <c r="D72" s="223"/>
      <c r="E72" s="1"/>
      <c r="F72" s="1"/>
      <c r="G72" s="1"/>
      <c r="H72" s="1"/>
      <c r="I72" s="1"/>
      <c r="J72" s="1"/>
      <c r="K72" s="1"/>
      <c r="L72" s="1"/>
      <c r="M72" s="1"/>
      <c r="N72" s="1"/>
      <c r="O72" s="1"/>
      <c r="P72" s="1"/>
      <c r="Q72" s="1"/>
      <c r="R72" s="1"/>
      <c r="S72" s="1"/>
      <c r="T72" s="1"/>
      <c r="U72" s="1"/>
      <c r="V72" s="1"/>
      <c r="W72" s="1"/>
      <c r="X72" s="1"/>
      <c r="Y72" s="1"/>
      <c r="Z72" s="1"/>
    </row>
    <row r="73" spans="1:26" ht="15.75" customHeight="1">
      <c r="A73" s="72"/>
      <c r="B73" s="1"/>
      <c r="C73" s="72"/>
      <c r="D73" s="223"/>
      <c r="E73" s="1"/>
      <c r="F73" s="1"/>
      <c r="G73" s="1"/>
      <c r="H73" s="1"/>
      <c r="I73" s="1"/>
      <c r="J73" s="1"/>
      <c r="K73" s="1"/>
      <c r="L73" s="1"/>
      <c r="M73" s="1"/>
      <c r="N73" s="1"/>
      <c r="O73" s="1"/>
      <c r="P73" s="1"/>
      <c r="Q73" s="1"/>
      <c r="R73" s="1"/>
      <c r="S73" s="1"/>
      <c r="T73" s="1"/>
      <c r="U73" s="1"/>
      <c r="V73" s="1"/>
      <c r="W73" s="1"/>
      <c r="X73" s="1"/>
      <c r="Y73" s="1"/>
      <c r="Z73" s="1"/>
    </row>
    <row r="74" spans="1:26" ht="15.75" customHeight="1">
      <c r="A74" s="72"/>
      <c r="B74" s="1"/>
      <c r="C74" s="72"/>
      <c r="D74" s="223"/>
      <c r="E74" s="1"/>
      <c r="F74" s="1"/>
      <c r="G74" s="1"/>
      <c r="H74" s="1"/>
      <c r="I74" s="1"/>
      <c r="J74" s="1"/>
      <c r="K74" s="1"/>
      <c r="L74" s="1"/>
      <c r="M74" s="1"/>
      <c r="N74" s="1"/>
      <c r="O74" s="1"/>
      <c r="P74" s="1"/>
      <c r="Q74" s="1"/>
      <c r="R74" s="1"/>
      <c r="S74" s="1"/>
      <c r="T74" s="1"/>
      <c r="U74" s="1"/>
      <c r="V74" s="1"/>
      <c r="W74" s="1"/>
      <c r="X74" s="1"/>
      <c r="Y74" s="1"/>
      <c r="Z74" s="1"/>
    </row>
    <row r="75" spans="1:26" ht="15.75" customHeight="1">
      <c r="A75" s="72"/>
      <c r="B75" s="1"/>
      <c r="C75" s="72"/>
      <c r="D75" s="223"/>
      <c r="E75" s="1"/>
      <c r="F75" s="1"/>
      <c r="G75" s="1"/>
      <c r="H75" s="1"/>
      <c r="I75" s="1"/>
      <c r="J75" s="1"/>
      <c r="K75" s="1"/>
      <c r="L75" s="1"/>
      <c r="M75" s="1"/>
      <c r="N75" s="1"/>
      <c r="O75" s="1"/>
      <c r="P75" s="1"/>
      <c r="Q75" s="1"/>
      <c r="R75" s="1"/>
      <c r="S75" s="1"/>
      <c r="T75" s="1"/>
      <c r="U75" s="1"/>
      <c r="V75" s="1"/>
      <c r="W75" s="1"/>
      <c r="X75" s="1"/>
      <c r="Y75" s="1"/>
      <c r="Z75" s="1"/>
    </row>
    <row r="76" spans="1:26" ht="15.75" customHeight="1">
      <c r="A76" s="72"/>
      <c r="B76" s="1"/>
      <c r="C76" s="72"/>
      <c r="D76" s="223"/>
      <c r="E76" s="1"/>
      <c r="F76" s="1"/>
      <c r="G76" s="1"/>
      <c r="H76" s="1"/>
      <c r="I76" s="1"/>
      <c r="J76" s="1"/>
      <c r="K76" s="1"/>
      <c r="L76" s="1"/>
      <c r="M76" s="1"/>
      <c r="N76" s="1"/>
      <c r="O76" s="1"/>
      <c r="P76" s="1"/>
      <c r="Q76" s="1"/>
      <c r="R76" s="1"/>
      <c r="S76" s="1"/>
      <c r="T76" s="1"/>
      <c r="U76" s="1"/>
      <c r="V76" s="1"/>
      <c r="W76" s="1"/>
      <c r="X76" s="1"/>
      <c r="Y76" s="1"/>
      <c r="Z76" s="1"/>
    </row>
    <row r="77" spans="1:26" ht="15.75" customHeight="1">
      <c r="A77" s="72"/>
      <c r="B77" s="1"/>
      <c r="C77" s="72"/>
      <c r="D77" s="223"/>
      <c r="E77" s="1"/>
      <c r="F77" s="1"/>
      <c r="G77" s="1"/>
      <c r="H77" s="1"/>
      <c r="I77" s="1"/>
      <c r="J77" s="1"/>
      <c r="K77" s="1"/>
      <c r="L77" s="1"/>
      <c r="M77" s="1"/>
      <c r="N77" s="1"/>
      <c r="O77" s="1"/>
      <c r="P77" s="1"/>
      <c r="Q77" s="1"/>
      <c r="R77" s="1"/>
      <c r="S77" s="1"/>
      <c r="T77" s="1"/>
      <c r="U77" s="1"/>
      <c r="V77" s="1"/>
      <c r="W77" s="1"/>
      <c r="X77" s="1"/>
      <c r="Y77" s="1"/>
      <c r="Z77" s="1"/>
    </row>
    <row r="78" spans="1:26" ht="15.75" customHeight="1">
      <c r="A78" s="72"/>
      <c r="B78" s="1"/>
      <c r="C78" s="72"/>
      <c r="D78" s="223"/>
      <c r="E78" s="1"/>
      <c r="F78" s="1"/>
      <c r="G78" s="1"/>
      <c r="H78" s="1"/>
      <c r="I78" s="1"/>
      <c r="J78" s="1"/>
      <c r="K78" s="1"/>
      <c r="L78" s="1"/>
      <c r="M78" s="1"/>
      <c r="N78" s="1"/>
      <c r="O78" s="1"/>
      <c r="P78" s="1"/>
      <c r="Q78" s="1"/>
      <c r="R78" s="1"/>
      <c r="S78" s="1"/>
      <c r="T78" s="1"/>
      <c r="U78" s="1"/>
      <c r="V78" s="1"/>
      <c r="W78" s="1"/>
      <c r="X78" s="1"/>
      <c r="Y78" s="1"/>
      <c r="Z78" s="1"/>
    </row>
    <row r="79" spans="1:26" ht="15.75" customHeight="1">
      <c r="A79" s="72"/>
      <c r="B79" s="1"/>
      <c r="C79" s="72"/>
      <c r="D79" s="223"/>
      <c r="E79" s="1"/>
      <c r="F79" s="1"/>
      <c r="G79" s="1"/>
      <c r="H79" s="1"/>
      <c r="I79" s="1"/>
      <c r="J79" s="1"/>
      <c r="K79" s="1"/>
      <c r="L79" s="1"/>
      <c r="M79" s="1"/>
      <c r="N79" s="1"/>
      <c r="O79" s="1"/>
      <c r="P79" s="1"/>
      <c r="Q79" s="1"/>
      <c r="R79" s="1"/>
      <c r="S79" s="1"/>
      <c r="T79" s="1"/>
      <c r="U79" s="1"/>
      <c r="V79" s="1"/>
      <c r="W79" s="1"/>
      <c r="X79" s="1"/>
      <c r="Y79" s="1"/>
      <c r="Z79" s="1"/>
    </row>
    <row r="80" spans="1:26" ht="15.75" customHeight="1">
      <c r="A80" s="72"/>
      <c r="B80" s="1"/>
      <c r="C80" s="72"/>
      <c r="D80" s="223"/>
      <c r="E80" s="1"/>
      <c r="F80" s="1"/>
      <c r="G80" s="1"/>
      <c r="H80" s="1"/>
      <c r="I80" s="1"/>
      <c r="J80" s="1"/>
      <c r="K80" s="1"/>
      <c r="L80" s="1"/>
      <c r="M80" s="1"/>
      <c r="N80" s="1"/>
      <c r="O80" s="1"/>
      <c r="P80" s="1"/>
      <c r="Q80" s="1"/>
      <c r="R80" s="1"/>
      <c r="S80" s="1"/>
      <c r="T80" s="1"/>
      <c r="U80" s="1"/>
      <c r="V80" s="1"/>
      <c r="W80" s="1"/>
      <c r="X80" s="1"/>
      <c r="Y80" s="1"/>
      <c r="Z80" s="1"/>
    </row>
    <row r="81" spans="1:26" ht="15.75" customHeight="1">
      <c r="A81" s="72"/>
      <c r="B81" s="1"/>
      <c r="C81" s="72"/>
      <c r="D81" s="223"/>
      <c r="E81" s="1"/>
      <c r="F81" s="1"/>
      <c r="G81" s="1"/>
      <c r="H81" s="1"/>
      <c r="I81" s="1"/>
      <c r="J81" s="1"/>
      <c r="K81" s="1"/>
      <c r="L81" s="1"/>
      <c r="M81" s="1"/>
      <c r="N81" s="1"/>
      <c r="O81" s="1"/>
      <c r="P81" s="1"/>
      <c r="Q81" s="1"/>
      <c r="R81" s="1"/>
      <c r="S81" s="1"/>
      <c r="T81" s="1"/>
      <c r="U81" s="1"/>
      <c r="V81" s="1"/>
      <c r="W81" s="1"/>
      <c r="X81" s="1"/>
      <c r="Y81" s="1"/>
      <c r="Z81" s="1"/>
    </row>
    <row r="82" spans="1:26" ht="15.75" customHeight="1">
      <c r="A82" s="72"/>
      <c r="B82" s="1"/>
      <c r="C82" s="72"/>
      <c r="D82" s="223"/>
      <c r="E82" s="1"/>
      <c r="F82" s="1"/>
      <c r="G82" s="1"/>
      <c r="H82" s="1"/>
      <c r="I82" s="1"/>
      <c r="J82" s="1"/>
      <c r="K82" s="1"/>
      <c r="L82" s="1"/>
      <c r="M82" s="1"/>
      <c r="N82" s="1"/>
      <c r="O82" s="1"/>
      <c r="P82" s="1"/>
      <c r="Q82" s="1"/>
      <c r="R82" s="1"/>
      <c r="S82" s="1"/>
      <c r="T82" s="1"/>
      <c r="U82" s="1"/>
      <c r="V82" s="1"/>
      <c r="W82" s="1"/>
      <c r="X82" s="1"/>
      <c r="Y82" s="1"/>
      <c r="Z82" s="1"/>
    </row>
    <row r="83" spans="1:26" ht="15.75" customHeight="1">
      <c r="A83" s="72"/>
      <c r="B83" s="1"/>
      <c r="C83" s="72"/>
      <c r="D83" s="223"/>
      <c r="E83" s="1"/>
      <c r="F83" s="1"/>
      <c r="G83" s="1"/>
      <c r="H83" s="1"/>
      <c r="I83" s="1"/>
      <c r="J83" s="1"/>
      <c r="K83" s="1"/>
      <c r="L83" s="1"/>
      <c r="M83" s="1"/>
      <c r="N83" s="1"/>
      <c r="O83" s="1"/>
      <c r="P83" s="1"/>
      <c r="Q83" s="1"/>
      <c r="R83" s="1"/>
      <c r="S83" s="1"/>
      <c r="T83" s="1"/>
      <c r="U83" s="1"/>
      <c r="V83" s="1"/>
      <c r="W83" s="1"/>
      <c r="X83" s="1"/>
      <c r="Y83" s="1"/>
      <c r="Z83" s="1"/>
    </row>
    <row r="84" spans="1:26" ht="15.75" customHeight="1">
      <c r="A84" s="72"/>
      <c r="B84" s="1"/>
      <c r="C84" s="72"/>
      <c r="D84" s="223"/>
      <c r="E84" s="1"/>
      <c r="F84" s="1"/>
      <c r="G84" s="1"/>
      <c r="H84" s="1"/>
      <c r="I84" s="1"/>
      <c r="J84" s="1"/>
      <c r="K84" s="1"/>
      <c r="L84" s="1"/>
      <c r="M84" s="1"/>
      <c r="N84" s="1"/>
      <c r="O84" s="1"/>
      <c r="P84" s="1"/>
      <c r="Q84" s="1"/>
      <c r="R84" s="1"/>
      <c r="S84" s="1"/>
      <c r="T84" s="1"/>
      <c r="U84" s="1"/>
      <c r="V84" s="1"/>
      <c r="W84" s="1"/>
      <c r="X84" s="1"/>
      <c r="Y84" s="1"/>
      <c r="Z84" s="1"/>
    </row>
    <row r="85" spans="1:26" ht="15.75" customHeight="1">
      <c r="A85" s="72"/>
      <c r="B85" s="1"/>
      <c r="C85" s="72"/>
      <c r="D85" s="223"/>
      <c r="E85" s="1"/>
      <c r="F85" s="1"/>
      <c r="G85" s="1"/>
      <c r="H85" s="1"/>
      <c r="I85" s="1"/>
      <c r="J85" s="1"/>
      <c r="K85" s="1"/>
      <c r="L85" s="1"/>
      <c r="M85" s="1"/>
      <c r="N85" s="1"/>
      <c r="O85" s="1"/>
      <c r="P85" s="1"/>
      <c r="Q85" s="1"/>
      <c r="R85" s="1"/>
      <c r="S85" s="1"/>
      <c r="T85" s="1"/>
      <c r="U85" s="1"/>
      <c r="V85" s="1"/>
      <c r="W85" s="1"/>
      <c r="X85" s="1"/>
      <c r="Y85" s="1"/>
      <c r="Z85" s="1"/>
    </row>
    <row r="86" spans="1:26" ht="15.75" customHeight="1">
      <c r="A86" s="72"/>
      <c r="B86" s="1"/>
      <c r="C86" s="72"/>
      <c r="D86" s="223"/>
      <c r="E86" s="1"/>
      <c r="F86" s="1"/>
      <c r="G86" s="1"/>
      <c r="H86" s="1"/>
      <c r="I86" s="1"/>
      <c r="J86" s="1"/>
      <c r="K86" s="1"/>
      <c r="L86" s="1"/>
      <c r="M86" s="1"/>
      <c r="N86" s="1"/>
      <c r="O86" s="1"/>
      <c r="P86" s="1"/>
      <c r="Q86" s="1"/>
      <c r="R86" s="1"/>
      <c r="S86" s="1"/>
      <c r="T86" s="1"/>
      <c r="U86" s="1"/>
      <c r="V86" s="1"/>
      <c r="W86" s="1"/>
      <c r="X86" s="1"/>
      <c r="Y86" s="1"/>
      <c r="Z86" s="1"/>
    </row>
    <row r="87" spans="1:26" ht="15.75" customHeight="1">
      <c r="A87" s="72"/>
      <c r="B87" s="1"/>
      <c r="C87" s="72"/>
      <c r="D87" s="223"/>
      <c r="E87" s="1"/>
      <c r="F87" s="1"/>
      <c r="G87" s="1"/>
      <c r="H87" s="1"/>
      <c r="I87" s="1"/>
      <c r="J87" s="1"/>
      <c r="K87" s="1"/>
      <c r="L87" s="1"/>
      <c r="M87" s="1"/>
      <c r="N87" s="1"/>
      <c r="O87" s="1"/>
      <c r="P87" s="1"/>
      <c r="Q87" s="1"/>
      <c r="R87" s="1"/>
      <c r="S87" s="1"/>
      <c r="T87" s="1"/>
      <c r="U87" s="1"/>
      <c r="V87" s="1"/>
      <c r="W87" s="1"/>
      <c r="X87" s="1"/>
      <c r="Y87" s="1"/>
      <c r="Z87" s="1"/>
    </row>
    <row r="88" spans="1:26" ht="15.75" customHeight="1">
      <c r="A88" s="72"/>
      <c r="B88" s="1"/>
      <c r="C88" s="72"/>
      <c r="D88" s="223"/>
      <c r="E88" s="1"/>
      <c r="F88" s="1"/>
      <c r="G88" s="1"/>
      <c r="H88" s="1"/>
      <c r="I88" s="1"/>
      <c r="J88" s="1"/>
      <c r="K88" s="1"/>
      <c r="L88" s="1"/>
      <c r="M88" s="1"/>
      <c r="N88" s="1"/>
      <c r="O88" s="1"/>
      <c r="P88" s="1"/>
      <c r="Q88" s="1"/>
      <c r="R88" s="1"/>
      <c r="S88" s="1"/>
      <c r="T88" s="1"/>
      <c r="U88" s="1"/>
      <c r="V88" s="1"/>
      <c r="W88" s="1"/>
      <c r="X88" s="1"/>
      <c r="Y88" s="1"/>
      <c r="Z88" s="1"/>
    </row>
    <row r="89" spans="1:26" ht="15.75" customHeight="1">
      <c r="A89" s="72"/>
      <c r="B89" s="1"/>
      <c r="C89" s="72"/>
      <c r="D89" s="223"/>
      <c r="E89" s="1"/>
      <c r="F89" s="1"/>
      <c r="G89" s="1"/>
      <c r="H89" s="1"/>
      <c r="I89" s="1"/>
      <c r="J89" s="1"/>
      <c r="K89" s="1"/>
      <c r="L89" s="1"/>
      <c r="M89" s="1"/>
      <c r="N89" s="1"/>
      <c r="O89" s="1"/>
      <c r="P89" s="1"/>
      <c r="Q89" s="1"/>
      <c r="R89" s="1"/>
      <c r="S89" s="1"/>
      <c r="T89" s="1"/>
      <c r="U89" s="1"/>
      <c r="V89" s="1"/>
      <c r="W89" s="1"/>
      <c r="X89" s="1"/>
      <c r="Y89" s="1"/>
      <c r="Z89" s="1"/>
    </row>
    <row r="90" spans="1:26" ht="15.75" customHeight="1">
      <c r="A90" s="72"/>
      <c r="B90" s="1"/>
      <c r="C90" s="72"/>
      <c r="D90" s="223"/>
      <c r="E90" s="1"/>
      <c r="F90" s="1"/>
      <c r="G90" s="1"/>
      <c r="H90" s="1"/>
      <c r="I90" s="1"/>
      <c r="J90" s="1"/>
      <c r="K90" s="1"/>
      <c r="L90" s="1"/>
      <c r="M90" s="1"/>
      <c r="N90" s="1"/>
      <c r="O90" s="1"/>
      <c r="P90" s="1"/>
      <c r="Q90" s="1"/>
      <c r="R90" s="1"/>
      <c r="S90" s="1"/>
      <c r="T90" s="1"/>
      <c r="U90" s="1"/>
      <c r="V90" s="1"/>
      <c r="W90" s="1"/>
      <c r="X90" s="1"/>
      <c r="Y90" s="1"/>
      <c r="Z90" s="1"/>
    </row>
    <row r="91" spans="1:26" ht="15.75" customHeight="1">
      <c r="A91" s="72"/>
      <c r="B91" s="1"/>
      <c r="C91" s="72"/>
      <c r="D91" s="223"/>
      <c r="E91" s="1"/>
      <c r="F91" s="1"/>
      <c r="G91" s="1"/>
      <c r="H91" s="1"/>
      <c r="I91" s="1"/>
      <c r="J91" s="1"/>
      <c r="K91" s="1"/>
      <c r="L91" s="1"/>
      <c r="M91" s="1"/>
      <c r="N91" s="1"/>
      <c r="O91" s="1"/>
      <c r="P91" s="1"/>
      <c r="Q91" s="1"/>
      <c r="R91" s="1"/>
      <c r="S91" s="1"/>
      <c r="T91" s="1"/>
      <c r="U91" s="1"/>
      <c r="V91" s="1"/>
      <c r="W91" s="1"/>
      <c r="X91" s="1"/>
      <c r="Y91" s="1"/>
      <c r="Z91" s="1"/>
    </row>
    <row r="92" spans="1:26" ht="15.75" customHeight="1">
      <c r="A92" s="72"/>
      <c r="B92" s="1"/>
      <c r="C92" s="72"/>
      <c r="D92" s="223"/>
      <c r="E92" s="1"/>
      <c r="F92" s="1"/>
      <c r="G92" s="1"/>
      <c r="H92" s="1"/>
      <c r="I92" s="1"/>
      <c r="J92" s="1"/>
      <c r="K92" s="1"/>
      <c r="L92" s="1"/>
      <c r="M92" s="1"/>
      <c r="N92" s="1"/>
      <c r="O92" s="1"/>
      <c r="P92" s="1"/>
      <c r="Q92" s="1"/>
      <c r="R92" s="1"/>
      <c r="S92" s="1"/>
      <c r="T92" s="1"/>
      <c r="U92" s="1"/>
      <c r="V92" s="1"/>
      <c r="W92" s="1"/>
      <c r="X92" s="1"/>
      <c r="Y92" s="1"/>
      <c r="Z92" s="1"/>
    </row>
    <row r="93" spans="1:26" ht="15.75" customHeight="1">
      <c r="A93" s="72"/>
      <c r="B93" s="1"/>
      <c r="C93" s="72"/>
      <c r="D93" s="223"/>
      <c r="E93" s="1"/>
      <c r="F93" s="1"/>
      <c r="G93" s="1"/>
      <c r="H93" s="1"/>
      <c r="I93" s="1"/>
      <c r="J93" s="1"/>
      <c r="K93" s="1"/>
      <c r="L93" s="1"/>
      <c r="M93" s="1"/>
      <c r="N93" s="1"/>
      <c r="O93" s="1"/>
      <c r="P93" s="1"/>
      <c r="Q93" s="1"/>
      <c r="R93" s="1"/>
      <c r="S93" s="1"/>
      <c r="T93" s="1"/>
      <c r="U93" s="1"/>
      <c r="V93" s="1"/>
      <c r="W93" s="1"/>
      <c r="X93" s="1"/>
      <c r="Y93" s="1"/>
      <c r="Z93" s="1"/>
    </row>
    <row r="94" spans="1:26" ht="15.75" customHeight="1">
      <c r="A94" s="72"/>
      <c r="B94" s="1"/>
      <c r="C94" s="72"/>
      <c r="D94" s="223"/>
      <c r="E94" s="1"/>
      <c r="F94" s="1"/>
      <c r="G94" s="1"/>
      <c r="H94" s="1"/>
      <c r="I94" s="1"/>
      <c r="J94" s="1"/>
      <c r="K94" s="1"/>
      <c r="L94" s="1"/>
      <c r="M94" s="1"/>
      <c r="N94" s="1"/>
      <c r="O94" s="1"/>
      <c r="P94" s="1"/>
      <c r="Q94" s="1"/>
      <c r="R94" s="1"/>
      <c r="S94" s="1"/>
      <c r="T94" s="1"/>
      <c r="U94" s="1"/>
      <c r="V94" s="1"/>
      <c r="W94" s="1"/>
      <c r="X94" s="1"/>
      <c r="Y94" s="1"/>
      <c r="Z94" s="1"/>
    </row>
    <row r="95" spans="1:26" ht="15.75" customHeight="1">
      <c r="A95" s="72"/>
      <c r="B95" s="1"/>
      <c r="C95" s="72"/>
      <c r="D95" s="223"/>
      <c r="E95" s="1"/>
      <c r="F95" s="1"/>
      <c r="G95" s="1"/>
      <c r="H95" s="1"/>
      <c r="I95" s="1"/>
      <c r="J95" s="1"/>
      <c r="K95" s="1"/>
      <c r="L95" s="1"/>
      <c r="M95" s="1"/>
      <c r="N95" s="1"/>
      <c r="O95" s="1"/>
      <c r="P95" s="1"/>
      <c r="Q95" s="1"/>
      <c r="R95" s="1"/>
      <c r="S95" s="1"/>
      <c r="T95" s="1"/>
      <c r="U95" s="1"/>
      <c r="V95" s="1"/>
      <c r="W95" s="1"/>
      <c r="X95" s="1"/>
      <c r="Y95" s="1"/>
      <c r="Z95" s="1"/>
    </row>
    <row r="96" spans="1:26" ht="15.75" customHeight="1">
      <c r="A96" s="72"/>
      <c r="B96" s="1"/>
      <c r="C96" s="72"/>
      <c r="D96" s="223"/>
      <c r="E96" s="1"/>
      <c r="F96" s="1"/>
      <c r="G96" s="1"/>
      <c r="H96" s="1"/>
      <c r="I96" s="1"/>
      <c r="J96" s="1"/>
      <c r="K96" s="1"/>
      <c r="L96" s="1"/>
      <c r="M96" s="1"/>
      <c r="N96" s="1"/>
      <c r="O96" s="1"/>
      <c r="P96" s="1"/>
      <c r="Q96" s="1"/>
      <c r="R96" s="1"/>
      <c r="S96" s="1"/>
      <c r="T96" s="1"/>
      <c r="U96" s="1"/>
      <c r="V96" s="1"/>
      <c r="W96" s="1"/>
      <c r="X96" s="1"/>
      <c r="Y96" s="1"/>
      <c r="Z96" s="1"/>
    </row>
    <row r="97" spans="1:26" ht="15.75" customHeight="1">
      <c r="A97" s="72"/>
      <c r="B97" s="1"/>
      <c r="C97" s="72"/>
      <c r="D97" s="223"/>
      <c r="E97" s="1"/>
      <c r="F97" s="1"/>
      <c r="G97" s="1"/>
      <c r="H97" s="1"/>
      <c r="I97" s="1"/>
      <c r="J97" s="1"/>
      <c r="K97" s="1"/>
      <c r="L97" s="1"/>
      <c r="M97" s="1"/>
      <c r="N97" s="1"/>
      <c r="O97" s="1"/>
      <c r="P97" s="1"/>
      <c r="Q97" s="1"/>
      <c r="R97" s="1"/>
      <c r="S97" s="1"/>
      <c r="T97" s="1"/>
      <c r="U97" s="1"/>
      <c r="V97" s="1"/>
      <c r="W97" s="1"/>
      <c r="X97" s="1"/>
      <c r="Y97" s="1"/>
      <c r="Z97" s="1"/>
    </row>
    <row r="98" spans="1:26" ht="15.75" customHeight="1">
      <c r="A98" s="72"/>
      <c r="B98" s="1"/>
      <c r="C98" s="72"/>
      <c r="D98" s="223"/>
      <c r="E98" s="1"/>
      <c r="F98" s="1"/>
      <c r="G98" s="1"/>
      <c r="H98" s="1"/>
      <c r="I98" s="1"/>
      <c r="J98" s="1"/>
      <c r="K98" s="1"/>
      <c r="L98" s="1"/>
      <c r="M98" s="1"/>
      <c r="N98" s="1"/>
      <c r="O98" s="1"/>
      <c r="P98" s="1"/>
      <c r="Q98" s="1"/>
      <c r="R98" s="1"/>
      <c r="S98" s="1"/>
      <c r="T98" s="1"/>
      <c r="U98" s="1"/>
      <c r="V98" s="1"/>
      <c r="W98" s="1"/>
      <c r="X98" s="1"/>
      <c r="Y98" s="1"/>
      <c r="Z98" s="1"/>
    </row>
    <row r="99" spans="1:26" ht="15.75" customHeight="1">
      <c r="A99" s="72"/>
      <c r="B99" s="1"/>
      <c r="C99" s="72"/>
      <c r="D99" s="223"/>
      <c r="E99" s="1"/>
      <c r="F99" s="1"/>
      <c r="G99" s="1"/>
      <c r="H99" s="1"/>
      <c r="I99" s="1"/>
      <c r="J99" s="1"/>
      <c r="K99" s="1"/>
      <c r="L99" s="1"/>
      <c r="M99" s="1"/>
      <c r="N99" s="1"/>
      <c r="O99" s="1"/>
      <c r="P99" s="1"/>
      <c r="Q99" s="1"/>
      <c r="R99" s="1"/>
      <c r="S99" s="1"/>
      <c r="T99" s="1"/>
      <c r="U99" s="1"/>
      <c r="V99" s="1"/>
      <c r="W99" s="1"/>
      <c r="X99" s="1"/>
      <c r="Y99" s="1"/>
      <c r="Z99" s="1"/>
    </row>
    <row r="100" spans="1:26" ht="15.75" customHeight="1">
      <c r="A100" s="72"/>
      <c r="B100" s="1"/>
      <c r="C100" s="72"/>
      <c r="D100" s="223"/>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72"/>
      <c r="B101" s="1"/>
      <c r="C101" s="72"/>
      <c r="D101" s="223"/>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72"/>
      <c r="B102" s="1"/>
      <c r="C102" s="72"/>
      <c r="D102" s="223"/>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72"/>
      <c r="B103" s="1"/>
      <c r="C103" s="72"/>
      <c r="D103" s="223"/>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72"/>
      <c r="B104" s="1"/>
      <c r="C104" s="72"/>
      <c r="D104" s="223"/>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72"/>
      <c r="B105" s="1"/>
      <c r="C105" s="72"/>
      <c r="D105" s="223"/>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72"/>
      <c r="B106" s="1"/>
      <c r="C106" s="72"/>
      <c r="D106" s="223"/>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72"/>
      <c r="B107" s="1"/>
      <c r="C107" s="72"/>
      <c r="D107" s="223"/>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72"/>
      <c r="B108" s="1"/>
      <c r="C108" s="72"/>
      <c r="D108" s="223"/>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72"/>
      <c r="B109" s="1"/>
      <c r="C109" s="72"/>
      <c r="D109" s="223"/>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72"/>
      <c r="B110" s="1"/>
      <c r="C110" s="72"/>
      <c r="D110" s="223"/>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72"/>
      <c r="B111" s="1"/>
      <c r="C111" s="72"/>
      <c r="D111" s="223"/>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72"/>
      <c r="B112" s="1"/>
      <c r="C112" s="72"/>
      <c r="D112" s="223"/>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72"/>
      <c r="B113" s="1"/>
      <c r="C113" s="72"/>
      <c r="D113" s="223"/>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72"/>
      <c r="B114" s="1"/>
      <c r="C114" s="72"/>
      <c r="D114" s="223"/>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72"/>
      <c r="B115" s="1"/>
      <c r="C115" s="72"/>
      <c r="D115" s="223"/>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72"/>
      <c r="B116" s="1"/>
      <c r="C116" s="72"/>
      <c r="D116" s="223"/>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72"/>
      <c r="B117" s="1"/>
      <c r="C117" s="72"/>
      <c r="D117" s="223"/>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72"/>
      <c r="B118" s="1"/>
      <c r="C118" s="72"/>
      <c r="D118" s="223"/>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72"/>
      <c r="B119" s="1"/>
      <c r="C119" s="72"/>
      <c r="D119" s="223"/>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72"/>
      <c r="B120" s="1"/>
      <c r="C120" s="72"/>
      <c r="D120" s="223"/>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72"/>
      <c r="B121" s="1"/>
      <c r="C121" s="72"/>
      <c r="D121" s="223"/>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72"/>
      <c r="B122" s="1"/>
      <c r="C122" s="72"/>
      <c r="D122" s="223"/>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72"/>
      <c r="B123" s="1"/>
      <c r="C123" s="72"/>
      <c r="D123" s="223"/>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72"/>
      <c r="B124" s="1"/>
      <c r="C124" s="72"/>
      <c r="D124" s="223"/>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72"/>
      <c r="B125" s="1"/>
      <c r="C125" s="72"/>
      <c r="D125" s="223"/>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72"/>
      <c r="B126" s="1"/>
      <c r="C126" s="72"/>
      <c r="D126" s="223"/>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72"/>
      <c r="B127" s="1"/>
      <c r="C127" s="72"/>
      <c r="D127" s="223"/>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72"/>
      <c r="B128" s="1"/>
      <c r="C128" s="72"/>
      <c r="D128" s="223"/>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72"/>
      <c r="B129" s="1"/>
      <c r="C129" s="72"/>
      <c r="D129" s="223"/>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72"/>
      <c r="B130" s="1"/>
      <c r="C130" s="72"/>
      <c r="D130" s="223"/>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72"/>
      <c r="B131" s="1"/>
      <c r="C131" s="72"/>
      <c r="D131" s="223"/>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72"/>
      <c r="B132" s="1"/>
      <c r="C132" s="72"/>
      <c r="D132" s="223"/>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72"/>
      <c r="B133" s="1"/>
      <c r="C133" s="72"/>
      <c r="D133" s="223"/>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72"/>
      <c r="B134" s="1"/>
      <c r="C134" s="72"/>
      <c r="D134" s="223"/>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72"/>
      <c r="B135" s="1"/>
      <c r="C135" s="72"/>
      <c r="D135" s="223"/>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72"/>
      <c r="B136" s="1"/>
      <c r="C136" s="72"/>
      <c r="D136" s="223"/>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72"/>
      <c r="B137" s="1"/>
      <c r="C137" s="72"/>
      <c r="D137" s="223"/>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72"/>
      <c r="B138" s="1"/>
      <c r="C138" s="72"/>
      <c r="D138" s="223"/>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72"/>
      <c r="B139" s="1"/>
      <c r="C139" s="72"/>
      <c r="D139" s="223"/>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72"/>
      <c r="B140" s="1"/>
      <c r="C140" s="72"/>
      <c r="D140" s="223"/>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72"/>
      <c r="B141" s="1"/>
      <c r="C141" s="72"/>
      <c r="D141" s="223"/>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72"/>
      <c r="B142" s="1"/>
      <c r="C142" s="72"/>
      <c r="D142" s="223"/>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72"/>
      <c r="B143" s="1"/>
      <c r="C143" s="72"/>
      <c r="D143" s="223"/>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72"/>
      <c r="B144" s="1"/>
      <c r="C144" s="72"/>
      <c r="D144" s="223"/>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72"/>
      <c r="B145" s="1"/>
      <c r="C145" s="72"/>
      <c r="D145" s="223"/>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72"/>
      <c r="B146" s="1"/>
      <c r="C146" s="72"/>
      <c r="D146" s="223"/>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72"/>
      <c r="B147" s="1"/>
      <c r="C147" s="72"/>
      <c r="D147" s="223"/>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72"/>
      <c r="B148" s="1"/>
      <c r="C148" s="72"/>
      <c r="D148" s="223"/>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72"/>
      <c r="B149" s="1"/>
      <c r="C149" s="72"/>
      <c r="D149" s="223"/>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72"/>
      <c r="B150" s="1"/>
      <c r="C150" s="72"/>
      <c r="D150" s="223"/>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72"/>
      <c r="B151" s="1"/>
      <c r="C151" s="72"/>
      <c r="D151" s="223"/>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72"/>
      <c r="B152" s="1"/>
      <c r="C152" s="72"/>
      <c r="D152" s="223"/>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72"/>
      <c r="B153" s="1"/>
      <c r="C153" s="72"/>
      <c r="D153" s="223"/>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72"/>
      <c r="B154" s="1"/>
      <c r="C154" s="72"/>
      <c r="D154" s="223"/>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72"/>
      <c r="B155" s="1"/>
      <c r="C155" s="72"/>
      <c r="D155" s="223"/>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72"/>
      <c r="B156" s="1"/>
      <c r="C156" s="72"/>
      <c r="D156" s="223"/>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72"/>
      <c r="B157" s="1"/>
      <c r="C157" s="72"/>
      <c r="D157" s="223"/>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72"/>
      <c r="B158" s="1"/>
      <c r="C158" s="72"/>
      <c r="D158" s="223"/>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72"/>
      <c r="B159" s="1"/>
      <c r="C159" s="72"/>
      <c r="D159" s="223"/>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72"/>
      <c r="B160" s="1"/>
      <c r="C160" s="72"/>
      <c r="D160" s="223"/>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72"/>
      <c r="B161" s="1"/>
      <c r="C161" s="72"/>
      <c r="D161" s="223"/>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72"/>
      <c r="B162" s="1"/>
      <c r="C162" s="72"/>
      <c r="D162" s="223"/>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72"/>
      <c r="B163" s="1"/>
      <c r="C163" s="72"/>
      <c r="D163" s="223"/>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72"/>
      <c r="B164" s="1"/>
      <c r="C164" s="72"/>
      <c r="D164" s="223"/>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72"/>
      <c r="B165" s="1"/>
      <c r="C165" s="72"/>
      <c r="D165" s="223"/>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72"/>
      <c r="B166" s="1"/>
      <c r="C166" s="72"/>
      <c r="D166" s="223"/>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72"/>
      <c r="B167" s="1"/>
      <c r="C167" s="72"/>
      <c r="D167" s="223"/>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72"/>
      <c r="B168" s="1"/>
      <c r="C168" s="72"/>
      <c r="D168" s="223"/>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72"/>
      <c r="B169" s="1"/>
      <c r="C169" s="72"/>
      <c r="D169" s="223"/>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72"/>
      <c r="B170" s="1"/>
      <c r="C170" s="72"/>
      <c r="D170" s="223"/>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72"/>
      <c r="B171" s="1"/>
      <c r="C171" s="72"/>
      <c r="D171" s="223"/>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72"/>
      <c r="B172" s="1"/>
      <c r="C172" s="72"/>
      <c r="D172" s="223"/>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72"/>
      <c r="B173" s="1"/>
      <c r="C173" s="72"/>
      <c r="D173" s="223"/>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72"/>
      <c r="B174" s="1"/>
      <c r="C174" s="72"/>
      <c r="D174" s="223"/>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72"/>
      <c r="B175" s="1"/>
      <c r="C175" s="72"/>
      <c r="D175" s="223"/>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72"/>
      <c r="B176" s="1"/>
      <c r="C176" s="72"/>
      <c r="D176" s="223"/>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72"/>
      <c r="B177" s="1"/>
      <c r="C177" s="72"/>
      <c r="D177" s="223"/>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72"/>
      <c r="B178" s="1"/>
      <c r="C178" s="72"/>
      <c r="D178" s="223"/>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72"/>
      <c r="B179" s="1"/>
      <c r="C179" s="72"/>
      <c r="D179" s="223"/>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72"/>
      <c r="B180" s="1"/>
      <c r="C180" s="72"/>
      <c r="D180" s="223"/>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72"/>
      <c r="B181" s="1"/>
      <c r="C181" s="72"/>
      <c r="D181" s="223"/>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72"/>
      <c r="B182" s="1"/>
      <c r="C182" s="72"/>
      <c r="D182" s="223"/>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72"/>
      <c r="B183" s="1"/>
      <c r="C183" s="72"/>
      <c r="D183" s="223"/>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72"/>
      <c r="B184" s="1"/>
      <c r="C184" s="72"/>
      <c r="D184" s="223"/>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72"/>
      <c r="B185" s="1"/>
      <c r="C185" s="72"/>
      <c r="D185" s="223"/>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72"/>
      <c r="B186" s="1"/>
      <c r="C186" s="72"/>
      <c r="D186" s="223"/>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72"/>
      <c r="B187" s="1"/>
      <c r="C187" s="72"/>
      <c r="D187" s="223"/>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72"/>
      <c r="B188" s="1"/>
      <c r="C188" s="72"/>
      <c r="D188" s="223"/>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72"/>
      <c r="B189" s="1"/>
      <c r="C189" s="72"/>
      <c r="D189" s="223"/>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72"/>
      <c r="B190" s="1"/>
      <c r="C190" s="72"/>
      <c r="D190" s="223"/>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72"/>
      <c r="B191" s="1"/>
      <c r="C191" s="72"/>
      <c r="D191" s="223"/>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72"/>
      <c r="B192" s="1"/>
      <c r="C192" s="72"/>
      <c r="D192" s="223"/>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72"/>
      <c r="B193" s="1"/>
      <c r="C193" s="72"/>
      <c r="D193" s="223"/>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72"/>
      <c r="B194" s="1"/>
      <c r="C194" s="72"/>
      <c r="D194" s="223"/>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72"/>
      <c r="B195" s="1"/>
      <c r="C195" s="72"/>
      <c r="D195" s="223"/>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72"/>
      <c r="B196" s="1"/>
      <c r="C196" s="72"/>
      <c r="D196" s="223"/>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72"/>
      <c r="B197" s="1"/>
      <c r="C197" s="72"/>
      <c r="D197" s="223"/>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72"/>
      <c r="B198" s="1"/>
      <c r="C198" s="72"/>
      <c r="D198" s="223"/>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72"/>
      <c r="B199" s="1"/>
      <c r="C199" s="72"/>
      <c r="D199" s="223"/>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72"/>
      <c r="B200" s="1"/>
      <c r="C200" s="72"/>
      <c r="D200" s="223"/>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72"/>
      <c r="B201" s="1"/>
      <c r="C201" s="72"/>
      <c r="D201" s="223"/>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72"/>
      <c r="B202" s="1"/>
      <c r="C202" s="72"/>
      <c r="D202" s="223"/>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72"/>
      <c r="B203" s="1"/>
      <c r="C203" s="72"/>
      <c r="D203" s="223"/>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72"/>
      <c r="B204" s="1"/>
      <c r="C204" s="72"/>
      <c r="D204" s="223"/>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72"/>
      <c r="B205" s="1"/>
      <c r="C205" s="72"/>
      <c r="D205" s="223"/>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72"/>
      <c r="B206" s="1"/>
      <c r="C206" s="72"/>
      <c r="D206" s="223"/>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72"/>
      <c r="B207" s="1"/>
      <c r="C207" s="72"/>
      <c r="D207" s="223"/>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72"/>
      <c r="B208" s="1"/>
      <c r="C208" s="72"/>
      <c r="D208" s="223"/>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72"/>
      <c r="B209" s="1"/>
      <c r="C209" s="72"/>
      <c r="D209" s="223"/>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72"/>
      <c r="B210" s="1"/>
      <c r="C210" s="72"/>
      <c r="D210" s="223"/>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72"/>
      <c r="B211" s="1"/>
      <c r="C211" s="72"/>
      <c r="D211" s="223"/>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72"/>
      <c r="B212" s="1"/>
      <c r="C212" s="72"/>
      <c r="D212" s="223"/>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72"/>
      <c r="B213" s="1"/>
      <c r="C213" s="72"/>
      <c r="D213" s="223"/>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72"/>
      <c r="B214" s="1"/>
      <c r="C214" s="72"/>
      <c r="D214" s="223"/>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72"/>
      <c r="B215" s="1"/>
      <c r="C215" s="72"/>
      <c r="D215" s="223"/>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72"/>
      <c r="B216" s="1"/>
      <c r="C216" s="72"/>
      <c r="D216" s="223"/>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72"/>
      <c r="B217" s="1"/>
      <c r="C217" s="72"/>
      <c r="D217" s="223"/>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72"/>
      <c r="B218" s="1"/>
      <c r="C218" s="72"/>
      <c r="D218" s="223"/>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72"/>
      <c r="B219" s="1"/>
      <c r="C219" s="72"/>
      <c r="D219" s="223"/>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72"/>
      <c r="B220" s="1"/>
      <c r="C220" s="72"/>
      <c r="D220" s="223"/>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pageMargins left="0.53" right="0.2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Z1000"/>
  <sheetViews>
    <sheetView workbookViewId="0"/>
  </sheetViews>
  <sheetFormatPr defaultColWidth="10.109375" defaultRowHeight="15" customHeight="1"/>
  <cols>
    <col min="1" max="1" width="3.109375" customWidth="1"/>
    <col min="3" max="3" width="10.44140625" customWidth="1"/>
    <col min="4" max="4" width="9.109375" customWidth="1"/>
    <col min="5" max="5" width="14.6640625" customWidth="1"/>
    <col min="6" max="6" width="15.44140625" customWidth="1"/>
    <col min="7" max="7" width="6.77734375" customWidth="1"/>
    <col min="8" max="8" width="29" customWidth="1"/>
    <col min="9" max="26" width="7.21875" customWidth="1"/>
  </cols>
  <sheetData>
    <row r="1" spans="1:26" ht="22.5" customHeight="1">
      <c r="A1" s="363" t="s">
        <v>1465</v>
      </c>
      <c r="B1" s="381"/>
      <c r="C1" s="381"/>
      <c r="D1" s="381"/>
      <c r="E1" s="381"/>
      <c r="F1" s="381"/>
      <c r="G1" s="224"/>
      <c r="H1" s="224"/>
      <c r="I1" s="225"/>
      <c r="J1" s="225"/>
      <c r="K1" s="225"/>
      <c r="L1" s="225"/>
      <c r="M1" s="225"/>
      <c r="N1" s="225"/>
      <c r="O1" s="225"/>
      <c r="P1" s="225"/>
      <c r="Q1" s="225"/>
      <c r="R1" s="225"/>
      <c r="S1" s="225"/>
      <c r="T1" s="225"/>
      <c r="U1" s="225"/>
      <c r="V1" s="225"/>
      <c r="W1" s="225"/>
      <c r="X1" s="225"/>
      <c r="Y1" s="225"/>
      <c r="Z1" s="225"/>
    </row>
    <row r="2" spans="1:26" ht="22.5" customHeight="1">
      <c r="A2" s="52" t="s">
        <v>116</v>
      </c>
      <c r="B2" s="52" t="s">
        <v>1466</v>
      </c>
      <c r="C2" s="52" t="s">
        <v>59</v>
      </c>
      <c r="D2" s="52" t="s">
        <v>1467</v>
      </c>
      <c r="E2" s="52" t="s">
        <v>1382</v>
      </c>
      <c r="F2" s="52" t="s">
        <v>5</v>
      </c>
      <c r="G2" s="69"/>
      <c r="H2" s="69"/>
      <c r="I2" s="225"/>
      <c r="J2" s="225"/>
      <c r="K2" s="225"/>
      <c r="L2" s="225"/>
      <c r="M2" s="225"/>
      <c r="N2" s="225"/>
      <c r="O2" s="225"/>
      <c r="P2" s="225"/>
      <c r="Q2" s="225"/>
      <c r="R2" s="225"/>
      <c r="S2" s="225"/>
      <c r="T2" s="225"/>
      <c r="U2" s="225"/>
      <c r="V2" s="225"/>
      <c r="W2" s="225"/>
      <c r="X2" s="225"/>
      <c r="Y2" s="225"/>
      <c r="Z2" s="225"/>
    </row>
    <row r="3" spans="1:26" ht="22.5" customHeight="1">
      <c r="A3" s="52">
        <v>1</v>
      </c>
      <c r="B3" s="56" t="s">
        <v>61</v>
      </c>
      <c r="C3" s="52">
        <v>5</v>
      </c>
      <c r="D3" s="226">
        <f>'1.3. TBF'!E6</f>
        <v>163</v>
      </c>
      <c r="E3" s="52">
        <f t="shared" ref="E3:E5" si="0">C3*D3</f>
        <v>815</v>
      </c>
      <c r="F3" s="227"/>
      <c r="G3" s="69"/>
      <c r="H3" s="69"/>
      <c r="I3" s="225"/>
      <c r="J3" s="225"/>
      <c r="K3" s="225"/>
      <c r="L3" s="225"/>
      <c r="M3" s="225"/>
      <c r="N3" s="225"/>
      <c r="O3" s="225"/>
      <c r="P3" s="225"/>
      <c r="Q3" s="225"/>
      <c r="R3" s="225"/>
      <c r="S3" s="225"/>
      <c r="T3" s="225"/>
      <c r="U3" s="225"/>
      <c r="V3" s="225"/>
      <c r="W3" s="225"/>
      <c r="X3" s="225"/>
      <c r="Y3" s="225"/>
      <c r="Z3" s="225"/>
    </row>
    <row r="4" spans="1:26" ht="22.5" customHeight="1">
      <c r="A4" s="52">
        <v>2</v>
      </c>
      <c r="B4" s="56" t="s">
        <v>63</v>
      </c>
      <c r="C4" s="52">
        <v>10</v>
      </c>
      <c r="D4" s="226">
        <f>'1.3. TBF'!E7</f>
        <v>53</v>
      </c>
      <c r="E4" s="52">
        <f t="shared" si="0"/>
        <v>530</v>
      </c>
      <c r="F4" s="227"/>
      <c r="G4" s="69"/>
      <c r="H4" s="69"/>
      <c r="I4" s="225"/>
      <c r="J4" s="225"/>
      <c r="K4" s="225"/>
      <c r="L4" s="225"/>
      <c r="M4" s="225"/>
      <c r="N4" s="225"/>
      <c r="O4" s="225"/>
      <c r="P4" s="225"/>
      <c r="Q4" s="225"/>
      <c r="R4" s="225"/>
      <c r="S4" s="225"/>
      <c r="T4" s="225"/>
      <c r="U4" s="225"/>
      <c r="V4" s="225"/>
      <c r="W4" s="225"/>
      <c r="X4" s="225"/>
      <c r="Y4" s="225"/>
      <c r="Z4" s="225"/>
    </row>
    <row r="5" spans="1:26" ht="22.5" customHeight="1">
      <c r="A5" s="52">
        <v>3</v>
      </c>
      <c r="B5" s="56" t="s">
        <v>65</v>
      </c>
      <c r="C5" s="52">
        <v>15</v>
      </c>
      <c r="D5" s="226">
        <f>'1.3. TBF'!E8</f>
        <v>25</v>
      </c>
      <c r="E5" s="52">
        <f t="shared" si="0"/>
        <v>375</v>
      </c>
      <c r="F5" s="227"/>
      <c r="G5" s="69"/>
      <c r="H5" s="69"/>
      <c r="I5" s="225"/>
      <c r="J5" s="225"/>
      <c r="K5" s="225"/>
      <c r="L5" s="225"/>
      <c r="M5" s="225"/>
      <c r="N5" s="225"/>
      <c r="O5" s="225"/>
      <c r="P5" s="225"/>
      <c r="Q5" s="225"/>
      <c r="R5" s="225"/>
      <c r="S5" s="225"/>
      <c r="T5" s="225"/>
      <c r="U5" s="225"/>
      <c r="V5" s="225"/>
      <c r="W5" s="225"/>
      <c r="X5" s="225"/>
      <c r="Y5" s="225"/>
      <c r="Z5" s="225"/>
    </row>
    <row r="6" spans="1:26" ht="26.25" customHeight="1">
      <c r="A6" s="52"/>
      <c r="B6" s="52" t="s">
        <v>1468</v>
      </c>
      <c r="C6" s="52"/>
      <c r="D6" s="52"/>
      <c r="E6" s="52">
        <f>SUM(E3:E5)</f>
        <v>1720</v>
      </c>
      <c r="F6" s="52"/>
      <c r="G6" s="69"/>
      <c r="H6" s="69"/>
      <c r="I6" s="225"/>
      <c r="J6" s="225"/>
      <c r="K6" s="225"/>
      <c r="L6" s="225"/>
      <c r="M6" s="225"/>
      <c r="N6" s="225"/>
      <c r="O6" s="225"/>
      <c r="P6" s="225"/>
      <c r="Q6" s="225"/>
      <c r="R6" s="225"/>
      <c r="S6" s="225"/>
      <c r="T6" s="225"/>
      <c r="U6" s="225"/>
      <c r="V6" s="225"/>
      <c r="W6" s="225"/>
      <c r="X6" s="225"/>
      <c r="Y6" s="225"/>
      <c r="Z6" s="225"/>
    </row>
    <row r="7" spans="1:26" ht="12.75" customHeight="1">
      <c r="A7" s="225"/>
      <c r="B7" s="225"/>
      <c r="C7" s="225"/>
      <c r="D7" s="225"/>
      <c r="E7" s="225"/>
      <c r="F7" s="225"/>
      <c r="G7" s="225"/>
      <c r="H7" s="225"/>
      <c r="I7" s="225"/>
      <c r="J7" s="225"/>
      <c r="K7" s="225"/>
      <c r="L7" s="225"/>
      <c r="M7" s="225"/>
      <c r="N7" s="225"/>
      <c r="O7" s="225"/>
      <c r="P7" s="225"/>
      <c r="Q7" s="225"/>
      <c r="R7" s="225"/>
      <c r="S7" s="225"/>
      <c r="T7" s="225"/>
      <c r="U7" s="225"/>
      <c r="V7" s="225"/>
      <c r="W7" s="225"/>
      <c r="X7" s="225"/>
      <c r="Y7" s="225"/>
      <c r="Z7" s="225"/>
    </row>
    <row r="8" spans="1:26" ht="12.75" customHeight="1">
      <c r="A8" s="225"/>
      <c r="B8" s="225"/>
      <c r="C8" s="225"/>
      <c r="D8" s="225"/>
      <c r="E8" s="225"/>
      <c r="F8" s="225"/>
      <c r="G8" s="225"/>
      <c r="H8" s="225"/>
      <c r="I8" s="225"/>
      <c r="J8" s="225"/>
      <c r="K8" s="225"/>
      <c r="L8" s="225"/>
      <c r="M8" s="225"/>
      <c r="N8" s="225"/>
      <c r="O8" s="225"/>
      <c r="P8" s="225"/>
      <c r="Q8" s="225"/>
      <c r="R8" s="225"/>
      <c r="S8" s="225"/>
      <c r="T8" s="225"/>
      <c r="U8" s="225"/>
      <c r="V8" s="225"/>
      <c r="W8" s="225"/>
      <c r="X8" s="225"/>
      <c r="Y8" s="225"/>
      <c r="Z8" s="225"/>
    </row>
    <row r="9" spans="1:26" ht="12.75" customHeight="1">
      <c r="A9" s="225"/>
      <c r="B9" s="225"/>
      <c r="C9" s="225"/>
      <c r="D9" s="225"/>
      <c r="E9" s="225"/>
      <c r="F9" s="225"/>
      <c r="G9" s="225"/>
      <c r="H9" s="225"/>
      <c r="I9" s="225"/>
      <c r="J9" s="225"/>
      <c r="K9" s="225"/>
      <c r="L9" s="225"/>
      <c r="M9" s="225"/>
      <c r="N9" s="225"/>
      <c r="O9" s="225"/>
      <c r="P9" s="225"/>
      <c r="Q9" s="225"/>
      <c r="R9" s="225"/>
      <c r="S9" s="225"/>
      <c r="T9" s="225"/>
      <c r="U9" s="225"/>
      <c r="V9" s="225"/>
      <c r="W9" s="225"/>
      <c r="X9" s="225"/>
      <c r="Y9" s="225"/>
      <c r="Z9" s="225"/>
    </row>
    <row r="10" spans="1:26" ht="12.75" customHeight="1">
      <c r="A10" s="225"/>
      <c r="B10" s="225"/>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row>
    <row r="11" spans="1:26" ht="12.75" customHeight="1">
      <c r="A11" s="225"/>
      <c r="B11" s="225"/>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row>
    <row r="12" spans="1:26" ht="12.75" customHeight="1">
      <c r="A12" s="225"/>
      <c r="B12" s="225"/>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row>
    <row r="13" spans="1:26" ht="12.75" customHeight="1">
      <c r="A13" s="225"/>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2.75" customHeight="1">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2.75" customHeight="1">
      <c r="A15" s="225"/>
      <c r="B15" s="225"/>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row>
    <row r="16" spans="1:26" ht="12.75" customHeight="1">
      <c r="A16" s="225"/>
      <c r="B16" s="225"/>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row>
    <row r="17" spans="1:26" ht="12.75" customHeight="1">
      <c r="A17" s="225"/>
      <c r="B17" s="225"/>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row>
    <row r="18" spans="1:26" ht="12.75" customHeight="1">
      <c r="A18" s="225"/>
      <c r="B18" s="225"/>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row>
    <row r="19" spans="1:26" ht="12.75" customHeight="1">
      <c r="A19" s="225"/>
      <c r="B19" s="225"/>
      <c r="C19" s="225"/>
      <c r="D19" s="225"/>
      <c r="E19" s="225"/>
      <c r="F19" s="225"/>
      <c r="G19" s="225"/>
      <c r="H19" s="225"/>
      <c r="I19" s="225"/>
      <c r="J19" s="225"/>
      <c r="K19" s="225"/>
      <c r="L19" s="225"/>
      <c r="M19" s="225"/>
      <c r="N19" s="225"/>
      <c r="O19" s="225"/>
      <c r="P19" s="225"/>
      <c r="Q19" s="225"/>
      <c r="R19" s="225"/>
      <c r="S19" s="225"/>
      <c r="T19" s="225"/>
      <c r="U19" s="225"/>
      <c r="V19" s="225"/>
      <c r="W19" s="225"/>
      <c r="X19" s="225"/>
      <c r="Y19" s="225"/>
      <c r="Z19" s="225"/>
    </row>
    <row r="20" spans="1:26" ht="12.75" customHeight="1">
      <c r="A20" s="225"/>
      <c r="B20" s="225"/>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row>
    <row r="21" spans="1:26" ht="12.75" customHeight="1">
      <c r="A21" s="225"/>
      <c r="B21" s="225"/>
      <c r="C21" s="225"/>
      <c r="D21" s="225"/>
      <c r="E21" s="225"/>
      <c r="F21" s="225"/>
      <c r="G21" s="225"/>
      <c r="H21" s="225"/>
      <c r="I21" s="225"/>
      <c r="J21" s="225"/>
      <c r="K21" s="225"/>
      <c r="L21" s="225"/>
      <c r="M21" s="225"/>
      <c r="N21" s="225"/>
      <c r="O21" s="225"/>
      <c r="P21" s="225"/>
      <c r="Q21" s="225"/>
      <c r="R21" s="225"/>
      <c r="S21" s="225"/>
      <c r="T21" s="225"/>
      <c r="U21" s="225"/>
      <c r="V21" s="225"/>
      <c r="W21" s="225"/>
      <c r="X21" s="225"/>
      <c r="Y21" s="225"/>
      <c r="Z21" s="225"/>
    </row>
    <row r="22" spans="1:26" ht="12.75" customHeight="1">
      <c r="A22" s="225"/>
      <c r="B22" s="225"/>
      <c r="C22" s="225"/>
      <c r="D22" s="225"/>
      <c r="E22" s="225"/>
      <c r="F22" s="225"/>
      <c r="G22" s="225"/>
      <c r="H22" s="225"/>
      <c r="I22" s="225"/>
      <c r="J22" s="225"/>
      <c r="K22" s="225"/>
      <c r="L22" s="225"/>
      <c r="M22" s="225"/>
      <c r="N22" s="225"/>
      <c r="O22" s="225"/>
      <c r="P22" s="225"/>
      <c r="Q22" s="225"/>
      <c r="R22" s="225"/>
      <c r="S22" s="225"/>
      <c r="T22" s="225"/>
      <c r="U22" s="225"/>
      <c r="V22" s="225"/>
      <c r="W22" s="225"/>
      <c r="X22" s="225"/>
      <c r="Y22" s="225"/>
      <c r="Z22" s="225"/>
    </row>
    <row r="23" spans="1:26" ht="12.75" customHeight="1">
      <c r="A23" s="225"/>
      <c r="B23" s="225"/>
      <c r="C23" s="225"/>
      <c r="D23" s="225"/>
      <c r="E23" s="225"/>
      <c r="F23" s="225"/>
      <c r="G23" s="225"/>
      <c r="H23" s="225"/>
      <c r="I23" s="225"/>
      <c r="J23" s="225"/>
      <c r="K23" s="225"/>
      <c r="L23" s="225"/>
      <c r="M23" s="225"/>
      <c r="N23" s="225"/>
      <c r="O23" s="225"/>
      <c r="P23" s="225"/>
      <c r="Q23" s="225"/>
      <c r="R23" s="225"/>
      <c r="S23" s="225"/>
      <c r="T23" s="225"/>
      <c r="U23" s="225"/>
      <c r="V23" s="225"/>
      <c r="W23" s="225"/>
      <c r="X23" s="225"/>
      <c r="Y23" s="225"/>
      <c r="Z23" s="225"/>
    </row>
    <row r="24" spans="1:26" ht="12.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2.75" customHeight="1">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2.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row>
    <row r="27" spans="1:26" ht="12.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row>
    <row r="28" spans="1:26" ht="12.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row>
    <row r="29" spans="1:26" ht="12.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row>
    <row r="30" spans="1:26" ht="12.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row>
    <row r="31" spans="1:26" ht="12.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row>
    <row r="32" spans="1:26" ht="12.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spans="1:26" ht="12.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spans="1:26" ht="12.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row>
    <row r="35" spans="1:26" ht="12.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2.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2.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row>
    <row r="38" spans="1:26" ht="12.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row>
    <row r="39" spans="1:26" ht="12.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row>
    <row r="40" spans="1:26" ht="12.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row>
    <row r="41" spans="1:26" ht="12.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spans="1:26" ht="12.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spans="1:26" ht="12.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spans="1:26" ht="12.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spans="1:26" ht="12.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row>
    <row r="46" spans="1:26" ht="12.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2.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2.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row>
    <row r="49" spans="1:26" ht="12.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row>
    <row r="50" spans="1:26" ht="12.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row>
    <row r="51" spans="1:26" ht="12.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row>
    <row r="52" spans="1:26" ht="12.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row>
    <row r="53" spans="1:26" ht="12.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row>
    <row r="54" spans="1:26" ht="12.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row>
    <row r="55" spans="1:26" ht="12.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row>
    <row r="56" spans="1:26" ht="12.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row>
    <row r="57" spans="1:26" ht="12.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2.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2.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row>
    <row r="60" spans="1:26" ht="12.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row>
    <row r="61" spans="1:26" ht="12.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row>
    <row r="62" spans="1:26" ht="12.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row>
    <row r="63" spans="1:26" ht="12.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row>
    <row r="64" spans="1:26" ht="12.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row>
    <row r="65" spans="1:26" ht="12.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row>
    <row r="66" spans="1:26" ht="12.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row>
    <row r="67" spans="1:26" ht="12.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row>
    <row r="68" spans="1:26" ht="12.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row>
    <row r="69" spans="1:26" ht="12.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row>
    <row r="70" spans="1:26" ht="12.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row>
    <row r="71" spans="1:26" ht="12.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row>
    <row r="72" spans="1:26" ht="12.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row>
    <row r="73" spans="1:26" ht="12.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row>
    <row r="74" spans="1:26" ht="12.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row>
    <row r="75" spans="1:26" ht="12.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row>
    <row r="76" spans="1:26" ht="12.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row>
    <row r="77" spans="1:26" ht="12.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row>
    <row r="78" spans="1:26" ht="12.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row>
    <row r="79" spans="1:26" ht="12.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row>
    <row r="80" spans="1:26" ht="12.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row>
    <row r="81" spans="1:26" ht="12.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row>
    <row r="82" spans="1:26" ht="12.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row>
    <row r="83" spans="1:26" ht="12.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row>
    <row r="84" spans="1:26" ht="12.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row>
    <row r="85" spans="1:26" ht="12.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row>
    <row r="86" spans="1:26" ht="12.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row>
    <row r="87" spans="1:26" ht="12.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row>
    <row r="88" spans="1:26" ht="12.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row>
    <row r="89" spans="1:26" ht="12.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row>
    <row r="90" spans="1:26" ht="12.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row>
    <row r="91" spans="1:26" ht="12.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row>
    <row r="92" spans="1:26" ht="12.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row>
    <row r="93" spans="1:26" ht="12.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row>
    <row r="94" spans="1:26" ht="12.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row>
    <row r="95" spans="1:26" ht="12.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row>
    <row r="96" spans="1:26" ht="12.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row>
    <row r="97" spans="1:26" ht="12.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row>
    <row r="98" spans="1:26" ht="12.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row>
    <row r="99" spans="1:26" ht="12.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row>
    <row r="100" spans="1:26" ht="12.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row>
    <row r="101" spans="1:26" ht="12.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row>
    <row r="102" spans="1:26" ht="12.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row>
    <row r="103" spans="1:26" ht="12.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row>
    <row r="104" spans="1:26" ht="12.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row>
    <row r="105" spans="1:26" ht="12.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row>
    <row r="106" spans="1:26" ht="12.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row>
    <row r="107" spans="1:26" ht="12.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row>
    <row r="108" spans="1:26" ht="12.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row>
    <row r="109" spans="1:26" ht="12.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row>
    <row r="110" spans="1:26" ht="12.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row>
    <row r="111" spans="1:26" ht="12.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row>
    <row r="112" spans="1:26" ht="12.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row>
    <row r="113" spans="1:26" ht="12.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row>
    <row r="114" spans="1:26" ht="12.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row>
    <row r="115" spans="1:26" ht="12.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row>
    <row r="116" spans="1:26" ht="12.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row>
    <row r="117" spans="1:26" ht="12.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row>
    <row r="118" spans="1:26" ht="12.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row>
    <row r="119" spans="1:26" ht="12.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row>
    <row r="120" spans="1:26" ht="12.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row>
    <row r="121" spans="1:26" ht="12.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row>
    <row r="122" spans="1:26" ht="12.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row>
    <row r="123" spans="1:26" ht="12.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row>
    <row r="124" spans="1:26" ht="12.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row>
    <row r="125" spans="1:26" ht="12.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row>
    <row r="126" spans="1:26" ht="12.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row>
    <row r="127" spans="1:26" ht="12.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row>
    <row r="128" spans="1:26" ht="12.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row>
    <row r="129" spans="1:26" ht="12.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row>
    <row r="130" spans="1:26" ht="12.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row>
    <row r="131" spans="1:26" ht="12.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row>
    <row r="132" spans="1:26" ht="12.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row>
    <row r="133" spans="1:26" ht="12.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row>
    <row r="134" spans="1:26" ht="12.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row>
    <row r="135" spans="1:26" ht="12.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row>
    <row r="136" spans="1:26" ht="12.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row>
    <row r="137" spans="1:26" ht="12.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row>
    <row r="138" spans="1:26" ht="12.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row>
    <row r="139" spans="1:26" ht="12.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row>
    <row r="140" spans="1:26" ht="12.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row>
    <row r="141" spans="1:26" ht="12.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row>
    <row r="142" spans="1:26" ht="12.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row>
    <row r="143" spans="1:26" ht="12.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row>
    <row r="144" spans="1:26" ht="12.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row>
    <row r="145" spans="1:26" ht="12.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row>
    <row r="146" spans="1:26" ht="12.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row>
    <row r="147" spans="1:26" ht="12.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row>
    <row r="148" spans="1:26" ht="12.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row>
    <row r="149" spans="1:26" ht="12.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row>
    <row r="150" spans="1:26" ht="12.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row>
    <row r="151" spans="1:26" ht="12.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row>
    <row r="152" spans="1:26" ht="12.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row>
    <row r="153" spans="1:26" ht="12.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row>
    <row r="154" spans="1:26" ht="12.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row>
    <row r="155" spans="1:26" ht="12.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row>
    <row r="156" spans="1:26" ht="12.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row>
    <row r="157" spans="1:26" ht="12.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row>
    <row r="158" spans="1:26" ht="12.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row>
    <row r="159" spans="1:26" ht="12.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row>
    <row r="160" spans="1:26" ht="12.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row>
    <row r="161" spans="1:26" ht="12.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row>
    <row r="162" spans="1:26" ht="12.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row>
    <row r="163" spans="1:26" ht="12.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row>
    <row r="164" spans="1:26" ht="12.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row>
    <row r="165" spans="1:26" ht="12.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row>
    <row r="166" spans="1:26" ht="12.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row>
    <row r="167" spans="1:26" ht="12.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row>
    <row r="168" spans="1:26" ht="12.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row>
    <row r="169" spans="1:26" ht="12.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row>
    <row r="170" spans="1:26" ht="12.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row>
    <row r="171" spans="1:26" ht="12.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row>
    <row r="172" spans="1:26" ht="12.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row>
    <row r="173" spans="1:26" ht="12.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row>
    <row r="174" spans="1:26" ht="12.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row>
    <row r="175" spans="1:26" ht="12.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row>
    <row r="176" spans="1:26" ht="12.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row>
    <row r="177" spans="1:26" ht="12.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row>
    <row r="178" spans="1:26" ht="12.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row>
    <row r="179" spans="1:26" ht="12.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row>
    <row r="180" spans="1:26" ht="12.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row>
    <row r="181" spans="1:26" ht="12.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row>
    <row r="182" spans="1:26" ht="12.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row>
    <row r="183" spans="1:26" ht="12.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row>
    <row r="184" spans="1:26" ht="12.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row>
    <row r="185" spans="1:26" ht="12.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row>
    <row r="186" spans="1:26" ht="12.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row>
    <row r="187" spans="1:26" ht="12.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row>
    <row r="188" spans="1:26" ht="12.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row>
    <row r="189" spans="1:26" ht="12.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row>
    <row r="190" spans="1:26" ht="12.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row>
    <row r="191" spans="1:26" ht="12.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row>
    <row r="192" spans="1:26" ht="12.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row>
    <row r="193" spans="1:26" ht="12.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row>
    <row r="194" spans="1:26" ht="12.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row>
    <row r="195" spans="1:26" ht="12.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row>
    <row r="196" spans="1:26" ht="12.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row>
    <row r="197" spans="1:26" ht="12.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row>
    <row r="198" spans="1:26" ht="12.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row>
    <row r="199" spans="1:26" ht="12.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row>
    <row r="200" spans="1:26" ht="12.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row>
    <row r="201" spans="1:26" ht="12.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row>
    <row r="202" spans="1:26" ht="12.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row>
    <row r="203" spans="1:26" ht="12.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row>
    <row r="204" spans="1:26" ht="12.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row>
    <row r="205" spans="1:26" ht="12.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row>
    <row r="206" spans="1:26" ht="12.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row>
    <row r="207" spans="1:26" ht="12.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row>
    <row r="208" spans="1:26" ht="12.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row>
    <row r="209" spans="1:26" ht="12.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row>
    <row r="210" spans="1:26" ht="12.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row>
    <row r="211" spans="1:26" ht="12.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row>
    <row r="212" spans="1:26" ht="12.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row>
    <row r="213" spans="1:26" ht="12.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row>
    <row r="214" spans="1:26" ht="12.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row>
    <row r="215" spans="1:26" ht="12.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row>
    <row r="216" spans="1:26" ht="12.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row>
    <row r="217" spans="1:26" ht="12.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row>
    <row r="218" spans="1:26" ht="12.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row>
    <row r="219" spans="1:26" ht="12.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row>
    <row r="220" spans="1:26" ht="12.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Z1000"/>
  <sheetViews>
    <sheetView workbookViewId="0"/>
  </sheetViews>
  <sheetFormatPr defaultColWidth="10.109375" defaultRowHeight="15" customHeight="1"/>
  <cols>
    <col min="1" max="1" width="3.77734375" customWidth="1"/>
    <col min="2" max="2" width="20" customWidth="1"/>
    <col min="3" max="3" width="18.6640625" customWidth="1"/>
    <col min="4" max="7" width="6.88671875" customWidth="1"/>
    <col min="8" max="26" width="11.44140625" customWidth="1"/>
  </cols>
  <sheetData>
    <row r="1" spans="1:26" ht="18">
      <c r="A1" s="363" t="s">
        <v>1469</v>
      </c>
      <c r="B1" s="381"/>
      <c r="C1" s="381"/>
      <c r="D1" s="381"/>
      <c r="E1" s="381"/>
      <c r="F1" s="381"/>
      <c r="G1" s="381"/>
      <c r="H1" s="200"/>
      <c r="I1" s="200"/>
      <c r="J1" s="200"/>
      <c r="K1" s="200"/>
      <c r="L1" s="200"/>
      <c r="M1" s="200"/>
      <c r="N1" s="200"/>
      <c r="O1" s="200"/>
      <c r="P1" s="200"/>
      <c r="Q1" s="200"/>
      <c r="R1" s="200"/>
      <c r="S1" s="200"/>
      <c r="T1" s="200"/>
      <c r="U1" s="200"/>
      <c r="V1" s="200"/>
      <c r="W1" s="200"/>
      <c r="X1" s="200"/>
      <c r="Y1" s="200"/>
      <c r="Z1" s="200"/>
    </row>
    <row r="2" spans="1:26" ht="31.15">
      <c r="A2" s="228" t="s">
        <v>116</v>
      </c>
      <c r="B2" s="228" t="s">
        <v>56</v>
      </c>
      <c r="C2" s="228" t="s">
        <v>57</v>
      </c>
      <c r="D2" s="228" t="s">
        <v>59</v>
      </c>
      <c r="E2" s="228" t="s">
        <v>1470</v>
      </c>
      <c r="F2" s="228" t="s">
        <v>1382</v>
      </c>
      <c r="G2" s="228" t="s">
        <v>5</v>
      </c>
      <c r="H2" s="200"/>
      <c r="I2" s="200"/>
      <c r="J2" s="200"/>
      <c r="K2" s="200"/>
      <c r="L2" s="200"/>
      <c r="M2" s="200"/>
      <c r="N2" s="200"/>
      <c r="O2" s="200"/>
      <c r="P2" s="200"/>
      <c r="Q2" s="200"/>
      <c r="R2" s="200"/>
      <c r="S2" s="200"/>
      <c r="T2" s="200"/>
      <c r="U2" s="200"/>
      <c r="V2" s="200"/>
      <c r="W2" s="200"/>
      <c r="X2" s="200"/>
      <c r="Y2" s="200"/>
      <c r="Z2" s="200"/>
    </row>
    <row r="3" spans="1:26" ht="31.15">
      <c r="A3" s="229">
        <v>1</v>
      </c>
      <c r="B3" s="56" t="s">
        <v>1471</v>
      </c>
      <c r="C3" s="56" t="s">
        <v>62</v>
      </c>
      <c r="D3" s="49">
        <v>1</v>
      </c>
      <c r="E3" s="230">
        <f>'1.2.TAW'!D5</f>
        <v>2</v>
      </c>
      <c r="F3" s="49">
        <f t="shared" ref="F3:F5" si="0">E3*D3</f>
        <v>2</v>
      </c>
      <c r="G3" s="56"/>
      <c r="H3" s="200"/>
      <c r="I3" s="200"/>
      <c r="J3" s="200"/>
      <c r="K3" s="200"/>
      <c r="L3" s="200"/>
      <c r="M3" s="200"/>
      <c r="N3" s="200"/>
      <c r="O3" s="200"/>
      <c r="P3" s="200"/>
      <c r="Q3" s="200"/>
      <c r="R3" s="200"/>
      <c r="S3" s="200"/>
      <c r="T3" s="200"/>
      <c r="U3" s="200"/>
      <c r="V3" s="200"/>
      <c r="W3" s="200"/>
      <c r="X3" s="200"/>
      <c r="Y3" s="200"/>
      <c r="Z3" s="200"/>
    </row>
    <row r="4" spans="1:26" ht="46.9">
      <c r="A4" s="229">
        <v>2</v>
      </c>
      <c r="B4" s="56" t="s">
        <v>1472</v>
      </c>
      <c r="C4" s="56" t="s">
        <v>64</v>
      </c>
      <c r="D4" s="49">
        <v>2</v>
      </c>
      <c r="E4" s="230">
        <f>'1.2.TAW'!D6</f>
        <v>0</v>
      </c>
      <c r="F4" s="49">
        <f t="shared" si="0"/>
        <v>0</v>
      </c>
      <c r="G4" s="56"/>
      <c r="H4" s="200"/>
      <c r="I4" s="200"/>
      <c r="J4" s="200"/>
      <c r="K4" s="200"/>
      <c r="L4" s="200"/>
      <c r="M4" s="200"/>
      <c r="N4" s="200"/>
      <c r="O4" s="200"/>
      <c r="P4" s="200"/>
      <c r="Q4" s="200"/>
      <c r="R4" s="200"/>
      <c r="S4" s="200"/>
      <c r="T4" s="200"/>
      <c r="U4" s="200"/>
      <c r="V4" s="200"/>
      <c r="W4" s="200"/>
      <c r="X4" s="200"/>
      <c r="Y4" s="200"/>
      <c r="Z4" s="200"/>
    </row>
    <row r="5" spans="1:26" ht="18">
      <c r="A5" s="229">
        <v>3</v>
      </c>
      <c r="B5" s="56" t="s">
        <v>1473</v>
      </c>
      <c r="C5" s="56" t="s">
        <v>1474</v>
      </c>
      <c r="D5" s="49">
        <v>3</v>
      </c>
      <c r="E5" s="230">
        <f>'1.2.TAW'!D7</f>
        <v>5</v>
      </c>
      <c r="F5" s="49">
        <f t="shared" si="0"/>
        <v>15</v>
      </c>
      <c r="G5" s="56"/>
      <c r="H5" s="200"/>
      <c r="I5" s="200"/>
      <c r="J5" s="200"/>
      <c r="K5" s="200"/>
      <c r="L5" s="200"/>
      <c r="M5" s="200"/>
      <c r="N5" s="200"/>
      <c r="O5" s="200"/>
      <c r="P5" s="200"/>
      <c r="Q5" s="200"/>
      <c r="R5" s="200"/>
      <c r="S5" s="200"/>
      <c r="T5" s="200"/>
      <c r="U5" s="200"/>
      <c r="V5" s="200"/>
      <c r="W5" s="200"/>
      <c r="X5" s="200"/>
      <c r="Y5" s="200"/>
      <c r="Z5" s="200"/>
    </row>
    <row r="6" spans="1:26" ht="18">
      <c r="A6" s="231"/>
      <c r="B6" s="232" t="s">
        <v>1468</v>
      </c>
      <c r="C6" s="233"/>
      <c r="D6" s="234"/>
      <c r="E6" s="234"/>
      <c r="F6" s="235">
        <f>SUM(F3:F5)</f>
        <v>17</v>
      </c>
      <c r="G6" s="233"/>
      <c r="H6" s="200"/>
      <c r="I6" s="200"/>
      <c r="J6" s="200"/>
      <c r="K6" s="200"/>
      <c r="L6" s="200"/>
      <c r="M6" s="200"/>
      <c r="N6" s="200"/>
      <c r="O6" s="200"/>
      <c r="P6" s="200"/>
      <c r="Q6" s="200"/>
      <c r="R6" s="200"/>
      <c r="S6" s="200"/>
      <c r="T6" s="200"/>
      <c r="U6" s="200"/>
      <c r="V6" s="200"/>
      <c r="W6" s="200"/>
      <c r="X6" s="200"/>
      <c r="Y6" s="200"/>
      <c r="Z6" s="200"/>
    </row>
    <row r="7" spans="1:26" ht="18">
      <c r="A7" s="200"/>
      <c r="B7" s="200"/>
      <c r="C7" s="200"/>
      <c r="D7" s="200"/>
      <c r="E7" s="200"/>
      <c r="F7" s="200"/>
      <c r="G7" s="200"/>
      <c r="H7" s="200"/>
      <c r="I7" s="200"/>
      <c r="J7" s="200"/>
      <c r="K7" s="200"/>
      <c r="L7" s="200"/>
      <c r="M7" s="200"/>
      <c r="N7" s="200"/>
      <c r="O7" s="200"/>
      <c r="P7" s="200"/>
      <c r="Q7" s="200"/>
      <c r="R7" s="200"/>
      <c r="S7" s="200"/>
      <c r="T7" s="200"/>
      <c r="U7" s="200"/>
      <c r="V7" s="200"/>
      <c r="W7" s="200"/>
      <c r="X7" s="200"/>
      <c r="Y7" s="200"/>
      <c r="Z7" s="200"/>
    </row>
    <row r="8" spans="1:26" ht="18">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row>
    <row r="9" spans="1:26" ht="18">
      <c r="A9" s="200"/>
      <c r="B9" s="200"/>
      <c r="C9" s="200"/>
      <c r="D9" s="200"/>
      <c r="E9" s="200"/>
      <c r="F9" s="200"/>
      <c r="G9" s="200"/>
      <c r="H9" s="200"/>
      <c r="I9" s="200"/>
      <c r="J9" s="200"/>
      <c r="K9" s="200"/>
      <c r="L9" s="200"/>
      <c r="M9" s="200"/>
      <c r="N9" s="200"/>
      <c r="O9" s="200"/>
      <c r="P9" s="200"/>
      <c r="Q9" s="200"/>
      <c r="R9" s="200"/>
      <c r="S9" s="200"/>
      <c r="T9" s="200"/>
      <c r="U9" s="200"/>
      <c r="V9" s="200"/>
      <c r="W9" s="200"/>
      <c r="X9" s="200"/>
      <c r="Y9" s="200"/>
      <c r="Z9" s="200"/>
    </row>
    <row r="10" spans="1:26" ht="18">
      <c r="A10" s="200"/>
      <c r="B10" s="200"/>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200"/>
    </row>
    <row r="11" spans="1:26" ht="18">
      <c r="A11" s="200"/>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row>
    <row r="12" spans="1:26" ht="18">
      <c r="A12" s="200"/>
      <c r="B12" s="200"/>
      <c r="C12" s="200"/>
      <c r="D12" s="200"/>
      <c r="E12" s="200"/>
      <c r="F12" s="200"/>
      <c r="G12" s="200"/>
      <c r="H12" s="200"/>
      <c r="I12" s="200"/>
      <c r="J12" s="200"/>
      <c r="K12" s="200"/>
      <c r="L12" s="200"/>
      <c r="M12" s="200"/>
      <c r="N12" s="200"/>
      <c r="O12" s="200"/>
      <c r="P12" s="200"/>
      <c r="Q12" s="200"/>
      <c r="R12" s="200"/>
      <c r="S12" s="200"/>
      <c r="T12" s="200"/>
      <c r="U12" s="200"/>
      <c r="V12" s="200"/>
      <c r="W12" s="200"/>
      <c r="X12" s="200"/>
      <c r="Y12" s="200"/>
      <c r="Z12" s="200"/>
    </row>
    <row r="13" spans="1:26" ht="18">
      <c r="A13" s="200"/>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 r="A15" s="200"/>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row>
    <row r="16" spans="1:26" ht="18">
      <c r="A16" s="200"/>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row>
    <row r="17" spans="1:26" ht="18">
      <c r="A17" s="200"/>
      <c r="B17" s="200"/>
      <c r="C17" s="200"/>
      <c r="D17" s="200"/>
      <c r="E17" s="200"/>
      <c r="F17" s="200"/>
      <c r="G17" s="200"/>
      <c r="H17" s="200"/>
      <c r="I17" s="200"/>
      <c r="J17" s="200"/>
      <c r="K17" s="200"/>
      <c r="L17" s="200"/>
      <c r="M17" s="200"/>
      <c r="N17" s="200"/>
      <c r="O17" s="200"/>
      <c r="P17" s="200"/>
      <c r="Q17" s="200"/>
      <c r="R17" s="200"/>
      <c r="S17" s="200"/>
      <c r="T17" s="200"/>
      <c r="U17" s="200"/>
      <c r="V17" s="200"/>
      <c r="W17" s="200"/>
      <c r="X17" s="200"/>
      <c r="Y17" s="200"/>
      <c r="Z17" s="200"/>
    </row>
    <row r="18" spans="1:26" ht="18">
      <c r="A18" s="200"/>
      <c r="B18" s="200"/>
      <c r="C18" s="200"/>
      <c r="D18" s="200"/>
      <c r="E18" s="200"/>
      <c r="F18" s="200"/>
      <c r="G18" s="200"/>
      <c r="H18" s="200"/>
      <c r="I18" s="200"/>
      <c r="J18" s="200"/>
      <c r="K18" s="200"/>
      <c r="L18" s="200"/>
      <c r="M18" s="200"/>
      <c r="N18" s="200"/>
      <c r="O18" s="200"/>
      <c r="P18" s="200"/>
      <c r="Q18" s="200"/>
      <c r="R18" s="200"/>
      <c r="S18" s="200"/>
      <c r="T18" s="200"/>
      <c r="U18" s="200"/>
      <c r="V18" s="200"/>
      <c r="W18" s="200"/>
      <c r="X18" s="200"/>
      <c r="Y18" s="200"/>
      <c r="Z18" s="200"/>
    </row>
    <row r="19" spans="1:26" ht="18">
      <c r="A19" s="200"/>
      <c r="B19" s="200"/>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row>
    <row r="20" spans="1:26" ht="18">
      <c r="A20" s="200"/>
      <c r="B20" s="200"/>
      <c r="C20" s="200"/>
      <c r="D20" s="200"/>
      <c r="E20" s="200"/>
      <c r="F20" s="200"/>
      <c r="G20" s="200"/>
      <c r="H20" s="200"/>
      <c r="I20" s="200"/>
      <c r="J20" s="200"/>
      <c r="K20" s="200"/>
      <c r="L20" s="200"/>
      <c r="M20" s="200"/>
      <c r="N20" s="200"/>
      <c r="O20" s="200"/>
      <c r="P20" s="200"/>
      <c r="Q20" s="200"/>
      <c r="R20" s="200"/>
      <c r="S20" s="200"/>
      <c r="T20" s="200"/>
      <c r="U20" s="200"/>
      <c r="V20" s="200"/>
      <c r="W20" s="200"/>
      <c r="X20" s="200"/>
      <c r="Y20" s="200"/>
      <c r="Z20" s="200"/>
    </row>
    <row r="21" spans="1:26" ht="15.75" customHeight="1">
      <c r="A21" s="200"/>
      <c r="B21" s="200"/>
      <c r="C21" s="200"/>
      <c r="D21" s="200"/>
      <c r="E21" s="200"/>
      <c r="F21" s="200"/>
      <c r="G21" s="200"/>
      <c r="H21" s="200"/>
      <c r="I21" s="200"/>
      <c r="J21" s="200"/>
      <c r="K21" s="200"/>
      <c r="L21" s="200"/>
      <c r="M21" s="200"/>
      <c r="N21" s="200"/>
      <c r="O21" s="200"/>
      <c r="P21" s="200"/>
      <c r="Q21" s="200"/>
      <c r="R21" s="200"/>
      <c r="S21" s="200"/>
      <c r="T21" s="200"/>
      <c r="U21" s="200"/>
      <c r="V21" s="200"/>
      <c r="W21" s="200"/>
      <c r="X21" s="200"/>
      <c r="Y21" s="200"/>
      <c r="Z21" s="200"/>
    </row>
    <row r="22" spans="1:26" ht="15.75" customHeight="1">
      <c r="A22" s="200"/>
      <c r="B22" s="200"/>
      <c r="C22" s="200"/>
      <c r="D22" s="200"/>
      <c r="E22" s="200"/>
      <c r="F22" s="200"/>
      <c r="G22" s="200"/>
      <c r="H22" s="200"/>
      <c r="I22" s="200"/>
      <c r="J22" s="200"/>
      <c r="K22" s="200"/>
      <c r="L22" s="200"/>
      <c r="M22" s="200"/>
      <c r="N22" s="200"/>
      <c r="O22" s="200"/>
      <c r="P22" s="200"/>
      <c r="Q22" s="200"/>
      <c r="R22" s="200"/>
      <c r="S22" s="200"/>
      <c r="T22" s="200"/>
      <c r="U22" s="200"/>
      <c r="V22" s="200"/>
      <c r="W22" s="200"/>
      <c r="X22" s="200"/>
      <c r="Y22" s="200"/>
      <c r="Z22" s="200"/>
    </row>
    <row r="23" spans="1:26" ht="15.75" customHeight="1">
      <c r="A23" s="200"/>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row>
    <row r="24" spans="1:26" ht="15.75" customHeight="1">
      <c r="A24" s="200"/>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5.75" customHeight="1">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5.75" customHeight="1">
      <c r="A26" s="200"/>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row>
    <row r="27" spans="1:26" ht="15.75" customHeight="1">
      <c r="A27" s="200"/>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row>
    <row r="28" spans="1:26" ht="15.75" customHeight="1">
      <c r="A28" s="200"/>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row>
    <row r="29" spans="1:26" ht="15.75" customHeight="1">
      <c r="A29" s="200"/>
      <c r="B29" s="200"/>
      <c r="C29" s="200"/>
      <c r="D29" s="200"/>
      <c r="E29" s="200"/>
      <c r="F29" s="200"/>
      <c r="G29" s="200"/>
      <c r="H29" s="200"/>
      <c r="I29" s="200"/>
      <c r="J29" s="200"/>
      <c r="K29" s="200"/>
      <c r="L29" s="200"/>
      <c r="M29" s="200"/>
      <c r="N29" s="200"/>
      <c r="O29" s="200"/>
      <c r="P29" s="200"/>
      <c r="Q29" s="200"/>
      <c r="R29" s="200"/>
      <c r="S29" s="200"/>
      <c r="T29" s="200"/>
      <c r="U29" s="200"/>
      <c r="V29" s="200"/>
      <c r="W29" s="200"/>
      <c r="X29" s="200"/>
      <c r="Y29" s="200"/>
      <c r="Z29" s="200"/>
    </row>
    <row r="30" spans="1:26" ht="15.75" customHeight="1">
      <c r="A30" s="200"/>
      <c r="B30" s="200"/>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row>
    <row r="31" spans="1:26" ht="15.75" customHeight="1">
      <c r="A31" s="200"/>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spans="1:26" ht="15.75" customHeight="1">
      <c r="A32" s="200"/>
      <c r="B32" s="200"/>
      <c r="C32" s="200"/>
      <c r="D32" s="200"/>
      <c r="E32" s="200"/>
      <c r="F32" s="200"/>
      <c r="G32" s="200"/>
      <c r="H32" s="200"/>
      <c r="I32" s="200"/>
      <c r="J32" s="200"/>
      <c r="K32" s="200"/>
      <c r="L32" s="200"/>
      <c r="M32" s="200"/>
      <c r="N32" s="200"/>
      <c r="O32" s="200"/>
      <c r="P32" s="200"/>
      <c r="Q32" s="200"/>
      <c r="R32" s="200"/>
      <c r="S32" s="200"/>
      <c r="T32" s="200"/>
      <c r="U32" s="200"/>
      <c r="V32" s="200"/>
      <c r="W32" s="200"/>
      <c r="X32" s="200"/>
      <c r="Y32" s="200"/>
      <c r="Z32" s="200"/>
    </row>
    <row r="33" spans="1:26" ht="15.75" customHeight="1">
      <c r="A33" s="200"/>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row>
    <row r="34" spans="1:26" ht="15.75" customHeight="1">
      <c r="A34" s="200"/>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row>
    <row r="35" spans="1:26" ht="15.75" customHeight="1">
      <c r="A35" s="200"/>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5.75" customHeight="1">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5.75" customHeight="1">
      <c r="A37" s="200"/>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row>
    <row r="38" spans="1:26" ht="15.75" customHeight="1">
      <c r="A38" s="200"/>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row>
    <row r="39" spans="1:26" ht="15.75" customHeight="1">
      <c r="A39" s="20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row>
    <row r="40" spans="1:26" ht="15.75" customHeight="1">
      <c r="A40" s="200"/>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row>
    <row r="41" spans="1:26" ht="15.75" customHeight="1">
      <c r="A41" s="200"/>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spans="1:26" ht="15.75" customHeight="1">
      <c r="A42" s="200"/>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row>
    <row r="43" spans="1:26" ht="15.75" customHeight="1">
      <c r="A43" s="200"/>
      <c r="B43" s="200"/>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row>
    <row r="44" spans="1:26" ht="15.75" customHeight="1">
      <c r="A44" s="200"/>
      <c r="B44" s="200"/>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row>
    <row r="45" spans="1:26" ht="15.75" customHeight="1">
      <c r="A45" s="200"/>
      <c r="B45" s="200"/>
      <c r="C45" s="200"/>
      <c r="D45" s="200"/>
      <c r="E45" s="200"/>
      <c r="F45" s="200"/>
      <c r="G45" s="200"/>
      <c r="H45" s="200"/>
      <c r="I45" s="200"/>
      <c r="J45" s="200"/>
      <c r="K45" s="200"/>
      <c r="L45" s="200"/>
      <c r="M45" s="200"/>
      <c r="N45" s="200"/>
      <c r="O45" s="200"/>
      <c r="P45" s="200"/>
      <c r="Q45" s="200"/>
      <c r="R45" s="200"/>
      <c r="S45" s="200"/>
      <c r="T45" s="200"/>
      <c r="U45" s="200"/>
      <c r="V45" s="200"/>
      <c r="W45" s="200"/>
      <c r="X45" s="200"/>
      <c r="Y45" s="200"/>
      <c r="Z45" s="200"/>
    </row>
    <row r="46" spans="1:26" ht="15.75" customHeight="1">
      <c r="A46" s="200"/>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5.75" customHeight="1">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5.75" customHeight="1">
      <c r="A48" s="200"/>
      <c r="B48" s="200"/>
      <c r="C48" s="200"/>
      <c r="D48" s="200"/>
      <c r="E48" s="200"/>
      <c r="F48" s="200"/>
      <c r="G48" s="200"/>
      <c r="H48" s="200"/>
      <c r="I48" s="200"/>
      <c r="J48" s="200"/>
      <c r="K48" s="200"/>
      <c r="L48" s="200"/>
      <c r="M48" s="200"/>
      <c r="N48" s="200"/>
      <c r="O48" s="200"/>
      <c r="P48" s="200"/>
      <c r="Q48" s="200"/>
      <c r="R48" s="200"/>
      <c r="S48" s="200"/>
      <c r="T48" s="200"/>
      <c r="U48" s="200"/>
      <c r="V48" s="200"/>
      <c r="W48" s="200"/>
      <c r="X48" s="200"/>
      <c r="Y48" s="200"/>
      <c r="Z48" s="200"/>
    </row>
    <row r="49" spans="1:26" ht="15.75" customHeight="1">
      <c r="A49" s="200"/>
      <c r="B49" s="200"/>
      <c r="C49" s="200"/>
      <c r="D49" s="200"/>
      <c r="E49" s="200"/>
      <c r="F49" s="200"/>
      <c r="G49" s="200"/>
      <c r="H49" s="200"/>
      <c r="I49" s="200"/>
      <c r="J49" s="200"/>
      <c r="K49" s="200"/>
      <c r="L49" s="200"/>
      <c r="M49" s="200"/>
      <c r="N49" s="200"/>
      <c r="O49" s="200"/>
      <c r="P49" s="200"/>
      <c r="Q49" s="200"/>
      <c r="R49" s="200"/>
      <c r="S49" s="200"/>
      <c r="T49" s="200"/>
      <c r="U49" s="200"/>
      <c r="V49" s="200"/>
      <c r="W49" s="200"/>
      <c r="X49" s="200"/>
      <c r="Y49" s="200"/>
      <c r="Z49" s="200"/>
    </row>
    <row r="50" spans="1:26" ht="15.75" customHeight="1">
      <c r="A50" s="200"/>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200"/>
      <c r="Z50" s="200"/>
    </row>
    <row r="51" spans="1:26" ht="15.75" customHeight="1">
      <c r="A51" s="200"/>
      <c r="B51" s="200"/>
      <c r="C51" s="200"/>
      <c r="D51" s="200"/>
      <c r="E51" s="200"/>
      <c r="F51" s="200"/>
      <c r="G51" s="200"/>
      <c r="H51" s="200"/>
      <c r="I51" s="200"/>
      <c r="J51" s="200"/>
      <c r="K51" s="200"/>
      <c r="L51" s="200"/>
      <c r="M51" s="200"/>
      <c r="N51" s="200"/>
      <c r="O51" s="200"/>
      <c r="P51" s="200"/>
      <c r="Q51" s="200"/>
      <c r="R51" s="200"/>
      <c r="S51" s="200"/>
      <c r="T51" s="200"/>
      <c r="U51" s="200"/>
      <c r="V51" s="200"/>
      <c r="W51" s="200"/>
      <c r="X51" s="200"/>
      <c r="Y51" s="200"/>
      <c r="Z51" s="200"/>
    </row>
    <row r="52" spans="1:26" ht="15.75" customHeight="1">
      <c r="A52" s="200"/>
      <c r="B52" s="200"/>
      <c r="C52" s="200"/>
      <c r="D52" s="200"/>
      <c r="E52" s="200"/>
      <c r="F52" s="200"/>
      <c r="G52" s="200"/>
      <c r="H52" s="200"/>
      <c r="I52" s="200"/>
      <c r="J52" s="200"/>
      <c r="K52" s="200"/>
      <c r="L52" s="200"/>
      <c r="M52" s="200"/>
      <c r="N52" s="200"/>
      <c r="O52" s="200"/>
      <c r="P52" s="200"/>
      <c r="Q52" s="200"/>
      <c r="R52" s="200"/>
      <c r="S52" s="200"/>
      <c r="T52" s="200"/>
      <c r="U52" s="200"/>
      <c r="V52" s="200"/>
      <c r="W52" s="200"/>
      <c r="X52" s="200"/>
      <c r="Y52" s="200"/>
      <c r="Z52" s="200"/>
    </row>
    <row r="53" spans="1:26" ht="15.75" customHeight="1">
      <c r="A53" s="200"/>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row>
    <row r="54" spans="1:26" ht="15.75" customHeight="1">
      <c r="A54" s="200"/>
      <c r="B54" s="200"/>
      <c r="C54" s="200"/>
      <c r="D54" s="200"/>
      <c r="E54" s="200"/>
      <c r="F54" s="200"/>
      <c r="G54" s="200"/>
      <c r="H54" s="200"/>
      <c r="I54" s="200"/>
      <c r="J54" s="200"/>
      <c r="K54" s="200"/>
      <c r="L54" s="200"/>
      <c r="M54" s="200"/>
      <c r="N54" s="200"/>
      <c r="O54" s="200"/>
      <c r="P54" s="200"/>
      <c r="Q54" s="200"/>
      <c r="R54" s="200"/>
      <c r="S54" s="200"/>
      <c r="T54" s="200"/>
      <c r="U54" s="200"/>
      <c r="V54" s="200"/>
      <c r="W54" s="200"/>
      <c r="X54" s="200"/>
      <c r="Y54" s="200"/>
      <c r="Z54" s="200"/>
    </row>
    <row r="55" spans="1:26" ht="15.75" customHeight="1">
      <c r="A55" s="200"/>
      <c r="B55" s="200"/>
      <c r="C55" s="200"/>
      <c r="D55" s="200"/>
      <c r="E55" s="200"/>
      <c r="F55" s="200"/>
      <c r="G55" s="200"/>
      <c r="H55" s="200"/>
      <c r="I55" s="200"/>
      <c r="J55" s="200"/>
      <c r="K55" s="200"/>
      <c r="L55" s="200"/>
      <c r="M55" s="200"/>
      <c r="N55" s="200"/>
      <c r="O55" s="200"/>
      <c r="P55" s="200"/>
      <c r="Q55" s="200"/>
      <c r="R55" s="200"/>
      <c r="S55" s="200"/>
      <c r="T55" s="200"/>
      <c r="U55" s="200"/>
      <c r="V55" s="200"/>
      <c r="W55" s="200"/>
      <c r="X55" s="200"/>
      <c r="Y55" s="200"/>
      <c r="Z55" s="200"/>
    </row>
    <row r="56" spans="1:26" ht="15.75" customHeight="1">
      <c r="A56" s="200"/>
      <c r="B56" s="200"/>
      <c r="C56" s="200"/>
      <c r="D56" s="200"/>
      <c r="E56" s="200"/>
      <c r="F56" s="200"/>
      <c r="G56" s="200"/>
      <c r="H56" s="200"/>
      <c r="I56" s="200"/>
      <c r="J56" s="200"/>
      <c r="K56" s="200"/>
      <c r="L56" s="200"/>
      <c r="M56" s="200"/>
      <c r="N56" s="200"/>
      <c r="O56" s="200"/>
      <c r="P56" s="200"/>
      <c r="Q56" s="200"/>
      <c r="R56" s="200"/>
      <c r="S56" s="200"/>
      <c r="T56" s="200"/>
      <c r="U56" s="200"/>
      <c r="V56" s="200"/>
      <c r="W56" s="200"/>
      <c r="X56" s="200"/>
      <c r="Y56" s="200"/>
      <c r="Z56" s="200"/>
    </row>
    <row r="57" spans="1:26" ht="15.75" customHeight="1">
      <c r="A57" s="200"/>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5.75" customHeight="1">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5.75" customHeight="1">
      <c r="A59" s="200"/>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row>
    <row r="60" spans="1:26" ht="15.75" customHeight="1">
      <c r="A60" s="200"/>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row>
    <row r="61" spans="1:26" ht="15.75" customHeight="1">
      <c r="A61" s="200"/>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row>
    <row r="62" spans="1:26" ht="15.75" customHeight="1">
      <c r="A62" s="200"/>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row>
    <row r="63" spans="1:26" ht="15.75" customHeight="1">
      <c r="A63" s="200"/>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row>
    <row r="64" spans="1:26" ht="15.75" customHeight="1">
      <c r="A64" s="200"/>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row>
    <row r="65" spans="1:26" ht="15.75" customHeight="1">
      <c r="A65" s="200"/>
      <c r="B65" s="200"/>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row>
    <row r="66" spans="1:26" ht="15.75" customHeight="1">
      <c r="A66" s="200"/>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row>
    <row r="67" spans="1:26" ht="15.75" customHeight="1">
      <c r="A67" s="200"/>
      <c r="B67" s="200"/>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row>
    <row r="68" spans="1:26" ht="15.75" customHeight="1">
      <c r="A68" s="200"/>
      <c r="B68" s="200"/>
      <c r="C68" s="200"/>
      <c r="D68" s="200"/>
      <c r="E68" s="200"/>
      <c r="F68" s="200"/>
      <c r="G68" s="200"/>
      <c r="H68" s="200"/>
      <c r="I68" s="200"/>
      <c r="J68" s="200"/>
      <c r="K68" s="200"/>
      <c r="L68" s="200"/>
      <c r="M68" s="200"/>
      <c r="N68" s="200"/>
      <c r="O68" s="200"/>
      <c r="P68" s="200"/>
      <c r="Q68" s="200"/>
      <c r="R68" s="200"/>
      <c r="S68" s="200"/>
      <c r="T68" s="200"/>
      <c r="U68" s="200"/>
      <c r="V68" s="200"/>
      <c r="W68" s="200"/>
      <c r="X68" s="200"/>
      <c r="Y68" s="200"/>
      <c r="Z68" s="200"/>
    </row>
    <row r="69" spans="1:26" ht="15.75" customHeight="1">
      <c r="A69" s="200"/>
      <c r="B69" s="200"/>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row>
    <row r="70" spans="1:26" ht="15.75" customHeight="1">
      <c r="A70" s="200"/>
      <c r="B70" s="200"/>
      <c r="C70" s="200"/>
      <c r="D70" s="200"/>
      <c r="E70" s="200"/>
      <c r="F70" s="200"/>
      <c r="G70" s="200"/>
      <c r="H70" s="200"/>
      <c r="I70" s="200"/>
      <c r="J70" s="200"/>
      <c r="K70" s="200"/>
      <c r="L70" s="200"/>
      <c r="M70" s="200"/>
      <c r="N70" s="200"/>
      <c r="O70" s="200"/>
      <c r="P70" s="200"/>
      <c r="Q70" s="200"/>
      <c r="R70" s="200"/>
      <c r="S70" s="200"/>
      <c r="T70" s="200"/>
      <c r="U70" s="200"/>
      <c r="V70" s="200"/>
      <c r="W70" s="200"/>
      <c r="X70" s="200"/>
      <c r="Y70" s="200"/>
      <c r="Z70" s="200"/>
    </row>
    <row r="71" spans="1:26" ht="15.75" customHeight="1">
      <c r="A71" s="200"/>
      <c r="B71" s="200"/>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row>
    <row r="72" spans="1:26" ht="15.75" customHeight="1">
      <c r="A72" s="200"/>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row>
    <row r="73" spans="1:26" ht="15.75" customHeight="1">
      <c r="A73" s="200"/>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row>
    <row r="74" spans="1:26" ht="15.75" customHeight="1">
      <c r="A74" s="20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row>
    <row r="75" spans="1:26" ht="15.75" customHeight="1">
      <c r="A75" s="200"/>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row>
    <row r="76" spans="1:26" ht="15.75" customHeight="1">
      <c r="A76" s="200"/>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row>
    <row r="77" spans="1:26" ht="15.75" customHeight="1">
      <c r="A77" s="200"/>
      <c r="B77" s="200"/>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row>
    <row r="78" spans="1:26" ht="15.75" customHeight="1">
      <c r="A78" s="200"/>
      <c r="B78" s="200"/>
      <c r="C78" s="200"/>
      <c r="D78" s="200"/>
      <c r="E78" s="200"/>
      <c r="F78" s="200"/>
      <c r="G78" s="200"/>
      <c r="H78" s="200"/>
      <c r="I78" s="200"/>
      <c r="J78" s="200"/>
      <c r="K78" s="200"/>
      <c r="L78" s="200"/>
      <c r="M78" s="200"/>
      <c r="N78" s="200"/>
      <c r="O78" s="200"/>
      <c r="P78" s="200"/>
      <c r="Q78" s="200"/>
      <c r="R78" s="200"/>
      <c r="S78" s="200"/>
      <c r="T78" s="200"/>
      <c r="U78" s="200"/>
      <c r="V78" s="200"/>
      <c r="W78" s="200"/>
      <c r="X78" s="200"/>
      <c r="Y78" s="200"/>
      <c r="Z78" s="200"/>
    </row>
    <row r="79" spans="1:26" ht="15.75" customHeight="1">
      <c r="A79" s="200"/>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row>
    <row r="80" spans="1:26" ht="15.75" customHeight="1">
      <c r="A80" s="200"/>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row>
    <row r="81" spans="1:26" ht="15.75" customHeight="1">
      <c r="A81" s="200"/>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row>
    <row r="82" spans="1:26" ht="15.75" customHeight="1">
      <c r="A82" s="200"/>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row>
    <row r="83" spans="1:26" ht="15.75" customHeight="1">
      <c r="A83" s="200"/>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row>
    <row r="84" spans="1:26" ht="15.75" customHeight="1">
      <c r="A84" s="20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row>
    <row r="85" spans="1:26" ht="15.75" customHeight="1">
      <c r="A85" s="200"/>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row>
    <row r="86" spans="1:26" ht="15.75" customHeight="1">
      <c r="A86" s="200"/>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row>
    <row r="87" spans="1:26" ht="15.75" customHeight="1">
      <c r="A87" s="200"/>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row>
    <row r="88" spans="1:26" ht="15.75" customHeight="1">
      <c r="A88" s="20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row>
    <row r="89" spans="1:26" ht="15.75" customHeight="1">
      <c r="A89" s="200"/>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row>
    <row r="90" spans="1:26" ht="15.75" customHeight="1">
      <c r="A90" s="200"/>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row>
    <row r="91" spans="1:26" ht="15.75" customHeight="1">
      <c r="A91" s="200"/>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row>
    <row r="92" spans="1:26" ht="15.75" customHeight="1">
      <c r="A92" s="200"/>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row>
    <row r="93" spans="1:26" ht="15.75" customHeight="1">
      <c r="A93" s="200"/>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row>
    <row r="94" spans="1:26" ht="15.75" customHeight="1">
      <c r="A94" s="200"/>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row>
    <row r="95" spans="1:26" ht="15.75" customHeight="1">
      <c r="A95" s="200"/>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row>
    <row r="96" spans="1:26" ht="15.75" customHeight="1">
      <c r="A96" s="2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row>
    <row r="97" spans="1:26" ht="15.75" customHeight="1">
      <c r="A97" s="200"/>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row>
    <row r="98" spans="1:26" ht="15.75" customHeight="1">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row>
    <row r="99" spans="1:26" ht="15.75" customHeight="1">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row>
    <row r="100" spans="1:26" ht="15.75" customHeight="1">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row>
    <row r="101" spans="1:26" ht="15.75" customHeight="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row>
    <row r="102" spans="1:26" ht="15.75" customHeight="1">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row>
    <row r="103" spans="1:26" ht="15.75" customHeight="1">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row>
    <row r="104" spans="1:26" ht="15.75" customHeight="1">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row>
    <row r="105" spans="1:26" ht="15.75" customHeight="1">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row>
    <row r="106" spans="1:26" ht="15.75" customHeight="1">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row>
    <row r="107" spans="1:26" ht="15.75" customHeight="1">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row>
    <row r="108" spans="1:26" ht="15.75" customHeight="1">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row>
    <row r="109" spans="1:26" ht="15.75" customHeight="1">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row>
    <row r="110" spans="1:26" ht="15.75" customHeight="1">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row>
    <row r="111" spans="1:26" ht="15.75" customHeight="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row>
    <row r="112" spans="1:26" ht="15.75" customHeight="1">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row>
    <row r="113" spans="1:26" ht="15.75" customHeight="1">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row>
    <row r="114" spans="1:26" ht="15.75" customHeight="1">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row>
    <row r="115" spans="1:26" ht="15.75" customHeight="1">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row>
    <row r="116" spans="1:26" ht="15.75" customHeight="1">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row>
    <row r="117" spans="1:26" ht="15.75" customHeight="1">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row>
    <row r="118" spans="1:26" ht="15.75" customHeight="1">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row>
    <row r="119" spans="1:26" ht="15.75" customHeight="1">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row>
    <row r="120" spans="1:26" ht="15.75" customHeight="1">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row>
    <row r="121" spans="1:26" ht="15.75" customHeight="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row>
    <row r="122" spans="1:26" ht="15.75" customHeight="1">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row>
    <row r="123" spans="1:26" ht="15.75" customHeight="1">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row>
    <row r="124" spans="1:26" ht="15.75" customHeight="1">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row>
    <row r="125" spans="1:26" ht="15.75" customHeight="1">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row>
    <row r="126" spans="1:26" ht="15.75" customHeight="1">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row>
    <row r="127" spans="1:26" ht="15.75" customHeight="1">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row>
    <row r="128" spans="1:26" ht="15.75" customHeight="1">
      <c r="A128" s="200"/>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row>
    <row r="129" spans="1:26" ht="15.75" customHeight="1">
      <c r="A129" s="200"/>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row>
    <row r="130" spans="1:26" ht="15.75" customHeight="1">
      <c r="A130" s="200"/>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row>
    <row r="131" spans="1:26" ht="15.75" customHeight="1">
      <c r="A131" s="200"/>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row>
    <row r="132" spans="1:26" ht="15.75" customHeight="1">
      <c r="A132" s="200"/>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row>
    <row r="133" spans="1:26" ht="15.75" customHeight="1">
      <c r="A133" s="200"/>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row>
    <row r="134" spans="1:26" ht="15.75" customHeight="1">
      <c r="A134" s="200"/>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row>
    <row r="135" spans="1:26" ht="15.75" customHeight="1">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row>
    <row r="136" spans="1:26" ht="15.75" customHeight="1">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row>
    <row r="137" spans="1:26" ht="15.75" customHeight="1">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row>
    <row r="138" spans="1:26" ht="15.75" customHeight="1">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row>
    <row r="139" spans="1:26" ht="15.75" customHeight="1">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row>
    <row r="140" spans="1:26" ht="15.75" customHeight="1">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row>
    <row r="141" spans="1:26" ht="15.75" customHeight="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row>
    <row r="142" spans="1:26" ht="15.75" customHeight="1">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row>
    <row r="143" spans="1:26" ht="15.75" customHeight="1">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row>
    <row r="144" spans="1:26" ht="15.75" customHeight="1">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row>
    <row r="145" spans="1:26" ht="15.75" customHeight="1">
      <c r="A145" s="200"/>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row>
    <row r="146" spans="1:26" ht="15.75" customHeight="1">
      <c r="A146" s="200"/>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row>
    <row r="147" spans="1:26" ht="15.75" customHeight="1">
      <c r="A147" s="200"/>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row>
    <row r="148" spans="1:26" ht="15.75" customHeight="1">
      <c r="A148" s="200"/>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row>
    <row r="149" spans="1:26" ht="15.75" customHeight="1">
      <c r="A149" s="200"/>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row>
    <row r="150" spans="1:26" ht="15.75" customHeight="1">
      <c r="A150" s="20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row>
    <row r="151" spans="1:26" ht="15.75" customHeight="1">
      <c r="A151" s="200"/>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row>
    <row r="152" spans="1:26" ht="15.75" customHeight="1">
      <c r="A152" s="200"/>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row>
    <row r="153" spans="1:26" ht="15.75" customHeight="1">
      <c r="A153" s="200"/>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row>
    <row r="154" spans="1:26" ht="15.75" customHeight="1">
      <c r="A154" s="200"/>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row>
    <row r="155" spans="1:26" ht="15.75" customHeight="1">
      <c r="A155" s="200"/>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row>
    <row r="156" spans="1:26" ht="15.75" customHeight="1">
      <c r="A156" s="200"/>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row>
    <row r="157" spans="1:26" ht="15.75" customHeight="1">
      <c r="A157" s="200"/>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row>
    <row r="158" spans="1:26" ht="15.75" customHeight="1">
      <c r="A158" s="200"/>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row>
    <row r="159" spans="1:26" ht="15.75" customHeight="1">
      <c r="A159" s="200"/>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row>
    <row r="160" spans="1:26" ht="15.75" customHeight="1">
      <c r="A160" s="20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row>
    <row r="161" spans="1:26" ht="15.75" customHeight="1">
      <c r="A161" s="200"/>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row>
    <row r="162" spans="1:26" ht="15.75" customHeight="1">
      <c r="A162" s="200"/>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row>
    <row r="163" spans="1:26" ht="15.75" customHeight="1">
      <c r="A163" s="200"/>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row>
    <row r="164" spans="1:26" ht="15.75" customHeight="1">
      <c r="A164" s="200"/>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row>
    <row r="165" spans="1:26" ht="15.75" customHeight="1">
      <c r="A165" s="200"/>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row>
    <row r="166" spans="1:26" ht="15.75" customHeight="1">
      <c r="A166" s="200"/>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row>
    <row r="167" spans="1:26" ht="15.75" customHeight="1">
      <c r="A167" s="200"/>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row>
    <row r="168" spans="1:26" ht="15.75" customHeight="1">
      <c r="A168" s="200"/>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row>
    <row r="169" spans="1:26" ht="15.75" customHeight="1">
      <c r="A169" s="2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row>
    <row r="170" spans="1:26" ht="15.75" customHeight="1">
      <c r="A170" s="20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row>
    <row r="171" spans="1:26" ht="15.75" customHeight="1">
      <c r="A171" s="200"/>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row>
    <row r="172" spans="1:26" ht="15.75" customHeight="1">
      <c r="A172" s="200"/>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row>
    <row r="173" spans="1:26" ht="15.75" customHeight="1">
      <c r="A173" s="200"/>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row>
    <row r="174" spans="1:26" ht="15.75" customHeight="1">
      <c r="A174" s="20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row>
    <row r="175" spans="1:26" ht="15.75" customHeight="1">
      <c r="A175" s="200"/>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row>
    <row r="176" spans="1:26" ht="15.75" customHeight="1">
      <c r="A176" s="200"/>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row>
    <row r="177" spans="1:26" ht="15.75" customHeight="1">
      <c r="A177" s="200"/>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row>
    <row r="178" spans="1:26" ht="15.75" customHeight="1">
      <c r="A178" s="2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row>
    <row r="179" spans="1:26" ht="15.75" customHeight="1">
      <c r="A179" s="200"/>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row>
    <row r="180" spans="1:26" ht="15.75" customHeight="1">
      <c r="A180" s="20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row>
    <row r="181" spans="1:26" ht="15.75" customHeight="1">
      <c r="A181" s="200"/>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row>
    <row r="182" spans="1:26" ht="15.75" customHeight="1">
      <c r="A182" s="200"/>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row>
    <row r="183" spans="1:26" ht="15.75" customHeight="1">
      <c r="A183" s="200"/>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row>
    <row r="184" spans="1:26" ht="15.75" customHeight="1">
      <c r="A184" s="200"/>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row>
    <row r="185" spans="1:26" ht="15.75" customHeight="1">
      <c r="A185" s="200"/>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row>
    <row r="186" spans="1:26" ht="15.75" customHeight="1">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row>
    <row r="187" spans="1:26" ht="15.75" customHeight="1">
      <c r="A187" s="200"/>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row>
    <row r="188" spans="1:26" ht="15.75" customHeight="1">
      <c r="A188" s="200"/>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row>
    <row r="189" spans="1:26" ht="15.75" customHeight="1">
      <c r="A189" s="200"/>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row>
    <row r="190" spans="1:26" ht="15.75" customHeight="1">
      <c r="A190" s="20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row>
    <row r="191" spans="1:26" ht="15.75" customHeight="1">
      <c r="A191" s="200"/>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row>
    <row r="192" spans="1:26" ht="15.75" customHeight="1">
      <c r="A192" s="200"/>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row>
    <row r="193" spans="1:26" ht="15.75" customHeight="1">
      <c r="A193" s="200"/>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row>
    <row r="194" spans="1:26" ht="15.75" customHeight="1">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row>
    <row r="195" spans="1:26" ht="15.75" customHeight="1">
      <c r="A195" s="200"/>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row>
    <row r="196" spans="1:26" ht="15.75" customHeight="1">
      <c r="A196" s="200"/>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row>
    <row r="197" spans="1:26" ht="15.75" customHeight="1">
      <c r="A197" s="200"/>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row>
    <row r="198" spans="1:26" ht="15.75" customHeight="1">
      <c r="A198" s="200"/>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row>
    <row r="199" spans="1:26" ht="15.75" customHeight="1">
      <c r="A199" s="200"/>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row>
    <row r="200" spans="1:26" ht="15.75" customHeight="1">
      <c r="A200" s="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row>
    <row r="201" spans="1:26" ht="15.75" customHeight="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row>
    <row r="202" spans="1:26" ht="15.75" customHeight="1">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row>
    <row r="203" spans="1:26" ht="15.75" customHeight="1">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row>
    <row r="204" spans="1:26" ht="15.75" customHeight="1">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row>
    <row r="205" spans="1:26" ht="15.75" customHeight="1">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row>
    <row r="206" spans="1:26" ht="15.75" customHeight="1">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row>
    <row r="207" spans="1:26" ht="15.75" customHeight="1">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row>
    <row r="208" spans="1:26" ht="15.75" customHeight="1">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row>
    <row r="209" spans="1:26" ht="15.75" customHeight="1">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row>
    <row r="210" spans="1:26" ht="15.75" customHeight="1">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row>
    <row r="211" spans="1:26" ht="15.75" customHeight="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row>
    <row r="212" spans="1:26" ht="15.75" customHeight="1">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row>
    <row r="213" spans="1:26" ht="15.75" customHeight="1">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row>
    <row r="214" spans="1:26" ht="15.75" customHeight="1">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row>
    <row r="215" spans="1:26" ht="15.75" customHeight="1">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row>
    <row r="216" spans="1:26" ht="15.75" customHeight="1">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row>
    <row r="217" spans="1:26" ht="15.75" customHeight="1">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row>
    <row r="218" spans="1:26" ht="15.75" customHeight="1">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row>
    <row r="219" spans="1:26" ht="15.75" customHeight="1">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row>
    <row r="220" spans="1:26" ht="15.75" customHeight="1">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sheetPr>
  <dimension ref="A1:Z1000"/>
  <sheetViews>
    <sheetView workbookViewId="0">
      <pane ySplit="2" topLeftCell="A3" activePane="bottomLeft" state="frozen"/>
      <selection pane="bottomLeft" activeCell="B4" sqref="B4"/>
    </sheetView>
  </sheetViews>
  <sheetFormatPr defaultColWidth="10.109375" defaultRowHeight="15" customHeight="1"/>
  <cols>
    <col min="1" max="1" width="7.21875" customWidth="1"/>
    <col min="2" max="2" width="33.6640625" customWidth="1"/>
    <col min="3" max="3" width="8.44140625" customWidth="1"/>
    <col min="4" max="4" width="7.77734375" customWidth="1"/>
    <col min="5" max="5" width="6.77734375" customWidth="1"/>
    <col min="6" max="6" width="36" customWidth="1"/>
    <col min="7" max="7" width="17.21875" customWidth="1"/>
    <col min="8" max="26" width="7.21875" customWidth="1"/>
  </cols>
  <sheetData>
    <row r="1" spans="1:26" ht="12.75" customHeight="1">
      <c r="A1" s="364" t="s">
        <v>1475</v>
      </c>
      <c r="B1" s="386"/>
      <c r="C1" s="386"/>
      <c r="D1" s="386"/>
      <c r="E1" s="386"/>
      <c r="F1" s="382"/>
      <c r="G1" s="236" t="e">
        <f>'2.Chi phí KT'!D8</f>
        <v>#REF!</v>
      </c>
      <c r="H1" s="237"/>
      <c r="I1" s="237"/>
      <c r="J1" s="237"/>
      <c r="K1" s="237"/>
      <c r="L1" s="237"/>
      <c r="M1" s="237"/>
      <c r="N1" s="237"/>
      <c r="O1" s="237"/>
      <c r="P1" s="237"/>
      <c r="Q1" s="237"/>
      <c r="R1" s="237"/>
      <c r="S1" s="237"/>
      <c r="T1" s="237"/>
      <c r="U1" s="237"/>
      <c r="V1" s="237"/>
      <c r="W1" s="237"/>
      <c r="X1" s="237"/>
      <c r="Y1" s="237"/>
      <c r="Z1" s="237"/>
    </row>
    <row r="2" spans="1:26" ht="12.75" customHeight="1">
      <c r="A2" s="238" t="s">
        <v>116</v>
      </c>
      <c r="B2" s="239" t="s">
        <v>1476</v>
      </c>
      <c r="C2" s="238" t="s">
        <v>1320</v>
      </c>
      <c r="D2" s="238" t="s">
        <v>1381</v>
      </c>
      <c r="E2" s="238" t="s">
        <v>1382</v>
      </c>
      <c r="F2" s="52" t="s">
        <v>1324</v>
      </c>
      <c r="G2" s="237"/>
      <c r="H2" s="237"/>
      <c r="I2" s="237"/>
      <c r="J2" s="237"/>
      <c r="K2" s="237"/>
      <c r="L2" s="237"/>
      <c r="M2" s="237"/>
      <c r="N2" s="237"/>
      <c r="O2" s="237"/>
      <c r="P2" s="237"/>
      <c r="Q2" s="237"/>
      <c r="R2" s="237"/>
      <c r="S2" s="237"/>
      <c r="T2" s="237"/>
      <c r="U2" s="237"/>
      <c r="V2" s="237"/>
      <c r="W2" s="237"/>
      <c r="X2" s="237"/>
      <c r="Y2" s="237"/>
      <c r="Z2" s="237"/>
    </row>
    <row r="3" spans="1:26" ht="12.75" customHeight="1">
      <c r="A3" s="238" t="s">
        <v>6</v>
      </c>
      <c r="B3" s="238" t="s">
        <v>1477</v>
      </c>
      <c r="C3" s="238"/>
      <c r="D3" s="238"/>
      <c r="E3" s="238"/>
      <c r="F3" s="238"/>
      <c r="G3" s="237"/>
      <c r="H3" s="237"/>
      <c r="I3" s="237"/>
      <c r="J3" s="237"/>
      <c r="K3" s="237"/>
      <c r="L3" s="237"/>
      <c r="M3" s="237"/>
      <c r="N3" s="237"/>
      <c r="O3" s="237"/>
      <c r="P3" s="237"/>
      <c r="Q3" s="237"/>
      <c r="R3" s="237"/>
      <c r="S3" s="237"/>
      <c r="T3" s="237"/>
      <c r="U3" s="237"/>
      <c r="V3" s="237"/>
      <c r="W3" s="237"/>
      <c r="X3" s="237"/>
      <c r="Y3" s="237"/>
      <c r="Z3" s="237"/>
    </row>
    <row r="4" spans="1:26" ht="34.5" customHeight="1">
      <c r="A4" s="240" t="s">
        <v>1478</v>
      </c>
      <c r="B4" s="241" t="s">
        <v>1479</v>
      </c>
      <c r="C4" s="242">
        <v>2</v>
      </c>
      <c r="D4" s="240">
        <v>2</v>
      </c>
      <c r="E4" s="243">
        <f t="shared" ref="E4:E10" si="0">D4*C4</f>
        <v>4</v>
      </c>
      <c r="F4" s="56" t="s">
        <v>1480</v>
      </c>
      <c r="G4" s="237"/>
      <c r="H4" s="237"/>
      <c r="I4" s="237"/>
      <c r="J4" s="237"/>
      <c r="K4" s="237"/>
      <c r="L4" s="237"/>
      <c r="M4" s="237"/>
      <c r="N4" s="237"/>
      <c r="O4" s="237"/>
      <c r="P4" s="237"/>
      <c r="Q4" s="237"/>
      <c r="R4" s="237"/>
      <c r="S4" s="237"/>
      <c r="T4" s="237"/>
      <c r="U4" s="237"/>
      <c r="V4" s="237"/>
      <c r="W4" s="237"/>
      <c r="X4" s="237"/>
      <c r="Y4" s="237"/>
      <c r="Z4" s="237"/>
    </row>
    <row r="5" spans="1:26" ht="34.5" customHeight="1">
      <c r="A5" s="240" t="s">
        <v>1481</v>
      </c>
      <c r="B5" s="241" t="s">
        <v>1482</v>
      </c>
      <c r="C5" s="242">
        <v>2</v>
      </c>
      <c r="D5" s="240">
        <v>2</v>
      </c>
      <c r="E5" s="243">
        <f t="shared" si="0"/>
        <v>4</v>
      </c>
      <c r="F5" s="56" t="s">
        <v>1483</v>
      </c>
      <c r="G5" s="237"/>
      <c r="H5" s="237"/>
      <c r="I5" s="237"/>
      <c r="J5" s="237"/>
      <c r="K5" s="237"/>
      <c r="L5" s="237"/>
      <c r="M5" s="237"/>
      <c r="N5" s="237"/>
      <c r="O5" s="237"/>
      <c r="P5" s="237"/>
      <c r="Q5" s="237"/>
      <c r="R5" s="237"/>
      <c r="S5" s="237"/>
      <c r="T5" s="237"/>
      <c r="U5" s="237"/>
      <c r="V5" s="237"/>
      <c r="W5" s="237"/>
      <c r="X5" s="237"/>
      <c r="Y5" s="237"/>
      <c r="Z5" s="237"/>
    </row>
    <row r="6" spans="1:26" ht="34.5" customHeight="1">
      <c r="A6" s="240" t="s">
        <v>1484</v>
      </c>
      <c r="B6" s="241" t="s">
        <v>1485</v>
      </c>
      <c r="C6" s="242">
        <v>1</v>
      </c>
      <c r="D6" s="240">
        <v>2</v>
      </c>
      <c r="E6" s="243">
        <f t="shared" si="0"/>
        <v>2</v>
      </c>
      <c r="F6" s="56" t="s">
        <v>1486</v>
      </c>
      <c r="G6" s="237"/>
      <c r="H6" s="237"/>
      <c r="I6" s="237"/>
      <c r="J6" s="237"/>
      <c r="K6" s="237"/>
      <c r="L6" s="237"/>
      <c r="M6" s="237"/>
      <c r="N6" s="237"/>
      <c r="O6" s="237"/>
      <c r="P6" s="237"/>
      <c r="Q6" s="237"/>
      <c r="R6" s="237"/>
      <c r="S6" s="237"/>
      <c r="T6" s="237"/>
      <c r="U6" s="237"/>
      <c r="V6" s="237"/>
      <c r="W6" s="237"/>
      <c r="X6" s="237"/>
      <c r="Y6" s="237"/>
      <c r="Z6" s="237"/>
    </row>
    <row r="7" spans="1:26" ht="34.5" customHeight="1">
      <c r="A7" s="240" t="s">
        <v>1487</v>
      </c>
      <c r="B7" s="241" t="s">
        <v>1488</v>
      </c>
      <c r="C7" s="242">
        <v>2</v>
      </c>
      <c r="D7" s="240" t="e">
        <f>'[59]1.4'!D5</f>
        <v>#REF!</v>
      </c>
      <c r="E7" s="243" t="e">
        <f t="shared" si="0"/>
        <v>#REF!</v>
      </c>
      <c r="F7" s="56" t="s">
        <v>1489</v>
      </c>
      <c r="G7" s="237"/>
      <c r="H7" s="237"/>
      <c r="I7" s="237"/>
      <c r="J7" s="237"/>
      <c r="K7" s="237"/>
      <c r="L7" s="237"/>
      <c r="M7" s="237"/>
      <c r="N7" s="237"/>
      <c r="O7" s="237"/>
      <c r="P7" s="237"/>
      <c r="Q7" s="237"/>
      <c r="R7" s="237"/>
      <c r="S7" s="237"/>
      <c r="T7" s="237"/>
      <c r="U7" s="237"/>
      <c r="V7" s="237"/>
      <c r="W7" s="237"/>
      <c r="X7" s="237"/>
      <c r="Y7" s="237"/>
      <c r="Z7" s="237"/>
    </row>
    <row r="8" spans="1:26" ht="34.5" customHeight="1">
      <c r="A8" s="240" t="s">
        <v>1490</v>
      </c>
      <c r="B8" s="241" t="s">
        <v>1491</v>
      </c>
      <c r="C8" s="242">
        <v>1</v>
      </c>
      <c r="D8" s="240">
        <v>2</v>
      </c>
      <c r="E8" s="243">
        <f t="shared" si="0"/>
        <v>2</v>
      </c>
      <c r="F8" s="56" t="s">
        <v>1492</v>
      </c>
      <c r="G8" s="237"/>
      <c r="H8" s="237"/>
      <c r="I8" s="237"/>
      <c r="J8" s="237"/>
      <c r="K8" s="237"/>
      <c r="L8" s="237"/>
      <c r="M8" s="237"/>
      <c r="N8" s="237"/>
      <c r="O8" s="237"/>
      <c r="P8" s="237"/>
      <c r="Q8" s="237"/>
      <c r="R8" s="237"/>
      <c r="S8" s="237"/>
      <c r="T8" s="237"/>
      <c r="U8" s="237"/>
      <c r="V8" s="237"/>
      <c r="W8" s="237"/>
      <c r="X8" s="237"/>
      <c r="Y8" s="237"/>
      <c r="Z8" s="237"/>
    </row>
    <row r="9" spans="1:26" ht="34.5" customHeight="1">
      <c r="A9" s="240" t="s">
        <v>1493</v>
      </c>
      <c r="B9" s="241" t="s">
        <v>1494</v>
      </c>
      <c r="C9" s="242">
        <v>1</v>
      </c>
      <c r="D9" s="240">
        <v>2</v>
      </c>
      <c r="E9" s="243">
        <f t="shared" si="0"/>
        <v>2</v>
      </c>
      <c r="F9" s="56" t="s">
        <v>1495</v>
      </c>
      <c r="G9" s="237"/>
      <c r="H9" s="237"/>
      <c r="I9" s="237"/>
      <c r="J9" s="237"/>
      <c r="K9" s="237"/>
      <c r="L9" s="237"/>
      <c r="M9" s="237"/>
      <c r="N9" s="237"/>
      <c r="O9" s="237"/>
      <c r="P9" s="237"/>
      <c r="Q9" s="237"/>
      <c r="R9" s="237"/>
      <c r="S9" s="237"/>
      <c r="T9" s="237"/>
      <c r="U9" s="237"/>
      <c r="V9" s="237"/>
      <c r="W9" s="237"/>
      <c r="X9" s="237"/>
      <c r="Y9" s="237"/>
      <c r="Z9" s="237"/>
    </row>
    <row r="10" spans="1:26" ht="34.5" customHeight="1">
      <c r="A10" s="240" t="s">
        <v>1496</v>
      </c>
      <c r="B10" s="241" t="s">
        <v>1497</v>
      </c>
      <c r="C10" s="242">
        <v>1</v>
      </c>
      <c r="D10" s="240">
        <v>2</v>
      </c>
      <c r="E10" s="243">
        <f t="shared" si="0"/>
        <v>2</v>
      </c>
      <c r="F10" s="56" t="s">
        <v>1498</v>
      </c>
      <c r="G10" s="237"/>
      <c r="H10" s="237"/>
      <c r="I10" s="237"/>
      <c r="J10" s="237"/>
      <c r="K10" s="237"/>
      <c r="L10" s="237"/>
      <c r="M10" s="237"/>
      <c r="N10" s="237"/>
      <c r="O10" s="237"/>
      <c r="P10" s="237"/>
      <c r="Q10" s="237"/>
      <c r="R10" s="237"/>
      <c r="S10" s="237"/>
      <c r="T10" s="237"/>
      <c r="U10" s="237"/>
      <c r="V10" s="237"/>
      <c r="W10" s="237"/>
      <c r="X10" s="237"/>
      <c r="Y10" s="237"/>
      <c r="Z10" s="237"/>
    </row>
    <row r="11" spans="1:26" ht="12.75" customHeight="1">
      <c r="A11" s="243"/>
      <c r="B11" s="239" t="s">
        <v>1499</v>
      </c>
      <c r="C11" s="243" t="s">
        <v>1500</v>
      </c>
      <c r="D11" s="238"/>
      <c r="E11" s="238" t="e">
        <f>SUM(E3:E10)</f>
        <v>#REF!</v>
      </c>
      <c r="F11" s="244"/>
      <c r="G11" s="237"/>
      <c r="H11" s="237"/>
      <c r="I11" s="237"/>
      <c r="J11" s="237"/>
      <c r="K11" s="237"/>
      <c r="L11" s="237"/>
      <c r="M11" s="237"/>
      <c r="N11" s="237"/>
      <c r="O11" s="237"/>
      <c r="P11" s="237"/>
      <c r="Q11" s="237"/>
      <c r="R11" s="237"/>
      <c r="S11" s="237"/>
      <c r="T11" s="237"/>
      <c r="U11" s="237"/>
      <c r="V11" s="237"/>
      <c r="W11" s="237"/>
      <c r="X11" s="237"/>
      <c r="Y11" s="237"/>
      <c r="Z11" s="237"/>
    </row>
    <row r="12" spans="1:26" ht="12.75" customHeight="1">
      <c r="A12" s="245"/>
      <c r="B12" s="239" t="s">
        <v>17</v>
      </c>
      <c r="C12" s="155" t="s">
        <v>1501</v>
      </c>
      <c r="D12" s="245"/>
      <c r="E12" s="238" t="e">
        <f>0.6+0.014*E11</f>
        <v>#REF!</v>
      </c>
      <c r="F12" s="244"/>
      <c r="G12" s="237"/>
      <c r="H12" s="237"/>
      <c r="I12" s="237"/>
      <c r="J12" s="237"/>
      <c r="K12" s="237"/>
      <c r="L12" s="237"/>
      <c r="M12" s="237"/>
      <c r="N12" s="237"/>
      <c r="O12" s="237"/>
      <c r="P12" s="237"/>
      <c r="Q12" s="237"/>
      <c r="R12" s="237"/>
      <c r="S12" s="237"/>
      <c r="T12" s="237"/>
      <c r="U12" s="237"/>
      <c r="V12" s="237"/>
      <c r="W12" s="237"/>
      <c r="X12" s="237"/>
      <c r="Y12" s="237"/>
      <c r="Z12" s="237"/>
    </row>
    <row r="13" spans="1:26" ht="12.75" customHeight="1">
      <c r="A13" s="237"/>
      <c r="B13" s="246"/>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row>
    <row r="14" spans="1:26" ht="12.75" customHeight="1">
      <c r="A14" s="237"/>
      <c r="B14" s="246"/>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row>
    <row r="15" spans="1:26" ht="12.75" customHeight="1">
      <c r="A15" s="237"/>
      <c r="B15" s="246"/>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row>
    <row r="16" spans="1:26" ht="12.75" customHeight="1">
      <c r="A16" s="237"/>
      <c r="B16" s="246"/>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row>
    <row r="17" spans="1:26" ht="12.75" customHeight="1">
      <c r="A17" s="237"/>
      <c r="B17" s="246"/>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row>
    <row r="18" spans="1:26" ht="12.75" customHeight="1">
      <c r="A18" s="237"/>
      <c r="B18" s="246"/>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row>
    <row r="19" spans="1:26" ht="12.75" customHeight="1">
      <c r="A19" s="237"/>
      <c r="B19" s="246"/>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row>
    <row r="20" spans="1:26" ht="12.75" customHeight="1">
      <c r="A20" s="237"/>
      <c r="B20" s="246"/>
      <c r="C20" s="237"/>
      <c r="D20" s="237"/>
      <c r="E20" s="237"/>
      <c r="F20" s="237"/>
      <c r="G20" s="237"/>
      <c r="H20" s="237"/>
      <c r="I20" s="237"/>
      <c r="J20" s="237"/>
      <c r="K20" s="237"/>
      <c r="L20" s="237"/>
      <c r="M20" s="237"/>
      <c r="N20" s="237"/>
      <c r="O20" s="237"/>
      <c r="P20" s="237"/>
      <c r="Q20" s="237"/>
      <c r="R20" s="237"/>
      <c r="S20" s="237"/>
      <c r="T20" s="237"/>
      <c r="U20" s="237"/>
      <c r="V20" s="237"/>
      <c r="W20" s="237"/>
      <c r="X20" s="237"/>
      <c r="Y20" s="237"/>
      <c r="Z20" s="237"/>
    </row>
    <row r="21" spans="1:26" ht="12.75" customHeight="1">
      <c r="A21" s="237"/>
      <c r="B21" s="246"/>
      <c r="C21" s="237"/>
      <c r="D21" s="237"/>
      <c r="E21" s="237"/>
      <c r="F21" s="237"/>
      <c r="G21" s="237"/>
      <c r="H21" s="237"/>
      <c r="I21" s="237"/>
      <c r="J21" s="237"/>
      <c r="K21" s="237"/>
      <c r="L21" s="237"/>
      <c r="M21" s="237"/>
      <c r="N21" s="237"/>
      <c r="O21" s="237"/>
      <c r="P21" s="237"/>
      <c r="Q21" s="237"/>
      <c r="R21" s="237"/>
      <c r="S21" s="237"/>
      <c r="T21" s="237"/>
      <c r="U21" s="237"/>
      <c r="V21" s="237"/>
      <c r="W21" s="237"/>
      <c r="X21" s="237"/>
      <c r="Y21" s="237"/>
      <c r="Z21" s="237"/>
    </row>
    <row r="22" spans="1:26" ht="12.75" customHeight="1">
      <c r="A22" s="237"/>
      <c r="B22" s="246"/>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row>
    <row r="23" spans="1:26" ht="12.75" customHeight="1">
      <c r="A23" s="237"/>
      <c r="B23" s="246"/>
      <c r="C23" s="237"/>
      <c r="D23" s="237"/>
      <c r="E23" s="237"/>
      <c r="F23" s="237"/>
      <c r="G23" s="237"/>
      <c r="H23" s="237"/>
      <c r="I23" s="237"/>
      <c r="J23" s="237"/>
      <c r="K23" s="237"/>
      <c r="L23" s="237"/>
      <c r="M23" s="237"/>
      <c r="N23" s="237"/>
      <c r="O23" s="237"/>
      <c r="P23" s="237"/>
      <c r="Q23" s="237"/>
      <c r="R23" s="237"/>
      <c r="S23" s="237"/>
      <c r="T23" s="237"/>
      <c r="U23" s="237"/>
      <c r="V23" s="237"/>
      <c r="W23" s="237"/>
      <c r="X23" s="237"/>
      <c r="Y23" s="237"/>
      <c r="Z23" s="237"/>
    </row>
    <row r="24" spans="1:26" ht="12.75" customHeight="1">
      <c r="A24" s="237"/>
      <c r="B24" s="246"/>
      <c r="C24" s="237"/>
      <c r="D24" s="237"/>
      <c r="E24" s="237"/>
      <c r="F24" s="237"/>
      <c r="G24" s="237"/>
      <c r="H24" s="237"/>
      <c r="I24" s="237"/>
      <c r="J24" s="237"/>
      <c r="K24" s="237"/>
      <c r="L24" s="237"/>
      <c r="M24" s="237"/>
      <c r="N24" s="237"/>
      <c r="O24" s="237"/>
      <c r="P24" s="237"/>
      <c r="Q24" s="237"/>
      <c r="R24" s="237"/>
      <c r="S24" s="237"/>
      <c r="T24" s="237"/>
      <c r="U24" s="237"/>
      <c r="V24" s="237"/>
      <c r="W24" s="237"/>
      <c r="X24" s="237"/>
      <c r="Y24" s="237"/>
      <c r="Z24" s="237"/>
    </row>
    <row r="25" spans="1:26" ht="12.75" customHeight="1">
      <c r="A25" s="237"/>
      <c r="B25" s="246"/>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row>
    <row r="26" spans="1:26" ht="12.75" customHeight="1">
      <c r="A26" s="237"/>
      <c r="B26" s="246"/>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row>
    <row r="27" spans="1:26" ht="12.75" customHeight="1">
      <c r="A27" s="237"/>
      <c r="B27" s="246"/>
      <c r="C27" s="237"/>
      <c r="D27" s="237"/>
      <c r="E27" s="237"/>
      <c r="F27" s="237"/>
      <c r="G27" s="237"/>
      <c r="H27" s="237"/>
      <c r="I27" s="237"/>
      <c r="J27" s="237"/>
      <c r="K27" s="237"/>
      <c r="L27" s="237"/>
      <c r="M27" s="237"/>
      <c r="N27" s="237"/>
      <c r="O27" s="237"/>
      <c r="P27" s="237"/>
      <c r="Q27" s="237"/>
      <c r="R27" s="237"/>
      <c r="S27" s="237"/>
      <c r="T27" s="237"/>
      <c r="U27" s="237"/>
      <c r="V27" s="237"/>
      <c r="W27" s="237"/>
      <c r="X27" s="237"/>
      <c r="Y27" s="237"/>
      <c r="Z27" s="237"/>
    </row>
    <row r="28" spans="1:26" ht="12.75" customHeight="1">
      <c r="A28" s="237"/>
      <c r="B28" s="246"/>
      <c r="C28" s="237"/>
      <c r="D28" s="237"/>
      <c r="E28" s="237"/>
      <c r="F28" s="237"/>
      <c r="G28" s="237"/>
      <c r="H28" s="237"/>
      <c r="I28" s="237"/>
      <c r="J28" s="237"/>
      <c r="K28" s="237"/>
      <c r="L28" s="237"/>
      <c r="M28" s="237"/>
      <c r="N28" s="237"/>
      <c r="O28" s="237"/>
      <c r="P28" s="237"/>
      <c r="Q28" s="237"/>
      <c r="R28" s="237"/>
      <c r="S28" s="237"/>
      <c r="T28" s="237"/>
      <c r="U28" s="237"/>
      <c r="V28" s="237"/>
      <c r="W28" s="237"/>
      <c r="X28" s="237"/>
      <c r="Y28" s="237"/>
      <c r="Z28" s="237"/>
    </row>
    <row r="29" spans="1:26" ht="12.75" customHeight="1">
      <c r="A29" s="237"/>
      <c r="B29" s="246"/>
      <c r="C29" s="237"/>
      <c r="D29" s="237"/>
      <c r="E29" s="237"/>
      <c r="F29" s="237"/>
      <c r="G29" s="237"/>
      <c r="H29" s="237"/>
      <c r="I29" s="237"/>
      <c r="J29" s="237"/>
      <c r="K29" s="237"/>
      <c r="L29" s="237"/>
      <c r="M29" s="237"/>
      <c r="N29" s="237"/>
      <c r="O29" s="237"/>
      <c r="P29" s="237"/>
      <c r="Q29" s="237"/>
      <c r="R29" s="237"/>
      <c r="S29" s="237"/>
      <c r="T29" s="237"/>
      <c r="U29" s="237"/>
      <c r="V29" s="237"/>
      <c r="W29" s="237"/>
      <c r="X29" s="237"/>
      <c r="Y29" s="237"/>
      <c r="Z29" s="237"/>
    </row>
    <row r="30" spans="1:26" ht="12.75" customHeight="1">
      <c r="A30" s="237"/>
      <c r="B30" s="246"/>
      <c r="C30" s="237"/>
      <c r="D30" s="237"/>
      <c r="E30" s="237"/>
      <c r="F30" s="237"/>
      <c r="G30" s="237"/>
      <c r="H30" s="237"/>
      <c r="I30" s="237"/>
      <c r="J30" s="237"/>
      <c r="K30" s="237"/>
      <c r="L30" s="237"/>
      <c r="M30" s="237"/>
      <c r="N30" s="237"/>
      <c r="O30" s="237"/>
      <c r="P30" s="237"/>
      <c r="Q30" s="237"/>
      <c r="R30" s="237"/>
      <c r="S30" s="237"/>
      <c r="T30" s="237"/>
      <c r="U30" s="237"/>
      <c r="V30" s="237"/>
      <c r="W30" s="237"/>
      <c r="X30" s="237"/>
      <c r="Y30" s="237"/>
      <c r="Z30" s="237"/>
    </row>
    <row r="31" spans="1:26" ht="12.75" customHeight="1">
      <c r="A31" s="237"/>
      <c r="B31" s="246"/>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row>
    <row r="32" spans="1:26" ht="12.75" customHeight="1">
      <c r="A32" s="237"/>
      <c r="B32" s="246"/>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row>
    <row r="33" spans="1:26" ht="12.75" customHeight="1">
      <c r="A33" s="237"/>
      <c r="B33" s="246"/>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row>
    <row r="34" spans="1:26" ht="12.75" customHeight="1">
      <c r="A34" s="237"/>
      <c r="B34" s="246"/>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row>
    <row r="35" spans="1:26" ht="12.75" customHeight="1">
      <c r="A35" s="237"/>
      <c r="B35" s="246"/>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row>
    <row r="36" spans="1:26" ht="12.75" customHeight="1">
      <c r="A36" s="237"/>
      <c r="B36" s="246"/>
      <c r="C36" s="237"/>
      <c r="D36" s="237"/>
      <c r="E36" s="237"/>
      <c r="F36" s="237"/>
      <c r="G36" s="237"/>
      <c r="H36" s="237"/>
      <c r="I36" s="237"/>
      <c r="J36" s="237"/>
      <c r="K36" s="237"/>
      <c r="L36" s="237"/>
      <c r="M36" s="237"/>
      <c r="N36" s="237"/>
      <c r="O36" s="237"/>
      <c r="P36" s="237"/>
      <c r="Q36" s="237"/>
      <c r="R36" s="237"/>
      <c r="S36" s="237"/>
      <c r="T36" s="237"/>
      <c r="U36" s="237"/>
      <c r="V36" s="237"/>
      <c r="W36" s="237"/>
      <c r="X36" s="237"/>
      <c r="Y36" s="237"/>
      <c r="Z36" s="237"/>
    </row>
    <row r="37" spans="1:26" ht="12.75" customHeight="1">
      <c r="A37" s="237"/>
      <c r="B37" s="246"/>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row>
    <row r="38" spans="1:26" ht="12.75" customHeight="1">
      <c r="A38" s="237"/>
      <c r="B38" s="246"/>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row>
    <row r="39" spans="1:26" ht="12.75" customHeight="1">
      <c r="A39" s="237"/>
      <c r="B39" s="246"/>
      <c r="C39" s="237"/>
      <c r="D39" s="237"/>
      <c r="E39" s="237"/>
      <c r="F39" s="237"/>
      <c r="G39" s="237"/>
      <c r="H39" s="237"/>
      <c r="I39" s="237"/>
      <c r="J39" s="237"/>
      <c r="K39" s="237"/>
      <c r="L39" s="237"/>
      <c r="M39" s="237"/>
      <c r="N39" s="237"/>
      <c r="O39" s="237"/>
      <c r="P39" s="237"/>
      <c r="Q39" s="237"/>
      <c r="R39" s="237"/>
      <c r="S39" s="237"/>
      <c r="T39" s="237"/>
      <c r="U39" s="237"/>
      <c r="V39" s="237"/>
      <c r="W39" s="237"/>
      <c r="X39" s="237"/>
      <c r="Y39" s="237"/>
      <c r="Z39" s="237"/>
    </row>
    <row r="40" spans="1:26" ht="12.75" customHeight="1">
      <c r="A40" s="237"/>
      <c r="B40" s="246"/>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row>
    <row r="41" spans="1:26" ht="12.75" customHeight="1">
      <c r="A41" s="237"/>
      <c r="B41" s="246"/>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row>
    <row r="42" spans="1:26" ht="12.75" customHeight="1">
      <c r="A42" s="237"/>
      <c r="B42" s="246"/>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row>
    <row r="43" spans="1:26" ht="12.75" customHeight="1">
      <c r="A43" s="237"/>
      <c r="B43" s="246"/>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row>
    <row r="44" spans="1:26" ht="12.75" customHeight="1">
      <c r="A44" s="237"/>
      <c r="B44" s="246"/>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row>
    <row r="45" spans="1:26" ht="12.75" customHeight="1">
      <c r="A45" s="237"/>
      <c r="B45" s="246"/>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row>
    <row r="46" spans="1:26" ht="12.75" customHeight="1">
      <c r="A46" s="237"/>
      <c r="B46" s="246"/>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row>
    <row r="47" spans="1:26" ht="12.75" customHeight="1">
      <c r="A47" s="237"/>
      <c r="B47" s="246"/>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row>
    <row r="48" spans="1:26" ht="12.75" customHeight="1">
      <c r="A48" s="237"/>
      <c r="B48" s="246"/>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row>
    <row r="49" spans="1:26" ht="12.75" customHeight="1">
      <c r="A49" s="237"/>
      <c r="B49" s="246"/>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row>
    <row r="50" spans="1:26" ht="12.75" customHeight="1">
      <c r="A50" s="237"/>
      <c r="B50" s="246"/>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row>
    <row r="51" spans="1:26" ht="12.75" customHeight="1">
      <c r="A51" s="237"/>
      <c r="B51" s="246"/>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row>
    <row r="52" spans="1:26" ht="12.75" customHeight="1">
      <c r="A52" s="237"/>
      <c r="B52" s="246"/>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row>
    <row r="53" spans="1:26" ht="12.75" customHeight="1">
      <c r="A53" s="237"/>
      <c r="B53" s="246"/>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row>
    <row r="54" spans="1:26" ht="12.75" customHeight="1">
      <c r="A54" s="237"/>
      <c r="B54" s="246"/>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row>
    <row r="55" spans="1:26" ht="12.75" customHeight="1">
      <c r="A55" s="237"/>
      <c r="B55" s="246"/>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row>
    <row r="56" spans="1:26" ht="12.75" customHeight="1">
      <c r="A56" s="237"/>
      <c r="B56" s="246"/>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row>
    <row r="57" spans="1:26" ht="12.75" customHeight="1">
      <c r="A57" s="237"/>
      <c r="B57" s="246"/>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row>
    <row r="58" spans="1:26" ht="12.75" customHeight="1">
      <c r="A58" s="237"/>
      <c r="B58" s="246"/>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row>
    <row r="59" spans="1:26" ht="12.75" customHeight="1">
      <c r="A59" s="237"/>
      <c r="B59" s="246"/>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row>
    <row r="60" spans="1:26" ht="12.75" customHeight="1">
      <c r="A60" s="237"/>
      <c r="B60" s="246"/>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row>
    <row r="61" spans="1:26" ht="12.75" customHeight="1">
      <c r="A61" s="237"/>
      <c r="B61" s="246"/>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row>
    <row r="62" spans="1:26" ht="12.75" customHeight="1">
      <c r="A62" s="237"/>
      <c r="B62" s="246"/>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row>
    <row r="63" spans="1:26" ht="12.75" customHeight="1">
      <c r="A63" s="237"/>
      <c r="B63" s="246"/>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row>
    <row r="64" spans="1:26" ht="12.75" customHeight="1">
      <c r="A64" s="237"/>
      <c r="B64" s="246"/>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row>
    <row r="65" spans="1:26" ht="12.75" customHeight="1">
      <c r="A65" s="237"/>
      <c r="B65" s="246"/>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row>
    <row r="66" spans="1:26" ht="12.75" customHeight="1">
      <c r="A66" s="237"/>
      <c r="B66" s="246"/>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row>
    <row r="67" spans="1:26" ht="12.75" customHeight="1">
      <c r="A67" s="237"/>
      <c r="B67" s="246"/>
      <c r="C67" s="237"/>
      <c r="D67" s="237"/>
      <c r="E67" s="237"/>
      <c r="F67" s="237"/>
      <c r="G67" s="237"/>
      <c r="H67" s="237"/>
      <c r="I67" s="237"/>
      <c r="J67" s="237"/>
      <c r="K67" s="237"/>
      <c r="L67" s="237"/>
      <c r="M67" s="237"/>
      <c r="N67" s="237"/>
      <c r="O67" s="237"/>
      <c r="P67" s="237"/>
      <c r="Q67" s="237"/>
      <c r="R67" s="237"/>
      <c r="S67" s="237"/>
      <c r="T67" s="237"/>
      <c r="U67" s="237"/>
      <c r="V67" s="237"/>
      <c r="W67" s="237"/>
      <c r="X67" s="237"/>
      <c r="Y67" s="237"/>
      <c r="Z67" s="237"/>
    </row>
    <row r="68" spans="1:26" ht="12.75" customHeight="1">
      <c r="A68" s="237"/>
      <c r="B68" s="246"/>
      <c r="C68" s="237"/>
      <c r="D68" s="237"/>
      <c r="E68" s="237"/>
      <c r="F68" s="237"/>
      <c r="G68" s="237"/>
      <c r="H68" s="237"/>
      <c r="I68" s="237"/>
      <c r="J68" s="237"/>
      <c r="K68" s="237"/>
      <c r="L68" s="237"/>
      <c r="M68" s="237"/>
      <c r="N68" s="237"/>
      <c r="O68" s="237"/>
      <c r="P68" s="237"/>
      <c r="Q68" s="237"/>
      <c r="R68" s="237"/>
      <c r="S68" s="237"/>
      <c r="T68" s="237"/>
      <c r="U68" s="237"/>
      <c r="V68" s="237"/>
      <c r="W68" s="237"/>
      <c r="X68" s="237"/>
      <c r="Y68" s="237"/>
      <c r="Z68" s="237"/>
    </row>
    <row r="69" spans="1:26" ht="12.75" customHeight="1">
      <c r="A69" s="237"/>
      <c r="B69" s="246"/>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row>
    <row r="70" spans="1:26" ht="12.75" customHeight="1">
      <c r="A70" s="237"/>
      <c r="B70" s="246"/>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row>
    <row r="71" spans="1:26" ht="12.75" customHeight="1">
      <c r="A71" s="237"/>
      <c r="B71" s="246"/>
      <c r="C71" s="237"/>
      <c r="D71" s="237"/>
      <c r="E71" s="237"/>
      <c r="F71" s="237"/>
      <c r="G71" s="237"/>
      <c r="H71" s="237"/>
      <c r="I71" s="237"/>
      <c r="J71" s="237"/>
      <c r="K71" s="237"/>
      <c r="L71" s="237"/>
      <c r="M71" s="237"/>
      <c r="N71" s="237"/>
      <c r="O71" s="237"/>
      <c r="P71" s="237"/>
      <c r="Q71" s="237"/>
      <c r="R71" s="237"/>
      <c r="S71" s="237"/>
      <c r="T71" s="237"/>
      <c r="U71" s="237"/>
      <c r="V71" s="237"/>
      <c r="W71" s="237"/>
      <c r="X71" s="237"/>
      <c r="Y71" s="237"/>
      <c r="Z71" s="237"/>
    </row>
    <row r="72" spans="1:26" ht="12.75" customHeight="1">
      <c r="A72" s="237"/>
      <c r="B72" s="246"/>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row>
    <row r="73" spans="1:26" ht="12.75" customHeight="1">
      <c r="A73" s="237"/>
      <c r="B73" s="246"/>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row>
    <row r="74" spans="1:26" ht="12.75" customHeight="1">
      <c r="A74" s="237"/>
      <c r="B74" s="246"/>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row>
    <row r="75" spans="1:26" ht="12.75" customHeight="1">
      <c r="A75" s="237"/>
      <c r="B75" s="246"/>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row>
    <row r="76" spans="1:26" ht="12.75" customHeight="1">
      <c r="A76" s="237"/>
      <c r="B76" s="246"/>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row>
    <row r="77" spans="1:26" ht="12.75" customHeight="1">
      <c r="A77" s="237"/>
      <c r="B77" s="246"/>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row>
    <row r="78" spans="1:26" ht="12.75" customHeight="1">
      <c r="A78" s="237"/>
      <c r="B78" s="246"/>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row>
    <row r="79" spans="1:26" ht="12.75" customHeight="1">
      <c r="A79" s="237"/>
      <c r="B79" s="246"/>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row>
    <row r="80" spans="1:26" ht="12.75" customHeight="1">
      <c r="A80" s="237"/>
      <c r="B80" s="246"/>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row>
    <row r="81" spans="1:26" ht="12.75" customHeight="1">
      <c r="A81" s="237"/>
      <c r="B81" s="246"/>
      <c r="C81" s="237"/>
      <c r="D81" s="237"/>
      <c r="E81" s="237"/>
      <c r="F81" s="237"/>
      <c r="G81" s="237"/>
      <c r="H81" s="237"/>
      <c r="I81" s="237"/>
      <c r="J81" s="237"/>
      <c r="K81" s="237"/>
      <c r="L81" s="237"/>
      <c r="M81" s="237"/>
      <c r="N81" s="237"/>
      <c r="O81" s="237"/>
      <c r="P81" s="237"/>
      <c r="Q81" s="237"/>
      <c r="R81" s="237"/>
      <c r="S81" s="237"/>
      <c r="T81" s="237"/>
      <c r="U81" s="237"/>
      <c r="V81" s="237"/>
      <c r="W81" s="237"/>
      <c r="X81" s="237"/>
      <c r="Y81" s="237"/>
      <c r="Z81" s="237"/>
    </row>
    <row r="82" spans="1:26" ht="12.75" customHeight="1">
      <c r="A82" s="237"/>
      <c r="B82" s="246"/>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row>
    <row r="83" spans="1:26" ht="12.75" customHeight="1">
      <c r="A83" s="237"/>
      <c r="B83" s="246"/>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row>
    <row r="84" spans="1:26" ht="12.75" customHeight="1">
      <c r="A84" s="237"/>
      <c r="B84" s="246"/>
      <c r="C84" s="237"/>
      <c r="D84" s="237"/>
      <c r="E84" s="237"/>
      <c r="F84" s="237"/>
      <c r="G84" s="237"/>
      <c r="H84" s="237"/>
      <c r="I84" s="237"/>
      <c r="J84" s="237"/>
      <c r="K84" s="237"/>
      <c r="L84" s="237"/>
      <c r="M84" s="237"/>
      <c r="N84" s="237"/>
      <c r="O84" s="237"/>
      <c r="P84" s="237"/>
      <c r="Q84" s="237"/>
      <c r="R84" s="237"/>
      <c r="S84" s="237"/>
      <c r="T84" s="237"/>
      <c r="U84" s="237"/>
      <c r="V84" s="237"/>
      <c r="W84" s="237"/>
      <c r="X84" s="237"/>
      <c r="Y84" s="237"/>
      <c r="Z84" s="237"/>
    </row>
    <row r="85" spans="1:26" ht="12.75" customHeight="1">
      <c r="A85" s="237"/>
      <c r="B85" s="246"/>
      <c r="C85" s="237"/>
      <c r="D85" s="237"/>
      <c r="E85" s="237"/>
      <c r="F85" s="237"/>
      <c r="G85" s="237"/>
      <c r="H85" s="237"/>
      <c r="I85" s="237"/>
      <c r="J85" s="237"/>
      <c r="K85" s="237"/>
      <c r="L85" s="237"/>
      <c r="M85" s="237"/>
      <c r="N85" s="237"/>
      <c r="O85" s="237"/>
      <c r="P85" s="237"/>
      <c r="Q85" s="237"/>
      <c r="R85" s="237"/>
      <c r="S85" s="237"/>
      <c r="T85" s="237"/>
      <c r="U85" s="237"/>
      <c r="V85" s="237"/>
      <c r="W85" s="237"/>
      <c r="X85" s="237"/>
      <c r="Y85" s="237"/>
      <c r="Z85" s="237"/>
    </row>
    <row r="86" spans="1:26" ht="12.75" customHeight="1">
      <c r="A86" s="237"/>
      <c r="B86" s="246"/>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row>
    <row r="87" spans="1:26" ht="12.75" customHeight="1">
      <c r="A87" s="237"/>
      <c r="B87" s="246"/>
      <c r="C87" s="237"/>
      <c r="D87" s="237"/>
      <c r="E87" s="237"/>
      <c r="F87" s="237"/>
      <c r="G87" s="237"/>
      <c r="H87" s="237"/>
      <c r="I87" s="237"/>
      <c r="J87" s="237"/>
      <c r="K87" s="237"/>
      <c r="L87" s="237"/>
      <c r="M87" s="237"/>
      <c r="N87" s="237"/>
      <c r="O87" s="237"/>
      <c r="P87" s="237"/>
      <c r="Q87" s="237"/>
      <c r="R87" s="237"/>
      <c r="S87" s="237"/>
      <c r="T87" s="237"/>
      <c r="U87" s="237"/>
      <c r="V87" s="237"/>
      <c r="W87" s="237"/>
      <c r="X87" s="237"/>
      <c r="Y87" s="237"/>
      <c r="Z87" s="237"/>
    </row>
    <row r="88" spans="1:26" ht="12.75" customHeight="1">
      <c r="A88" s="237"/>
      <c r="B88" s="246"/>
      <c r="C88" s="237"/>
      <c r="D88" s="237"/>
      <c r="E88" s="237"/>
      <c r="F88" s="237"/>
      <c r="G88" s="237"/>
      <c r="H88" s="237"/>
      <c r="I88" s="237"/>
      <c r="J88" s="237"/>
      <c r="K88" s="237"/>
      <c r="L88" s="237"/>
      <c r="M88" s="237"/>
      <c r="N88" s="237"/>
      <c r="O88" s="237"/>
      <c r="P88" s="237"/>
      <c r="Q88" s="237"/>
      <c r="R88" s="237"/>
      <c r="S88" s="237"/>
      <c r="T88" s="237"/>
      <c r="U88" s="237"/>
      <c r="V88" s="237"/>
      <c r="W88" s="237"/>
      <c r="X88" s="237"/>
      <c r="Y88" s="237"/>
      <c r="Z88" s="237"/>
    </row>
    <row r="89" spans="1:26" ht="12.75" customHeight="1">
      <c r="A89" s="237"/>
      <c r="B89" s="246"/>
      <c r="C89" s="237"/>
      <c r="D89" s="237"/>
      <c r="E89" s="237"/>
      <c r="F89" s="237"/>
      <c r="G89" s="237"/>
      <c r="H89" s="237"/>
      <c r="I89" s="237"/>
      <c r="J89" s="237"/>
      <c r="K89" s="237"/>
      <c r="L89" s="237"/>
      <c r="M89" s="237"/>
      <c r="N89" s="237"/>
      <c r="O89" s="237"/>
      <c r="P89" s="237"/>
      <c r="Q89" s="237"/>
      <c r="R89" s="237"/>
      <c r="S89" s="237"/>
      <c r="T89" s="237"/>
      <c r="U89" s="237"/>
      <c r="V89" s="237"/>
      <c r="W89" s="237"/>
      <c r="X89" s="237"/>
      <c r="Y89" s="237"/>
      <c r="Z89" s="237"/>
    </row>
    <row r="90" spans="1:26" ht="12.75" customHeight="1">
      <c r="A90" s="237"/>
      <c r="B90" s="246"/>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row>
    <row r="91" spans="1:26" ht="12.75" customHeight="1">
      <c r="A91" s="237"/>
      <c r="B91" s="246"/>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row>
    <row r="92" spans="1:26" ht="12.75" customHeight="1">
      <c r="A92" s="237"/>
      <c r="B92" s="246"/>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row>
    <row r="93" spans="1:26" ht="12.75" customHeight="1">
      <c r="A93" s="237"/>
      <c r="B93" s="246"/>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row>
    <row r="94" spans="1:26" ht="12.75" customHeight="1">
      <c r="A94" s="237"/>
      <c r="B94" s="246"/>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row>
    <row r="95" spans="1:26" ht="12.75" customHeight="1">
      <c r="A95" s="237"/>
      <c r="B95" s="246"/>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row>
    <row r="96" spans="1:26" ht="12.75" customHeight="1">
      <c r="A96" s="237"/>
      <c r="B96" s="246"/>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row>
    <row r="97" spans="1:26" ht="12.75" customHeight="1">
      <c r="A97" s="237"/>
      <c r="B97" s="246"/>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row>
    <row r="98" spans="1:26" ht="12.75" customHeight="1">
      <c r="A98" s="237"/>
      <c r="B98" s="246"/>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row r="99" spans="1:26" ht="12.75" customHeight="1">
      <c r="A99" s="237"/>
      <c r="B99" s="246"/>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row>
    <row r="100" spans="1:26" ht="12.75" customHeight="1">
      <c r="A100" s="237"/>
      <c r="B100" s="246"/>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row>
    <row r="101" spans="1:26" ht="12.75" customHeight="1">
      <c r="A101" s="237"/>
      <c r="B101" s="246"/>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row>
    <row r="102" spans="1:26" ht="12.75" customHeight="1">
      <c r="A102" s="237"/>
      <c r="B102" s="246"/>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row>
    <row r="103" spans="1:26" ht="12.75" customHeight="1">
      <c r="A103" s="237"/>
      <c r="B103" s="246"/>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row>
    <row r="104" spans="1:26" ht="12.75" customHeight="1">
      <c r="A104" s="237"/>
      <c r="B104" s="246"/>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row>
    <row r="105" spans="1:26" ht="12.75" customHeight="1">
      <c r="A105" s="237"/>
      <c r="B105" s="246"/>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row>
    <row r="106" spans="1:26" ht="12.75" customHeight="1">
      <c r="A106" s="237"/>
      <c r="B106" s="246"/>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row>
    <row r="107" spans="1:26" ht="12.75" customHeight="1">
      <c r="A107" s="237"/>
      <c r="B107" s="246"/>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row>
    <row r="108" spans="1:26" ht="12.75" customHeight="1">
      <c r="A108" s="237"/>
      <c r="B108" s="246"/>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row>
    <row r="109" spans="1:26" ht="12.75" customHeight="1">
      <c r="A109" s="237"/>
      <c r="B109" s="246"/>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row>
    <row r="110" spans="1:26" ht="12.75" customHeight="1">
      <c r="A110" s="237"/>
      <c r="B110" s="246"/>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row>
    <row r="111" spans="1:26" ht="12.75" customHeight="1">
      <c r="A111" s="237"/>
      <c r="B111" s="246"/>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row>
    <row r="112" spans="1:26" ht="12.75" customHeight="1">
      <c r="A112" s="237"/>
      <c r="B112" s="246"/>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row>
    <row r="113" spans="1:26" ht="12.75" customHeight="1">
      <c r="A113" s="237"/>
      <c r="B113" s="246"/>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row>
    <row r="114" spans="1:26" ht="12.75" customHeight="1">
      <c r="A114" s="237"/>
      <c r="B114" s="246"/>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row>
    <row r="115" spans="1:26" ht="12.75" customHeight="1">
      <c r="A115" s="237"/>
      <c r="B115" s="246"/>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row>
    <row r="116" spans="1:26" ht="12.75" customHeight="1">
      <c r="A116" s="237"/>
      <c r="B116" s="246"/>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row>
    <row r="117" spans="1:26" ht="12.75" customHeight="1">
      <c r="A117" s="237"/>
      <c r="B117" s="246"/>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row>
    <row r="118" spans="1:26" ht="12.75" customHeight="1">
      <c r="A118" s="237"/>
      <c r="B118" s="246"/>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row>
    <row r="119" spans="1:26" ht="12.75" customHeight="1">
      <c r="A119" s="237"/>
      <c r="B119" s="246"/>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row>
    <row r="120" spans="1:26" ht="12.75" customHeight="1">
      <c r="A120" s="237"/>
      <c r="B120" s="246"/>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row>
    <row r="121" spans="1:26" ht="12.75" customHeight="1">
      <c r="A121" s="237"/>
      <c r="B121" s="246"/>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row>
    <row r="122" spans="1:26" ht="12.75" customHeight="1">
      <c r="A122" s="237"/>
      <c r="B122" s="246"/>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row>
    <row r="123" spans="1:26" ht="12.75" customHeight="1">
      <c r="A123" s="237"/>
      <c r="B123" s="246"/>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row>
    <row r="124" spans="1:26" ht="12.75" customHeight="1">
      <c r="A124" s="237"/>
      <c r="B124" s="246"/>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row>
    <row r="125" spans="1:26" ht="12.75" customHeight="1">
      <c r="A125" s="237"/>
      <c r="B125" s="246"/>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row>
    <row r="126" spans="1:26" ht="12.75" customHeight="1">
      <c r="A126" s="237"/>
      <c r="B126" s="246"/>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row>
    <row r="127" spans="1:26" ht="12.75" customHeight="1">
      <c r="A127" s="237"/>
      <c r="B127" s="246"/>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row>
    <row r="128" spans="1:26" ht="12.75" customHeight="1">
      <c r="A128" s="237"/>
      <c r="B128" s="246"/>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row>
    <row r="129" spans="1:26" ht="12.75" customHeight="1">
      <c r="A129" s="237"/>
      <c r="B129" s="246"/>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row>
    <row r="130" spans="1:26" ht="12.75" customHeight="1">
      <c r="A130" s="237"/>
      <c r="B130" s="246"/>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row>
    <row r="131" spans="1:26" ht="12.75" customHeight="1">
      <c r="A131" s="237"/>
      <c r="B131" s="246"/>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row>
    <row r="132" spans="1:26" ht="12.75" customHeight="1">
      <c r="A132" s="237"/>
      <c r="B132" s="246"/>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row>
    <row r="133" spans="1:26" ht="12.75" customHeight="1">
      <c r="A133" s="237"/>
      <c r="B133" s="246"/>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row>
    <row r="134" spans="1:26" ht="12.75" customHeight="1">
      <c r="A134" s="237"/>
      <c r="B134" s="246"/>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row>
    <row r="135" spans="1:26" ht="12.75" customHeight="1">
      <c r="A135" s="237"/>
      <c r="B135" s="246"/>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row>
    <row r="136" spans="1:26" ht="12.75" customHeight="1">
      <c r="A136" s="237"/>
      <c r="B136" s="246"/>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row>
    <row r="137" spans="1:26" ht="12.75" customHeight="1">
      <c r="A137" s="237"/>
      <c r="B137" s="246"/>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row>
    <row r="138" spans="1:26" ht="12.75" customHeight="1">
      <c r="A138" s="237"/>
      <c r="B138" s="246"/>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row>
    <row r="139" spans="1:26" ht="12.75" customHeight="1">
      <c r="A139" s="237"/>
      <c r="B139" s="246"/>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row>
    <row r="140" spans="1:26" ht="12.75" customHeight="1">
      <c r="A140" s="237"/>
      <c r="B140" s="246"/>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row>
    <row r="141" spans="1:26" ht="12.75" customHeight="1">
      <c r="A141" s="237"/>
      <c r="B141" s="246"/>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row>
    <row r="142" spans="1:26" ht="12.75" customHeight="1">
      <c r="A142" s="237"/>
      <c r="B142" s="246"/>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row>
    <row r="143" spans="1:26" ht="12.75" customHeight="1">
      <c r="A143" s="237"/>
      <c r="B143" s="246"/>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row>
    <row r="144" spans="1:26" ht="12.75" customHeight="1">
      <c r="A144" s="237"/>
      <c r="B144" s="246"/>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row>
    <row r="145" spans="1:26" ht="12.75" customHeight="1">
      <c r="A145" s="237"/>
      <c r="B145" s="246"/>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row>
    <row r="146" spans="1:26" ht="12.75" customHeight="1">
      <c r="A146" s="237"/>
      <c r="B146" s="246"/>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row>
    <row r="147" spans="1:26" ht="12.75" customHeight="1">
      <c r="A147" s="237"/>
      <c r="B147" s="246"/>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row>
    <row r="148" spans="1:26" ht="12.75" customHeight="1">
      <c r="A148" s="237"/>
      <c r="B148" s="246"/>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row>
    <row r="149" spans="1:26" ht="12.75" customHeight="1">
      <c r="A149" s="237"/>
      <c r="B149" s="246"/>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row>
    <row r="150" spans="1:26" ht="12.75" customHeight="1">
      <c r="A150" s="237"/>
      <c r="B150" s="246"/>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row>
    <row r="151" spans="1:26" ht="12.75" customHeight="1">
      <c r="A151" s="237"/>
      <c r="B151" s="246"/>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row>
    <row r="152" spans="1:26" ht="12.75" customHeight="1">
      <c r="A152" s="237"/>
      <c r="B152" s="246"/>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row>
    <row r="153" spans="1:26" ht="12.75" customHeight="1">
      <c r="A153" s="237"/>
      <c r="B153" s="246"/>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row>
    <row r="154" spans="1:26" ht="12.75" customHeight="1">
      <c r="A154" s="237"/>
      <c r="B154" s="246"/>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row>
    <row r="155" spans="1:26" ht="12.75" customHeight="1">
      <c r="A155" s="237"/>
      <c r="B155" s="246"/>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row>
    <row r="156" spans="1:26" ht="12.75" customHeight="1">
      <c r="A156" s="237"/>
      <c r="B156" s="246"/>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row>
    <row r="157" spans="1:26" ht="12.75" customHeight="1">
      <c r="A157" s="237"/>
      <c r="B157" s="246"/>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row>
    <row r="158" spans="1:26" ht="12.75" customHeight="1">
      <c r="A158" s="237"/>
      <c r="B158" s="246"/>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row>
    <row r="159" spans="1:26" ht="12.75" customHeight="1">
      <c r="A159" s="237"/>
      <c r="B159" s="246"/>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row>
    <row r="160" spans="1:26" ht="12.75" customHeight="1">
      <c r="A160" s="237"/>
      <c r="B160" s="246"/>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row>
    <row r="161" spans="1:26" ht="12.75" customHeight="1">
      <c r="A161" s="237"/>
      <c r="B161" s="246"/>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row>
    <row r="162" spans="1:26" ht="12.75" customHeight="1">
      <c r="A162" s="237"/>
      <c r="B162" s="246"/>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row>
    <row r="163" spans="1:26" ht="12.75" customHeight="1">
      <c r="A163" s="237"/>
      <c r="B163" s="246"/>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row>
    <row r="164" spans="1:26" ht="12.75" customHeight="1">
      <c r="A164" s="237"/>
      <c r="B164" s="246"/>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row>
    <row r="165" spans="1:26" ht="12.75" customHeight="1">
      <c r="A165" s="237"/>
      <c r="B165" s="246"/>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row>
    <row r="166" spans="1:26" ht="12.75" customHeight="1">
      <c r="A166" s="237"/>
      <c r="B166" s="246"/>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row>
    <row r="167" spans="1:26" ht="12.75" customHeight="1">
      <c r="A167" s="237"/>
      <c r="B167" s="246"/>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row>
    <row r="168" spans="1:26" ht="12.75" customHeight="1">
      <c r="A168" s="237"/>
      <c r="B168" s="246"/>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row>
    <row r="169" spans="1:26" ht="12.75" customHeight="1">
      <c r="A169" s="237"/>
      <c r="B169" s="246"/>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row>
    <row r="170" spans="1:26" ht="12.75" customHeight="1">
      <c r="A170" s="237"/>
      <c r="B170" s="246"/>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row>
    <row r="171" spans="1:26" ht="12.75" customHeight="1">
      <c r="A171" s="237"/>
      <c r="B171" s="246"/>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row>
    <row r="172" spans="1:26" ht="12.75" customHeight="1">
      <c r="A172" s="237"/>
      <c r="B172" s="246"/>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row>
    <row r="173" spans="1:26" ht="12.75" customHeight="1">
      <c r="A173" s="237"/>
      <c r="B173" s="246"/>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row>
    <row r="174" spans="1:26" ht="12.75" customHeight="1">
      <c r="A174" s="237"/>
      <c r="B174" s="246"/>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row>
    <row r="175" spans="1:26" ht="12.75" customHeight="1">
      <c r="A175" s="237"/>
      <c r="B175" s="246"/>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row>
    <row r="176" spans="1:26" ht="12.75" customHeight="1">
      <c r="A176" s="237"/>
      <c r="B176" s="246"/>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row>
    <row r="177" spans="1:26" ht="12.75" customHeight="1">
      <c r="A177" s="237"/>
      <c r="B177" s="246"/>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row>
    <row r="178" spans="1:26" ht="12.75" customHeight="1">
      <c r="A178" s="237"/>
      <c r="B178" s="246"/>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row>
    <row r="179" spans="1:26" ht="12.75" customHeight="1">
      <c r="A179" s="237"/>
      <c r="B179" s="246"/>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row>
    <row r="180" spans="1:26" ht="12.75" customHeight="1">
      <c r="A180" s="237"/>
      <c r="B180" s="246"/>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row>
    <row r="181" spans="1:26" ht="12.75" customHeight="1">
      <c r="A181" s="237"/>
      <c r="B181" s="246"/>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row>
    <row r="182" spans="1:26" ht="12.75" customHeight="1">
      <c r="A182" s="237"/>
      <c r="B182" s="246"/>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row>
    <row r="183" spans="1:26" ht="12.75" customHeight="1">
      <c r="A183" s="237"/>
      <c r="B183" s="246"/>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row>
    <row r="184" spans="1:26" ht="12.75" customHeight="1">
      <c r="A184" s="237"/>
      <c r="B184" s="246"/>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row>
    <row r="185" spans="1:26" ht="12.75" customHeight="1">
      <c r="A185" s="237"/>
      <c r="B185" s="246"/>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row>
    <row r="186" spans="1:26" ht="12.75" customHeight="1">
      <c r="A186" s="237"/>
      <c r="B186" s="246"/>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row>
    <row r="187" spans="1:26" ht="12.75" customHeight="1">
      <c r="A187" s="237"/>
      <c r="B187" s="246"/>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row>
    <row r="188" spans="1:26" ht="12.75" customHeight="1">
      <c r="A188" s="237"/>
      <c r="B188" s="246"/>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row>
    <row r="189" spans="1:26" ht="12.75" customHeight="1">
      <c r="A189" s="237"/>
      <c r="B189" s="246"/>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row>
    <row r="190" spans="1:26" ht="12.75" customHeight="1">
      <c r="A190" s="237"/>
      <c r="B190" s="246"/>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row>
    <row r="191" spans="1:26" ht="12.75" customHeight="1">
      <c r="A191" s="237"/>
      <c r="B191" s="246"/>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row>
    <row r="192" spans="1:26" ht="12.75" customHeight="1">
      <c r="A192" s="237"/>
      <c r="B192" s="246"/>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row>
    <row r="193" spans="1:26" ht="12.75" customHeight="1">
      <c r="A193" s="237"/>
      <c r="B193" s="246"/>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row>
    <row r="194" spans="1:26" ht="12.75" customHeight="1">
      <c r="A194" s="237"/>
      <c r="B194" s="246"/>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row>
    <row r="195" spans="1:26" ht="12.75" customHeight="1">
      <c r="A195" s="237"/>
      <c r="B195" s="246"/>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row>
    <row r="196" spans="1:26" ht="12.75" customHeight="1">
      <c r="A196" s="237"/>
      <c r="B196" s="246"/>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row>
    <row r="197" spans="1:26" ht="12.75" customHeight="1">
      <c r="A197" s="237"/>
      <c r="B197" s="246"/>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row>
    <row r="198" spans="1:26" ht="12.75" customHeight="1">
      <c r="A198" s="237"/>
      <c r="B198" s="246"/>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row>
    <row r="199" spans="1:26" ht="12.75" customHeight="1">
      <c r="A199" s="237"/>
      <c r="B199" s="246"/>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row>
    <row r="200" spans="1:26" ht="12.75" customHeight="1">
      <c r="A200" s="237"/>
      <c r="B200" s="246"/>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row>
    <row r="201" spans="1:26" ht="12.75" customHeight="1">
      <c r="A201" s="237"/>
      <c r="B201" s="246"/>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row>
    <row r="202" spans="1:26" ht="12.75" customHeight="1">
      <c r="A202" s="237"/>
      <c r="B202" s="246"/>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row>
    <row r="203" spans="1:26" ht="12.75" customHeight="1">
      <c r="A203" s="237"/>
      <c r="B203" s="246"/>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row>
    <row r="204" spans="1:26" ht="12.75" customHeight="1">
      <c r="A204" s="237"/>
      <c r="B204" s="246"/>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row>
    <row r="205" spans="1:26" ht="12.75" customHeight="1">
      <c r="A205" s="237"/>
      <c r="B205" s="246"/>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row>
    <row r="206" spans="1:26" ht="12.75" customHeight="1">
      <c r="A206" s="237"/>
      <c r="B206" s="246"/>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row>
    <row r="207" spans="1:26" ht="12.75" customHeight="1">
      <c r="A207" s="237"/>
      <c r="B207" s="246"/>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row>
    <row r="208" spans="1:26" ht="12.75" customHeight="1">
      <c r="A208" s="237"/>
      <c r="B208" s="246"/>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row>
    <row r="209" spans="1:26" ht="12.75" customHeight="1">
      <c r="A209" s="237"/>
      <c r="B209" s="246"/>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row>
    <row r="210" spans="1:26" ht="12.75" customHeight="1">
      <c r="A210" s="237"/>
      <c r="B210" s="246"/>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row>
    <row r="211" spans="1:26" ht="12.75" customHeight="1">
      <c r="A211" s="237"/>
      <c r="B211" s="246"/>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row>
    <row r="212" spans="1:26" ht="12.75" customHeight="1">
      <c r="A212" s="237"/>
      <c r="B212" s="246"/>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row>
    <row r="213" spans="1:26" ht="12.75" customHeight="1">
      <c r="A213" s="237"/>
      <c r="B213" s="246"/>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row>
    <row r="214" spans="1:26" ht="12.75" customHeight="1">
      <c r="A214" s="237"/>
      <c r="B214" s="246"/>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row>
    <row r="215" spans="1:26" ht="12.75" customHeight="1">
      <c r="A215" s="237"/>
      <c r="B215" s="246"/>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row>
    <row r="216" spans="1:26" ht="12.75" customHeight="1">
      <c r="A216" s="237"/>
      <c r="B216" s="246"/>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row>
    <row r="217" spans="1:26" ht="12.75" customHeight="1">
      <c r="A217" s="237"/>
      <c r="B217" s="246"/>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row>
    <row r="218" spans="1:26" ht="12.75" customHeight="1">
      <c r="A218" s="237"/>
      <c r="B218" s="246"/>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row>
    <row r="219" spans="1:26" ht="12.75" customHeight="1">
      <c r="A219" s="237"/>
      <c r="B219" s="246"/>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row>
    <row r="220" spans="1:26" ht="12.75" customHeight="1">
      <c r="A220" s="237"/>
      <c r="B220" s="246"/>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Z1000"/>
  <sheetViews>
    <sheetView workbookViewId="0"/>
  </sheetViews>
  <sheetFormatPr defaultColWidth="10.109375" defaultRowHeight="15" customHeight="1"/>
  <cols>
    <col min="1" max="1" width="34.44140625" customWidth="1"/>
    <col min="2" max="2" width="22.6640625" customWidth="1"/>
    <col min="3" max="3" width="7.21875" customWidth="1"/>
    <col min="4" max="13" width="7.21875" hidden="1" customWidth="1"/>
    <col min="14" max="14" width="9.6640625" customWidth="1"/>
    <col min="15" max="16" width="7.21875" customWidth="1"/>
    <col min="17" max="17" width="15.44140625" customWidth="1"/>
    <col min="18" max="26" width="7.21875" customWidth="1"/>
  </cols>
  <sheetData>
    <row r="1" spans="1:26" ht="23.25" customHeight="1">
      <c r="A1" s="363" t="s">
        <v>1502</v>
      </c>
      <c r="B1" s="381"/>
      <c r="C1" s="381"/>
      <c r="D1" s="381"/>
      <c r="E1" s="381"/>
      <c r="F1" s="381"/>
      <c r="G1" s="381"/>
      <c r="H1" s="381"/>
      <c r="I1" s="381"/>
      <c r="J1" s="381"/>
      <c r="K1" s="381"/>
      <c r="L1" s="381"/>
      <c r="M1" s="381"/>
      <c r="N1" s="381"/>
      <c r="O1" s="381"/>
      <c r="P1" s="381"/>
      <c r="Q1" s="247" t="e">
        <f>'2.Chi phí KT'!D8</f>
        <v>#REF!</v>
      </c>
      <c r="R1" s="237"/>
      <c r="S1" s="237"/>
      <c r="T1" s="237"/>
      <c r="U1" s="237"/>
      <c r="V1" s="237"/>
      <c r="W1" s="237"/>
      <c r="X1" s="237"/>
      <c r="Y1" s="237"/>
      <c r="Z1" s="237"/>
    </row>
    <row r="2" spans="1:26" ht="45.75" customHeight="1">
      <c r="A2" s="238" t="s">
        <v>1318</v>
      </c>
      <c r="B2" s="238" t="s">
        <v>1503</v>
      </c>
      <c r="C2" s="238" t="s">
        <v>1320</v>
      </c>
      <c r="D2" s="238" t="s">
        <v>1504</v>
      </c>
      <c r="E2" s="238" t="s">
        <v>1505</v>
      </c>
      <c r="F2" s="238" t="s">
        <v>1506</v>
      </c>
      <c r="G2" s="238" t="s">
        <v>1507</v>
      </c>
      <c r="H2" s="238" t="s">
        <v>1508</v>
      </c>
      <c r="I2" s="238" t="s">
        <v>1509</v>
      </c>
      <c r="J2" s="238" t="s">
        <v>1510</v>
      </c>
      <c r="K2" s="238" t="s">
        <v>1511</v>
      </c>
      <c r="L2" s="238" t="s">
        <v>1512</v>
      </c>
      <c r="M2" s="238" t="s">
        <v>1513</v>
      </c>
      <c r="N2" s="238" t="s">
        <v>1321</v>
      </c>
      <c r="O2" s="238" t="s">
        <v>1514</v>
      </c>
      <c r="P2" s="238" t="s">
        <v>1515</v>
      </c>
      <c r="Q2" s="237"/>
      <c r="R2" s="237"/>
      <c r="S2" s="237"/>
      <c r="T2" s="237"/>
      <c r="U2" s="237"/>
      <c r="V2" s="237"/>
      <c r="W2" s="237"/>
      <c r="X2" s="237"/>
      <c r="Y2" s="237"/>
      <c r="Z2" s="237"/>
    </row>
    <row r="3" spans="1:26" ht="33" customHeight="1">
      <c r="A3" s="238" t="s">
        <v>1516</v>
      </c>
      <c r="B3" s="248"/>
      <c r="C3" s="248"/>
      <c r="D3" s="238"/>
      <c r="E3" s="238"/>
      <c r="F3" s="238"/>
      <c r="G3" s="238"/>
      <c r="H3" s="238"/>
      <c r="I3" s="238"/>
      <c r="J3" s="238"/>
      <c r="K3" s="238"/>
      <c r="L3" s="238"/>
      <c r="M3" s="238"/>
      <c r="N3" s="243"/>
      <c r="O3" s="73"/>
      <c r="P3" s="73"/>
      <c r="Q3" s="237"/>
      <c r="R3" s="237"/>
      <c r="S3" s="237"/>
      <c r="T3" s="237"/>
      <c r="U3" s="237"/>
      <c r="V3" s="237"/>
      <c r="W3" s="237"/>
      <c r="X3" s="237"/>
      <c r="Y3" s="237"/>
      <c r="Z3" s="237"/>
    </row>
    <row r="4" spans="1:26" ht="33.75" customHeight="1">
      <c r="A4" s="249"/>
      <c r="B4" s="248"/>
      <c r="C4" s="248"/>
      <c r="D4" s="238"/>
      <c r="E4" s="238"/>
      <c r="F4" s="238"/>
      <c r="G4" s="238"/>
      <c r="H4" s="238"/>
      <c r="I4" s="238"/>
      <c r="J4" s="238"/>
      <c r="K4" s="238"/>
      <c r="L4" s="238"/>
      <c r="M4" s="238"/>
      <c r="N4" s="243"/>
      <c r="O4" s="73"/>
      <c r="P4" s="73"/>
      <c r="Q4" s="237"/>
      <c r="R4" s="237"/>
      <c r="S4" s="237"/>
      <c r="T4" s="237"/>
      <c r="U4" s="237"/>
      <c r="V4" s="237"/>
      <c r="W4" s="237"/>
      <c r="X4" s="237"/>
      <c r="Y4" s="237"/>
      <c r="Z4" s="237"/>
    </row>
    <row r="5" spans="1:26" ht="34.5" customHeight="1">
      <c r="A5" s="56" t="s">
        <v>1517</v>
      </c>
      <c r="B5" s="56" t="s">
        <v>1518</v>
      </c>
      <c r="C5" s="79">
        <v>1.5</v>
      </c>
      <c r="D5" s="49">
        <v>1</v>
      </c>
      <c r="E5" s="49">
        <v>3</v>
      </c>
      <c r="F5" s="49">
        <v>2</v>
      </c>
      <c r="G5" s="49">
        <v>2</v>
      </c>
      <c r="H5" s="49">
        <v>2</v>
      </c>
      <c r="I5" s="49"/>
      <c r="J5" s="49"/>
      <c r="K5" s="49"/>
      <c r="L5" s="49"/>
      <c r="M5" s="49"/>
      <c r="N5" s="49">
        <v>3</v>
      </c>
      <c r="O5" s="49">
        <f t="shared" ref="O5:O11" si="0">N5*C5</f>
        <v>4.5</v>
      </c>
      <c r="P5" s="164">
        <f t="shared" ref="P5:P11" si="1">IF(O5&gt;3,1,IF(O5&gt;2,0.6,IF(O5&gt;1,0.1,IF(O5&gt;0,0.05,IF(O5&lt;=0,0)))))</f>
        <v>1</v>
      </c>
      <c r="Q5" s="237"/>
      <c r="R5" s="237"/>
      <c r="S5" s="237"/>
      <c r="T5" s="237"/>
      <c r="U5" s="237"/>
      <c r="V5" s="237"/>
      <c r="W5" s="237"/>
      <c r="X5" s="237"/>
      <c r="Y5" s="237"/>
      <c r="Z5" s="237"/>
    </row>
    <row r="6" spans="1:26" ht="38.25" customHeight="1">
      <c r="A6" s="56" t="s">
        <v>1519</v>
      </c>
      <c r="B6" s="250" t="s">
        <v>1520</v>
      </c>
      <c r="C6" s="79">
        <v>0.5</v>
      </c>
      <c r="D6" s="49">
        <v>5</v>
      </c>
      <c r="E6" s="49">
        <v>3</v>
      </c>
      <c r="F6" s="49">
        <v>2</v>
      </c>
      <c r="G6" s="49">
        <v>2</v>
      </c>
      <c r="H6" s="49">
        <v>2</v>
      </c>
      <c r="I6" s="49"/>
      <c r="J6" s="49"/>
      <c r="K6" s="49"/>
      <c r="L6" s="49"/>
      <c r="M6" s="49"/>
      <c r="N6" s="49">
        <v>3</v>
      </c>
      <c r="O6" s="49">
        <f t="shared" si="0"/>
        <v>1.5</v>
      </c>
      <c r="P6" s="164">
        <f t="shared" si="1"/>
        <v>0.1</v>
      </c>
      <c r="Q6" s="237"/>
      <c r="R6" s="237"/>
      <c r="S6" s="237"/>
      <c r="T6" s="237"/>
      <c r="U6" s="237"/>
      <c r="V6" s="237"/>
      <c r="W6" s="237"/>
      <c r="X6" s="237"/>
      <c r="Y6" s="237"/>
      <c r="Z6" s="237"/>
    </row>
    <row r="7" spans="1:26" ht="38.25" customHeight="1">
      <c r="A7" s="56" t="s">
        <v>1521</v>
      </c>
      <c r="B7" s="250" t="s">
        <v>1522</v>
      </c>
      <c r="C7" s="79">
        <v>1</v>
      </c>
      <c r="D7" s="49">
        <v>3</v>
      </c>
      <c r="E7" s="49">
        <v>3</v>
      </c>
      <c r="F7" s="49">
        <v>2</v>
      </c>
      <c r="G7" s="49">
        <v>2</v>
      </c>
      <c r="H7" s="49">
        <v>2</v>
      </c>
      <c r="I7" s="49"/>
      <c r="J7" s="49"/>
      <c r="K7" s="49"/>
      <c r="L7" s="49"/>
      <c r="M7" s="49"/>
      <c r="N7" s="49">
        <v>3</v>
      </c>
      <c r="O7" s="49">
        <f t="shared" si="0"/>
        <v>3</v>
      </c>
      <c r="P7" s="164">
        <f t="shared" si="1"/>
        <v>0.6</v>
      </c>
      <c r="Q7" s="237"/>
      <c r="R7" s="237"/>
      <c r="S7" s="237"/>
      <c r="T7" s="237"/>
      <c r="U7" s="237"/>
      <c r="V7" s="237"/>
      <c r="W7" s="237"/>
      <c r="X7" s="237"/>
      <c r="Y7" s="237"/>
      <c r="Z7" s="237"/>
    </row>
    <row r="8" spans="1:26" ht="38.25" customHeight="1">
      <c r="A8" s="56" t="s">
        <v>1523</v>
      </c>
      <c r="B8" s="56" t="s">
        <v>1524</v>
      </c>
      <c r="C8" s="79">
        <v>0.5</v>
      </c>
      <c r="D8" s="49">
        <v>1</v>
      </c>
      <c r="E8" s="49">
        <v>3</v>
      </c>
      <c r="F8" s="49">
        <v>2</v>
      </c>
      <c r="G8" s="49">
        <v>1</v>
      </c>
      <c r="H8" s="49">
        <v>2</v>
      </c>
      <c r="I8" s="49"/>
      <c r="J8" s="49"/>
      <c r="K8" s="49"/>
      <c r="L8" s="49"/>
      <c r="M8" s="49"/>
      <c r="N8" s="49">
        <v>3</v>
      </c>
      <c r="O8" s="49">
        <f t="shared" si="0"/>
        <v>1.5</v>
      </c>
      <c r="P8" s="164">
        <f t="shared" si="1"/>
        <v>0.1</v>
      </c>
      <c r="Q8" s="237"/>
      <c r="R8" s="237"/>
      <c r="S8" s="237"/>
      <c r="T8" s="237"/>
      <c r="U8" s="237"/>
      <c r="V8" s="237"/>
      <c r="W8" s="237"/>
      <c r="X8" s="237"/>
      <c r="Y8" s="237"/>
      <c r="Z8" s="237"/>
    </row>
    <row r="9" spans="1:26" ht="38.25" customHeight="1">
      <c r="A9" s="56" t="s">
        <v>1340</v>
      </c>
      <c r="B9" s="56" t="s">
        <v>1525</v>
      </c>
      <c r="C9" s="79">
        <v>1</v>
      </c>
      <c r="D9" s="49">
        <v>2</v>
      </c>
      <c r="E9" s="49">
        <v>3</v>
      </c>
      <c r="F9" s="49">
        <v>2</v>
      </c>
      <c r="G9" s="49">
        <v>1</v>
      </c>
      <c r="H9" s="49">
        <v>0</v>
      </c>
      <c r="I9" s="49"/>
      <c r="J9" s="49"/>
      <c r="K9" s="49"/>
      <c r="L9" s="49"/>
      <c r="M9" s="49"/>
      <c r="N9" s="49">
        <v>3</v>
      </c>
      <c r="O9" s="49">
        <f t="shared" si="0"/>
        <v>3</v>
      </c>
      <c r="P9" s="164">
        <f t="shared" si="1"/>
        <v>0.6</v>
      </c>
      <c r="Q9" s="237"/>
      <c r="R9" s="237"/>
      <c r="S9" s="237"/>
      <c r="T9" s="237"/>
      <c r="U9" s="237"/>
      <c r="V9" s="237"/>
      <c r="W9" s="237"/>
      <c r="X9" s="237"/>
      <c r="Y9" s="237"/>
      <c r="Z9" s="237"/>
    </row>
    <row r="10" spans="1:26" ht="38.25" customHeight="1">
      <c r="A10" s="56" t="s">
        <v>1345</v>
      </c>
      <c r="B10" s="56" t="s">
        <v>1526</v>
      </c>
      <c r="C10" s="251">
        <v>2</v>
      </c>
      <c r="D10" s="49">
        <v>2</v>
      </c>
      <c r="E10" s="49">
        <v>1</v>
      </c>
      <c r="F10" s="49">
        <v>3</v>
      </c>
      <c r="G10" s="49">
        <v>2</v>
      </c>
      <c r="H10" s="49">
        <v>2</v>
      </c>
      <c r="I10" s="49"/>
      <c r="J10" s="49"/>
      <c r="K10" s="49"/>
      <c r="L10" s="49"/>
      <c r="M10" s="49"/>
      <c r="N10" s="49">
        <v>3</v>
      </c>
      <c r="O10" s="49">
        <f t="shared" si="0"/>
        <v>6</v>
      </c>
      <c r="P10" s="164">
        <f t="shared" si="1"/>
        <v>1</v>
      </c>
      <c r="Q10" s="237"/>
      <c r="R10" s="237"/>
      <c r="S10" s="237"/>
      <c r="T10" s="237"/>
      <c r="U10" s="237"/>
      <c r="V10" s="237"/>
      <c r="W10" s="237"/>
      <c r="X10" s="237"/>
      <c r="Y10" s="237"/>
      <c r="Z10" s="237"/>
    </row>
    <row r="11" spans="1:26" ht="38.25" customHeight="1">
      <c r="A11" s="56" t="s">
        <v>1527</v>
      </c>
      <c r="B11" s="56" t="s">
        <v>1528</v>
      </c>
      <c r="C11" s="79">
        <v>-1</v>
      </c>
      <c r="D11" s="49">
        <v>0</v>
      </c>
      <c r="E11" s="49">
        <v>0</v>
      </c>
      <c r="F11" s="49">
        <v>0</v>
      </c>
      <c r="G11" s="49">
        <v>0</v>
      </c>
      <c r="H11" s="49">
        <v>0</v>
      </c>
      <c r="I11" s="49"/>
      <c r="J11" s="49"/>
      <c r="K11" s="49"/>
      <c r="L11" s="49"/>
      <c r="M11" s="49"/>
      <c r="N11" s="49">
        <v>0</v>
      </c>
      <c r="O11" s="49">
        <f t="shared" si="0"/>
        <v>0</v>
      </c>
      <c r="P11" s="164">
        <f t="shared" si="1"/>
        <v>0</v>
      </c>
      <c r="Q11" s="237"/>
      <c r="R11" s="237"/>
      <c r="S11" s="237"/>
      <c r="T11" s="237"/>
      <c r="U11" s="237"/>
      <c r="V11" s="237"/>
      <c r="W11" s="237"/>
      <c r="X11" s="237"/>
      <c r="Y11" s="237"/>
      <c r="Z11" s="237"/>
    </row>
    <row r="12" spans="1:26" ht="12.75" customHeight="1">
      <c r="A12" s="238" t="s">
        <v>1529</v>
      </c>
      <c r="B12" s="56" t="s">
        <v>1530</v>
      </c>
      <c r="C12" s="49"/>
      <c r="D12" s="49"/>
      <c r="E12" s="49"/>
      <c r="F12" s="49"/>
      <c r="G12" s="52"/>
      <c r="H12" s="52"/>
      <c r="I12" s="52"/>
      <c r="J12" s="52"/>
      <c r="K12" s="52"/>
      <c r="L12" s="52"/>
      <c r="M12" s="52"/>
      <c r="N12" s="52"/>
      <c r="O12" s="52">
        <f>SUM(O3:O11)</f>
        <v>19.5</v>
      </c>
      <c r="P12" s="49"/>
      <c r="Q12" s="237"/>
      <c r="R12" s="237"/>
      <c r="S12" s="237"/>
      <c r="T12" s="237"/>
      <c r="U12" s="237"/>
      <c r="V12" s="237"/>
      <c r="W12" s="237"/>
      <c r="X12" s="237"/>
      <c r="Y12" s="237"/>
      <c r="Z12" s="237"/>
    </row>
    <row r="13" spans="1:26" ht="33" customHeight="1">
      <c r="A13" s="238" t="s">
        <v>1531</v>
      </c>
      <c r="B13" s="56" t="s">
        <v>1532</v>
      </c>
      <c r="C13" s="49"/>
      <c r="D13" s="49"/>
      <c r="E13" s="49"/>
      <c r="F13" s="49"/>
      <c r="G13" s="52"/>
      <c r="H13" s="52"/>
      <c r="I13" s="52"/>
      <c r="J13" s="52"/>
      <c r="K13" s="52"/>
      <c r="L13" s="52"/>
      <c r="M13" s="52"/>
      <c r="N13" s="52"/>
      <c r="O13" s="52">
        <f>1.4-0.0362*O12</f>
        <v>0.69409999999999983</v>
      </c>
      <c r="P13" s="49"/>
      <c r="Q13" s="237"/>
      <c r="R13" s="237"/>
      <c r="S13" s="237"/>
      <c r="T13" s="237"/>
      <c r="U13" s="237"/>
      <c r="V13" s="237"/>
      <c r="W13" s="237"/>
      <c r="X13" s="237"/>
      <c r="Y13" s="237"/>
      <c r="Z13" s="237"/>
    </row>
    <row r="14" spans="1:26" ht="12.75" customHeight="1">
      <c r="A14" s="237"/>
      <c r="B14" s="237"/>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row>
    <row r="15" spans="1:26" ht="12.75" customHeight="1">
      <c r="A15" s="237"/>
      <c r="B15" s="237"/>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row>
    <row r="16" spans="1:26" ht="12.75" customHeight="1">
      <c r="A16" s="237"/>
      <c r="B16" s="237"/>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row>
    <row r="17" spans="1:26" ht="12.75" customHeight="1">
      <c r="A17" s="237"/>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row>
    <row r="18" spans="1:26" ht="12.75" customHeight="1">
      <c r="A18" s="237"/>
      <c r="B18" s="237"/>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row>
    <row r="19" spans="1:26" ht="12.75" customHeight="1">
      <c r="A19" s="237"/>
      <c r="B19" s="237"/>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row>
    <row r="20" spans="1:26" ht="12.75" customHeight="1">
      <c r="A20" s="237"/>
      <c r="B20" s="237"/>
      <c r="C20" s="237"/>
      <c r="D20" s="237"/>
      <c r="E20" s="237"/>
      <c r="F20" s="237"/>
      <c r="G20" s="237"/>
      <c r="H20" s="237"/>
      <c r="I20" s="237"/>
      <c r="J20" s="237"/>
      <c r="K20" s="237"/>
      <c r="L20" s="237"/>
      <c r="M20" s="237"/>
      <c r="N20" s="237"/>
      <c r="O20" s="237"/>
      <c r="P20" s="237"/>
      <c r="Q20" s="237"/>
      <c r="R20" s="237"/>
      <c r="S20" s="237"/>
      <c r="T20" s="237"/>
      <c r="U20" s="237"/>
      <c r="V20" s="237"/>
      <c r="W20" s="237"/>
      <c r="X20" s="237"/>
      <c r="Y20" s="237"/>
      <c r="Z20" s="237"/>
    </row>
    <row r="21" spans="1:26" ht="12.75" customHeight="1">
      <c r="A21" s="237"/>
      <c r="B21" s="237"/>
      <c r="C21" s="237"/>
      <c r="D21" s="237"/>
      <c r="E21" s="237"/>
      <c r="F21" s="237"/>
      <c r="G21" s="237"/>
      <c r="H21" s="237"/>
      <c r="I21" s="237"/>
      <c r="J21" s="237"/>
      <c r="K21" s="237"/>
      <c r="L21" s="237"/>
      <c r="M21" s="237"/>
      <c r="N21" s="237"/>
      <c r="O21" s="237"/>
      <c r="P21" s="237"/>
      <c r="Q21" s="237"/>
      <c r="R21" s="237"/>
      <c r="S21" s="237"/>
      <c r="T21" s="237"/>
      <c r="U21" s="237"/>
      <c r="V21" s="237"/>
      <c r="W21" s="237"/>
      <c r="X21" s="237"/>
      <c r="Y21" s="237"/>
      <c r="Z21" s="237"/>
    </row>
    <row r="22" spans="1:26" ht="12.75" customHeight="1">
      <c r="A22" s="237"/>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row>
    <row r="23" spans="1:26" ht="12.75" customHeight="1">
      <c r="A23" s="237"/>
      <c r="B23" s="237"/>
      <c r="C23" s="237"/>
      <c r="D23" s="237"/>
      <c r="E23" s="237"/>
      <c r="F23" s="237"/>
      <c r="G23" s="237"/>
      <c r="H23" s="237"/>
      <c r="I23" s="237"/>
      <c r="J23" s="237"/>
      <c r="K23" s="237"/>
      <c r="L23" s="237"/>
      <c r="M23" s="237"/>
      <c r="N23" s="237"/>
      <c r="O23" s="237"/>
      <c r="P23" s="237"/>
      <c r="Q23" s="237"/>
      <c r="R23" s="237"/>
      <c r="S23" s="237"/>
      <c r="T23" s="237"/>
      <c r="U23" s="237"/>
      <c r="V23" s="237"/>
      <c r="W23" s="237"/>
      <c r="X23" s="237"/>
      <c r="Y23" s="237"/>
      <c r="Z23" s="237"/>
    </row>
    <row r="24" spans="1:26" ht="12.75" customHeight="1">
      <c r="A24" s="237"/>
      <c r="B24" s="237"/>
      <c r="C24" s="237"/>
      <c r="D24" s="237"/>
      <c r="E24" s="237"/>
      <c r="F24" s="237"/>
      <c r="G24" s="237"/>
      <c r="H24" s="237"/>
      <c r="I24" s="237"/>
      <c r="J24" s="237"/>
      <c r="K24" s="237"/>
      <c r="L24" s="237"/>
      <c r="M24" s="237"/>
      <c r="N24" s="237"/>
      <c r="O24" s="237"/>
      <c r="P24" s="237"/>
      <c r="Q24" s="237"/>
      <c r="R24" s="237"/>
      <c r="S24" s="237"/>
      <c r="T24" s="237"/>
      <c r="U24" s="237"/>
      <c r="V24" s="237"/>
      <c r="W24" s="237"/>
      <c r="X24" s="237"/>
      <c r="Y24" s="237"/>
      <c r="Z24" s="237"/>
    </row>
    <row r="25" spans="1:26" ht="12.75" customHeight="1">
      <c r="A25" s="237"/>
      <c r="B25" s="237"/>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row>
    <row r="26" spans="1:26" ht="12.75" customHeight="1">
      <c r="A26" s="237"/>
      <c r="B26" s="237"/>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row>
    <row r="27" spans="1:26" ht="12.75" customHeight="1">
      <c r="A27" s="237"/>
      <c r="B27" s="237"/>
      <c r="C27" s="237"/>
      <c r="D27" s="237"/>
      <c r="E27" s="237"/>
      <c r="F27" s="237"/>
      <c r="G27" s="237"/>
      <c r="H27" s="237"/>
      <c r="I27" s="237"/>
      <c r="J27" s="237"/>
      <c r="K27" s="237"/>
      <c r="L27" s="237"/>
      <c r="M27" s="237"/>
      <c r="N27" s="237"/>
      <c r="O27" s="237"/>
      <c r="P27" s="237"/>
      <c r="Q27" s="237"/>
      <c r="R27" s="237"/>
      <c r="S27" s="237"/>
      <c r="T27" s="237"/>
      <c r="U27" s="237"/>
      <c r="V27" s="237"/>
      <c r="W27" s="237"/>
      <c r="X27" s="237"/>
      <c r="Y27" s="237"/>
      <c r="Z27" s="237"/>
    </row>
    <row r="28" spans="1:26" ht="12.75" customHeight="1">
      <c r="A28" s="237"/>
      <c r="B28" s="237"/>
      <c r="C28" s="237"/>
      <c r="D28" s="237"/>
      <c r="E28" s="237"/>
      <c r="F28" s="237"/>
      <c r="G28" s="237"/>
      <c r="H28" s="237"/>
      <c r="I28" s="237"/>
      <c r="J28" s="237"/>
      <c r="K28" s="237"/>
      <c r="L28" s="237"/>
      <c r="M28" s="237"/>
      <c r="N28" s="237"/>
      <c r="O28" s="237"/>
      <c r="P28" s="237"/>
      <c r="Q28" s="237"/>
      <c r="R28" s="237"/>
      <c r="S28" s="237"/>
      <c r="T28" s="237"/>
      <c r="U28" s="237"/>
      <c r="V28" s="237"/>
      <c r="W28" s="237"/>
      <c r="X28" s="237"/>
      <c r="Y28" s="237"/>
      <c r="Z28" s="237"/>
    </row>
    <row r="29" spans="1:26" ht="12.75" customHeight="1">
      <c r="A29" s="237"/>
      <c r="B29" s="237"/>
      <c r="C29" s="237"/>
      <c r="D29" s="237"/>
      <c r="E29" s="237"/>
      <c r="F29" s="237"/>
      <c r="G29" s="237"/>
      <c r="H29" s="237"/>
      <c r="I29" s="237"/>
      <c r="J29" s="237"/>
      <c r="K29" s="237"/>
      <c r="L29" s="237"/>
      <c r="M29" s="237"/>
      <c r="N29" s="237"/>
      <c r="O29" s="237"/>
      <c r="P29" s="237"/>
      <c r="Q29" s="237"/>
      <c r="R29" s="237"/>
      <c r="S29" s="237"/>
      <c r="T29" s="237"/>
      <c r="U29" s="237"/>
      <c r="V29" s="237"/>
      <c r="W29" s="237"/>
      <c r="X29" s="237"/>
      <c r="Y29" s="237"/>
      <c r="Z29" s="237"/>
    </row>
    <row r="30" spans="1:26" ht="12.75" customHeight="1">
      <c r="A30" s="237"/>
      <c r="B30" s="237"/>
      <c r="C30" s="237"/>
      <c r="D30" s="237"/>
      <c r="E30" s="237"/>
      <c r="F30" s="237"/>
      <c r="G30" s="237"/>
      <c r="H30" s="237"/>
      <c r="I30" s="237"/>
      <c r="J30" s="237"/>
      <c r="K30" s="237"/>
      <c r="L30" s="237"/>
      <c r="M30" s="237"/>
      <c r="N30" s="237"/>
      <c r="O30" s="237"/>
      <c r="P30" s="237"/>
      <c r="Q30" s="237"/>
      <c r="R30" s="237"/>
      <c r="S30" s="237"/>
      <c r="T30" s="237"/>
      <c r="U30" s="237"/>
      <c r="V30" s="237"/>
      <c r="W30" s="237"/>
      <c r="X30" s="237"/>
      <c r="Y30" s="237"/>
      <c r="Z30" s="237"/>
    </row>
    <row r="31" spans="1:26" ht="12.75" customHeight="1">
      <c r="A31" s="237"/>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row>
    <row r="32" spans="1:26" ht="12.75" customHeight="1">
      <c r="A32" s="237"/>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row>
    <row r="33" spans="1:26" ht="12.75" customHeight="1">
      <c r="A33" s="237"/>
      <c r="B33" s="237"/>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row>
    <row r="34" spans="1:26" ht="12.75" customHeight="1">
      <c r="A34" s="237"/>
      <c r="B34" s="237"/>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row>
    <row r="35" spans="1:26" ht="12.75" customHeight="1">
      <c r="A35" s="237"/>
      <c r="B35" s="237"/>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row>
    <row r="36" spans="1:26" ht="12.75" customHeight="1">
      <c r="A36" s="237"/>
      <c r="B36" s="237"/>
      <c r="C36" s="237"/>
      <c r="D36" s="237"/>
      <c r="E36" s="237"/>
      <c r="F36" s="237"/>
      <c r="G36" s="237"/>
      <c r="H36" s="237"/>
      <c r="I36" s="237"/>
      <c r="J36" s="237"/>
      <c r="K36" s="237"/>
      <c r="L36" s="237"/>
      <c r="M36" s="237"/>
      <c r="N36" s="237"/>
      <c r="O36" s="237"/>
      <c r="P36" s="237"/>
      <c r="Q36" s="237"/>
      <c r="R36" s="237"/>
      <c r="S36" s="237"/>
      <c r="T36" s="237"/>
      <c r="U36" s="237"/>
      <c r="V36" s="237"/>
      <c r="W36" s="237"/>
      <c r="X36" s="237"/>
      <c r="Y36" s="237"/>
      <c r="Z36" s="237"/>
    </row>
    <row r="37" spans="1:26" ht="12.75" customHeight="1">
      <c r="A37" s="237"/>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row>
    <row r="38" spans="1:26" ht="12.75" customHeight="1">
      <c r="A38" s="237"/>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row>
    <row r="39" spans="1:26" ht="12.75" customHeight="1">
      <c r="A39" s="237"/>
      <c r="B39" s="237"/>
      <c r="C39" s="237"/>
      <c r="D39" s="237"/>
      <c r="E39" s="237"/>
      <c r="F39" s="237"/>
      <c r="G39" s="237"/>
      <c r="H39" s="237"/>
      <c r="I39" s="237"/>
      <c r="J39" s="237"/>
      <c r="K39" s="237"/>
      <c r="L39" s="237"/>
      <c r="M39" s="237"/>
      <c r="N39" s="237"/>
      <c r="O39" s="237"/>
      <c r="P39" s="237"/>
      <c r="Q39" s="237"/>
      <c r="R39" s="237"/>
      <c r="S39" s="237"/>
      <c r="T39" s="237"/>
      <c r="U39" s="237"/>
      <c r="V39" s="237"/>
      <c r="W39" s="237"/>
      <c r="X39" s="237"/>
      <c r="Y39" s="237"/>
      <c r="Z39" s="237"/>
    </row>
    <row r="40" spans="1:26" ht="12.75" customHeight="1">
      <c r="A40" s="237"/>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row>
    <row r="41" spans="1:26" ht="12.75" customHeight="1">
      <c r="A41" s="237"/>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row>
    <row r="42" spans="1:26" ht="12.75" customHeight="1">
      <c r="A42" s="237"/>
      <c r="B42" s="237"/>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row>
    <row r="43" spans="1:26" ht="12.75" customHeight="1">
      <c r="A43" s="237"/>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row>
    <row r="44" spans="1:26" ht="12.75" customHeight="1">
      <c r="A44" s="237"/>
      <c r="B44" s="237"/>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row>
    <row r="45" spans="1:26" ht="12.75" customHeight="1">
      <c r="A45" s="237"/>
      <c r="B45" s="237"/>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row>
    <row r="46" spans="1:26" ht="12.75" customHeight="1">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row>
    <row r="47" spans="1:26" ht="12.75" customHeight="1">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row>
    <row r="48" spans="1:26" ht="12.75" customHeight="1">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row>
    <row r="49" spans="1:26" ht="12.75" customHeight="1">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row>
    <row r="50" spans="1:26" ht="12.75" customHeight="1">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row>
    <row r="51" spans="1:26" ht="12.75" customHeight="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row>
    <row r="52" spans="1:26" ht="12.75" customHeight="1">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row>
    <row r="53" spans="1:26" ht="12.75" customHeight="1">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row>
    <row r="54" spans="1:26" ht="12.75" customHeight="1">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row>
    <row r="55" spans="1:26" ht="12.75" customHeight="1">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row>
    <row r="56" spans="1:26" ht="12.75" customHeight="1">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row>
    <row r="57" spans="1:26" ht="12.75" customHeight="1">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row>
    <row r="58" spans="1:26" ht="12.75" customHeight="1">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row>
    <row r="59" spans="1:26" ht="12.75" customHeight="1">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row>
    <row r="60" spans="1:26" ht="12.75" customHeight="1">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row>
    <row r="61" spans="1:26" ht="12.75" customHeight="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row>
    <row r="62" spans="1:26" ht="12.75" customHeight="1">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row>
    <row r="63" spans="1:26" ht="12.75" customHeight="1">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row>
    <row r="64" spans="1:26" ht="12.75" customHeight="1">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row>
    <row r="65" spans="1:26" ht="12.75" customHeight="1">
      <c r="A65" s="237"/>
      <c r="B65" s="237"/>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row>
    <row r="66" spans="1:26" ht="12.75" customHeight="1">
      <c r="A66" s="237"/>
      <c r="B66" s="237"/>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row>
    <row r="67" spans="1:26" ht="12.75" customHeight="1">
      <c r="A67" s="237"/>
      <c r="B67" s="237"/>
      <c r="C67" s="237"/>
      <c r="D67" s="237"/>
      <c r="E67" s="237"/>
      <c r="F67" s="237"/>
      <c r="G67" s="237"/>
      <c r="H67" s="237"/>
      <c r="I67" s="237"/>
      <c r="J67" s="237"/>
      <c r="K67" s="237"/>
      <c r="L67" s="237"/>
      <c r="M67" s="237"/>
      <c r="N67" s="237"/>
      <c r="O67" s="237"/>
      <c r="P67" s="237"/>
      <c r="Q67" s="237"/>
      <c r="R67" s="237"/>
      <c r="S67" s="237"/>
      <c r="T67" s="237"/>
      <c r="U67" s="237"/>
      <c r="V67" s="237"/>
      <c r="W67" s="237"/>
      <c r="X67" s="237"/>
      <c r="Y67" s="237"/>
      <c r="Z67" s="237"/>
    </row>
    <row r="68" spans="1:26" ht="12.75" customHeight="1">
      <c r="A68" s="237"/>
      <c r="B68" s="237"/>
      <c r="C68" s="237"/>
      <c r="D68" s="237"/>
      <c r="E68" s="237"/>
      <c r="F68" s="237"/>
      <c r="G68" s="237"/>
      <c r="H68" s="237"/>
      <c r="I68" s="237"/>
      <c r="J68" s="237"/>
      <c r="K68" s="237"/>
      <c r="L68" s="237"/>
      <c r="M68" s="237"/>
      <c r="N68" s="237"/>
      <c r="O68" s="237"/>
      <c r="P68" s="237"/>
      <c r="Q68" s="237"/>
      <c r="R68" s="237"/>
      <c r="S68" s="237"/>
      <c r="T68" s="237"/>
      <c r="U68" s="237"/>
      <c r="V68" s="237"/>
      <c r="W68" s="237"/>
      <c r="X68" s="237"/>
      <c r="Y68" s="237"/>
      <c r="Z68" s="237"/>
    </row>
    <row r="69" spans="1:26" ht="12.75" customHeight="1">
      <c r="A69" s="237"/>
      <c r="B69" s="237"/>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row>
    <row r="70" spans="1:26" ht="12.75" customHeight="1">
      <c r="A70" s="237"/>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row>
    <row r="71" spans="1:26" ht="12.75" customHeight="1">
      <c r="A71" s="237"/>
      <c r="B71" s="237"/>
      <c r="C71" s="237"/>
      <c r="D71" s="237"/>
      <c r="E71" s="237"/>
      <c r="F71" s="237"/>
      <c r="G71" s="237"/>
      <c r="H71" s="237"/>
      <c r="I71" s="237"/>
      <c r="J71" s="237"/>
      <c r="K71" s="237"/>
      <c r="L71" s="237"/>
      <c r="M71" s="237"/>
      <c r="N71" s="237"/>
      <c r="O71" s="237"/>
      <c r="P71" s="237"/>
      <c r="Q71" s="237"/>
      <c r="R71" s="237"/>
      <c r="S71" s="237"/>
      <c r="T71" s="237"/>
      <c r="U71" s="237"/>
      <c r="V71" s="237"/>
      <c r="W71" s="237"/>
      <c r="X71" s="237"/>
      <c r="Y71" s="237"/>
      <c r="Z71" s="237"/>
    </row>
    <row r="72" spans="1:26" ht="12.75" customHeight="1">
      <c r="A72" s="237"/>
      <c r="B72" s="237"/>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row>
    <row r="73" spans="1:26" ht="12.75" customHeight="1">
      <c r="A73" s="237"/>
      <c r="B73" s="237"/>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row>
    <row r="74" spans="1:26" ht="12.75" customHeight="1">
      <c r="A74" s="237"/>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row>
    <row r="75" spans="1:26" ht="12.75" customHeight="1">
      <c r="A75" s="237"/>
      <c r="B75" s="237"/>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row>
    <row r="76" spans="1:26" ht="12.75" customHeight="1">
      <c r="A76" s="237"/>
      <c r="B76" s="237"/>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row>
    <row r="77" spans="1:26" ht="12.75" customHeight="1">
      <c r="A77" s="237"/>
      <c r="B77" s="237"/>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row>
    <row r="78" spans="1:26" ht="12.75" customHeight="1">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row>
    <row r="79" spans="1:26" ht="12.75" customHeight="1">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row>
    <row r="80" spans="1:26" ht="12.75" customHeight="1">
      <c r="A80" s="237"/>
      <c r="B80" s="237"/>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row>
    <row r="81" spans="1:26" ht="12.75" customHeight="1">
      <c r="A81" s="237"/>
      <c r="B81" s="237"/>
      <c r="C81" s="237"/>
      <c r="D81" s="237"/>
      <c r="E81" s="237"/>
      <c r="F81" s="237"/>
      <c r="G81" s="237"/>
      <c r="H81" s="237"/>
      <c r="I81" s="237"/>
      <c r="J81" s="237"/>
      <c r="K81" s="237"/>
      <c r="L81" s="237"/>
      <c r="M81" s="237"/>
      <c r="N81" s="237"/>
      <c r="O81" s="237"/>
      <c r="P81" s="237"/>
      <c r="Q81" s="237"/>
      <c r="R81" s="237"/>
      <c r="S81" s="237"/>
      <c r="T81" s="237"/>
      <c r="U81" s="237"/>
      <c r="V81" s="237"/>
      <c r="W81" s="237"/>
      <c r="X81" s="237"/>
      <c r="Y81" s="237"/>
      <c r="Z81" s="237"/>
    </row>
    <row r="82" spans="1:26" ht="12.75" customHeight="1">
      <c r="A82" s="237"/>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row>
    <row r="83" spans="1:26" ht="12.75" customHeight="1">
      <c r="A83" s="237"/>
      <c r="B83" s="237"/>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row>
    <row r="84" spans="1:26" ht="12.75" customHeight="1">
      <c r="A84" s="237"/>
      <c r="B84" s="237"/>
      <c r="C84" s="237"/>
      <c r="D84" s="237"/>
      <c r="E84" s="237"/>
      <c r="F84" s="237"/>
      <c r="G84" s="237"/>
      <c r="H84" s="237"/>
      <c r="I84" s="237"/>
      <c r="J84" s="237"/>
      <c r="K84" s="237"/>
      <c r="L84" s="237"/>
      <c r="M84" s="237"/>
      <c r="N84" s="237"/>
      <c r="O84" s="237"/>
      <c r="P84" s="237"/>
      <c r="Q84" s="237"/>
      <c r="R84" s="237"/>
      <c r="S84" s="237"/>
      <c r="T84" s="237"/>
      <c r="U84" s="237"/>
      <c r="V84" s="237"/>
      <c r="W84" s="237"/>
      <c r="X84" s="237"/>
      <c r="Y84" s="237"/>
      <c r="Z84" s="237"/>
    </row>
    <row r="85" spans="1:26" ht="12.75" customHeight="1">
      <c r="A85" s="237"/>
      <c r="B85" s="237"/>
      <c r="C85" s="237"/>
      <c r="D85" s="237"/>
      <c r="E85" s="237"/>
      <c r="F85" s="237"/>
      <c r="G85" s="237"/>
      <c r="H85" s="237"/>
      <c r="I85" s="237"/>
      <c r="J85" s="237"/>
      <c r="K85" s="237"/>
      <c r="L85" s="237"/>
      <c r="M85" s="237"/>
      <c r="N85" s="237"/>
      <c r="O85" s="237"/>
      <c r="P85" s="237"/>
      <c r="Q85" s="237"/>
      <c r="R85" s="237"/>
      <c r="S85" s="237"/>
      <c r="T85" s="237"/>
      <c r="U85" s="237"/>
      <c r="V85" s="237"/>
      <c r="W85" s="237"/>
      <c r="X85" s="237"/>
      <c r="Y85" s="237"/>
      <c r="Z85" s="237"/>
    </row>
    <row r="86" spans="1:26" ht="12.75" customHeight="1">
      <c r="A86" s="237"/>
      <c r="B86" s="237"/>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row>
    <row r="87" spans="1:26" ht="12.75" customHeight="1">
      <c r="A87" s="237"/>
      <c r="B87" s="237"/>
      <c r="C87" s="237"/>
      <c r="D87" s="237"/>
      <c r="E87" s="237"/>
      <c r="F87" s="237"/>
      <c r="G87" s="237"/>
      <c r="H87" s="237"/>
      <c r="I87" s="237"/>
      <c r="J87" s="237"/>
      <c r="K87" s="237"/>
      <c r="L87" s="237"/>
      <c r="M87" s="237"/>
      <c r="N87" s="237"/>
      <c r="O87" s="237"/>
      <c r="P87" s="237"/>
      <c r="Q87" s="237"/>
      <c r="R87" s="237"/>
      <c r="S87" s="237"/>
      <c r="T87" s="237"/>
      <c r="U87" s="237"/>
      <c r="V87" s="237"/>
      <c r="W87" s="237"/>
      <c r="X87" s="237"/>
      <c r="Y87" s="237"/>
      <c r="Z87" s="237"/>
    </row>
    <row r="88" spans="1:26" ht="12.75" customHeight="1">
      <c r="A88" s="237"/>
      <c r="B88" s="237"/>
      <c r="C88" s="237"/>
      <c r="D88" s="237"/>
      <c r="E88" s="237"/>
      <c r="F88" s="237"/>
      <c r="G88" s="237"/>
      <c r="H88" s="237"/>
      <c r="I88" s="237"/>
      <c r="J88" s="237"/>
      <c r="K88" s="237"/>
      <c r="L88" s="237"/>
      <c r="M88" s="237"/>
      <c r="N88" s="237"/>
      <c r="O88" s="237"/>
      <c r="P88" s="237"/>
      <c r="Q88" s="237"/>
      <c r="R88" s="237"/>
      <c r="S88" s="237"/>
      <c r="T88" s="237"/>
      <c r="U88" s="237"/>
      <c r="V88" s="237"/>
      <c r="W88" s="237"/>
      <c r="X88" s="237"/>
      <c r="Y88" s="237"/>
      <c r="Z88" s="237"/>
    </row>
    <row r="89" spans="1:26" ht="12.75" customHeight="1">
      <c r="A89" s="237"/>
      <c r="B89" s="237"/>
      <c r="C89" s="237"/>
      <c r="D89" s="237"/>
      <c r="E89" s="237"/>
      <c r="F89" s="237"/>
      <c r="G89" s="237"/>
      <c r="H89" s="237"/>
      <c r="I89" s="237"/>
      <c r="J89" s="237"/>
      <c r="K89" s="237"/>
      <c r="L89" s="237"/>
      <c r="M89" s="237"/>
      <c r="N89" s="237"/>
      <c r="O89" s="237"/>
      <c r="P89" s="237"/>
      <c r="Q89" s="237"/>
      <c r="R89" s="237"/>
      <c r="S89" s="237"/>
      <c r="T89" s="237"/>
      <c r="U89" s="237"/>
      <c r="V89" s="237"/>
      <c r="W89" s="237"/>
      <c r="X89" s="237"/>
      <c r="Y89" s="237"/>
      <c r="Z89" s="237"/>
    </row>
    <row r="90" spans="1:26" ht="12.75" customHeight="1">
      <c r="A90" s="237"/>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row>
    <row r="91" spans="1:26" ht="12.75" customHeight="1">
      <c r="A91" s="237"/>
      <c r="B91" s="237"/>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row>
    <row r="92" spans="1:26" ht="12.75" customHeight="1">
      <c r="A92" s="237"/>
      <c r="B92" s="237"/>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row>
    <row r="93" spans="1:26" ht="12.75" customHeight="1">
      <c r="A93" s="237"/>
      <c r="B93" s="237"/>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row>
    <row r="94" spans="1:26" ht="12.75" customHeight="1">
      <c r="A94" s="237"/>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row>
    <row r="95" spans="1:26" ht="12.75" customHeight="1">
      <c r="A95" s="237"/>
      <c r="B95" s="237"/>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row>
    <row r="96" spans="1:26" ht="12.75" customHeight="1">
      <c r="A96" s="237"/>
      <c r="B96" s="237"/>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row>
    <row r="97" spans="1:26" ht="12.75" customHeight="1">
      <c r="A97" s="237"/>
      <c r="B97" s="237"/>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row>
    <row r="98" spans="1:26" ht="12.75" customHeight="1">
      <c r="A98" s="237"/>
      <c r="B98" s="237"/>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row r="99" spans="1:26" ht="12.75" customHeight="1">
      <c r="A99" s="237"/>
      <c r="B99" s="237"/>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row>
    <row r="100" spans="1:26" ht="12.75" customHeight="1">
      <c r="A100" s="237"/>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row>
    <row r="101" spans="1:26" ht="12.75" customHeight="1">
      <c r="A101" s="237"/>
      <c r="B101" s="237"/>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row>
    <row r="102" spans="1:26" ht="12.75" customHeight="1">
      <c r="A102" s="237"/>
      <c r="B102" s="237"/>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row>
    <row r="103" spans="1:26" ht="12.75" customHeight="1">
      <c r="A103" s="237"/>
      <c r="B103" s="237"/>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row>
    <row r="104" spans="1:26" ht="12.75" customHeight="1">
      <c r="A104" s="237"/>
      <c r="B104" s="237"/>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row>
    <row r="105" spans="1:26" ht="12.75" customHeight="1">
      <c r="A105" s="237"/>
      <c r="B105" s="237"/>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row>
    <row r="106" spans="1:26" ht="12.75" customHeight="1">
      <c r="A106" s="237"/>
      <c r="B106" s="237"/>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row>
    <row r="107" spans="1:26" ht="12.75" customHeight="1">
      <c r="A107" s="237"/>
      <c r="B107" s="237"/>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row>
    <row r="108" spans="1:26" ht="12.75" customHeight="1">
      <c r="A108" s="237"/>
      <c r="B108" s="237"/>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row>
    <row r="109" spans="1:26" ht="12.75" customHeight="1">
      <c r="A109" s="237"/>
      <c r="B109" s="237"/>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row>
    <row r="110" spans="1:26" ht="12.75" customHeight="1">
      <c r="A110" s="237"/>
      <c r="B110" s="237"/>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row>
    <row r="111" spans="1:26" ht="12.75" customHeight="1">
      <c r="A111" s="237"/>
      <c r="B111" s="237"/>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row>
    <row r="112" spans="1:26" ht="12.75" customHeight="1">
      <c r="A112" s="237"/>
      <c r="B112" s="237"/>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row>
    <row r="113" spans="1:26" ht="12.75" customHeight="1">
      <c r="A113" s="237"/>
      <c r="B113" s="237"/>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row>
    <row r="114" spans="1:26" ht="12.75" customHeight="1">
      <c r="A114" s="237"/>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row>
    <row r="115" spans="1:26" ht="12.75" customHeight="1">
      <c r="A115" s="237"/>
      <c r="B115" s="237"/>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row>
    <row r="116" spans="1:26" ht="12.75" customHeight="1">
      <c r="A116" s="237"/>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row>
    <row r="117" spans="1:26" ht="12.75" customHeight="1">
      <c r="A117" s="237"/>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row>
    <row r="118" spans="1:26" ht="12.75" customHeight="1">
      <c r="A118" s="237"/>
      <c r="B118" s="237"/>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row>
    <row r="119" spans="1:26" ht="12.75" customHeight="1">
      <c r="A119" s="237"/>
      <c r="B119" s="237"/>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row>
    <row r="120" spans="1:26" ht="12.75" customHeight="1">
      <c r="A120" s="237"/>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row>
    <row r="121" spans="1:26" ht="12.75" customHeight="1">
      <c r="A121" s="237"/>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row>
    <row r="122" spans="1:26" ht="12.75" customHeight="1">
      <c r="A122" s="237"/>
      <c r="B122" s="237"/>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row>
    <row r="123" spans="1:26" ht="12.75" customHeight="1">
      <c r="A123" s="237"/>
      <c r="B123" s="237"/>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row>
    <row r="124" spans="1:26" ht="12.75" customHeight="1">
      <c r="A124" s="237"/>
      <c r="B124" s="237"/>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row>
    <row r="125" spans="1:26" ht="12.75" customHeight="1">
      <c r="A125" s="237"/>
      <c r="B125" s="237"/>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row>
    <row r="126" spans="1:26" ht="12.75" customHeight="1">
      <c r="A126" s="237"/>
      <c r="B126" s="237"/>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row>
    <row r="127" spans="1:26" ht="12.75" customHeight="1">
      <c r="A127" s="237"/>
      <c r="B127" s="237"/>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row>
    <row r="128" spans="1:26" ht="12.75" customHeight="1">
      <c r="A128" s="237"/>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row>
    <row r="129" spans="1:26" ht="12.75" customHeight="1">
      <c r="A129" s="237"/>
      <c r="B129" s="237"/>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row>
    <row r="130" spans="1:26" ht="12.75" customHeight="1">
      <c r="A130" s="237"/>
      <c r="B130" s="237"/>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row>
    <row r="131" spans="1:26" ht="12.75" customHeight="1">
      <c r="A131" s="237"/>
      <c r="B131" s="237"/>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row>
    <row r="132" spans="1:26" ht="12.75" customHeight="1">
      <c r="A132" s="237"/>
      <c r="B132" s="237"/>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row>
    <row r="133" spans="1:26" ht="12.75" customHeight="1">
      <c r="A133" s="237"/>
      <c r="B133" s="237"/>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row>
    <row r="134" spans="1:26" ht="12.75" customHeight="1">
      <c r="A134" s="237"/>
      <c r="B134" s="237"/>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row>
    <row r="135" spans="1:26" ht="12.75" customHeight="1">
      <c r="A135" s="237"/>
      <c r="B135" s="237"/>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row>
    <row r="136" spans="1:26" ht="12.75" customHeight="1">
      <c r="A136" s="237"/>
      <c r="B136" s="237"/>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row>
    <row r="137" spans="1:26" ht="12.75" customHeight="1">
      <c r="A137" s="237"/>
      <c r="B137" s="237"/>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row>
    <row r="138" spans="1:26" ht="12.75" customHeight="1">
      <c r="A138" s="237"/>
      <c r="B138" s="237"/>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row>
    <row r="139" spans="1:26" ht="12.75" customHeight="1">
      <c r="A139" s="237"/>
      <c r="B139" s="237"/>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row>
    <row r="140" spans="1:26" ht="12.75" customHeight="1">
      <c r="A140" s="237"/>
      <c r="B140" s="237"/>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row>
    <row r="141" spans="1:26" ht="12.75" customHeight="1">
      <c r="A141" s="237"/>
      <c r="B141" s="237"/>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row>
    <row r="142" spans="1:26" ht="12.75" customHeight="1">
      <c r="A142" s="237"/>
      <c r="B142" s="237"/>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row>
    <row r="143" spans="1:26" ht="12.75" customHeight="1">
      <c r="A143" s="237"/>
      <c r="B143" s="237"/>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row>
    <row r="144" spans="1:26" ht="12.75" customHeight="1">
      <c r="A144" s="237"/>
      <c r="B144" s="237"/>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row>
    <row r="145" spans="1:26" ht="12.75" customHeight="1">
      <c r="A145" s="237"/>
      <c r="B145" s="237"/>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row>
    <row r="146" spans="1:26" ht="12.75" customHeight="1">
      <c r="A146" s="237"/>
      <c r="B146" s="237"/>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row>
    <row r="147" spans="1:26" ht="12.75" customHeight="1">
      <c r="A147" s="237"/>
      <c r="B147" s="237"/>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row>
    <row r="148" spans="1:26" ht="12.75" customHeight="1">
      <c r="A148" s="237"/>
      <c r="B148" s="237"/>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row>
    <row r="149" spans="1:26" ht="12.75" customHeight="1">
      <c r="A149" s="237"/>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row>
    <row r="150" spans="1:26" ht="12.75" customHeight="1">
      <c r="A150" s="237"/>
      <c r="B150" s="237"/>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row>
    <row r="151" spans="1:26" ht="12.75" customHeight="1">
      <c r="A151" s="237"/>
      <c r="B151" s="237"/>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row>
    <row r="152" spans="1:26" ht="12.75" customHeight="1">
      <c r="A152" s="237"/>
      <c r="B152" s="237"/>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row>
    <row r="153" spans="1:26" ht="12.75" customHeight="1">
      <c r="A153" s="237"/>
      <c r="B153" s="237"/>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row>
    <row r="154" spans="1:26" ht="12.75" customHeight="1">
      <c r="A154" s="237"/>
      <c r="B154" s="237"/>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row>
    <row r="155" spans="1:26" ht="12.75" customHeight="1">
      <c r="A155" s="237"/>
      <c r="B155" s="237"/>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row>
    <row r="156" spans="1:26" ht="12.75" customHeight="1">
      <c r="A156" s="237"/>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row>
    <row r="157" spans="1:26" ht="12.75" customHeight="1">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row>
    <row r="158" spans="1:26" ht="12.75" customHeight="1">
      <c r="A158" s="237"/>
      <c r="B158" s="237"/>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row>
    <row r="159" spans="1:26" ht="12.75" customHeight="1">
      <c r="A159" s="237"/>
      <c r="B159" s="237"/>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row>
    <row r="160" spans="1:26" ht="12.75" customHeight="1">
      <c r="A160" s="237"/>
      <c r="B160" s="237"/>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row>
    <row r="161" spans="1:26" ht="12.75" customHeight="1">
      <c r="A161" s="237"/>
      <c r="B161" s="237"/>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row>
    <row r="162" spans="1:26" ht="12.75" customHeight="1">
      <c r="A162" s="237"/>
      <c r="B162" s="237"/>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row>
    <row r="163" spans="1:26" ht="12.75" customHeight="1">
      <c r="A163" s="237"/>
      <c r="B163" s="237"/>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row>
    <row r="164" spans="1:26" ht="12.75" customHeight="1">
      <c r="A164" s="237"/>
      <c r="B164" s="237"/>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row>
    <row r="165" spans="1:26" ht="12.75" customHeight="1">
      <c r="A165" s="237"/>
      <c r="B165" s="237"/>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row>
    <row r="166" spans="1:26" ht="12.75" customHeight="1">
      <c r="A166" s="237"/>
      <c r="B166" s="237"/>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row>
    <row r="167" spans="1:26" ht="12.75" customHeight="1">
      <c r="A167" s="237"/>
      <c r="B167" s="237"/>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row>
    <row r="168" spans="1:26" ht="12.75" customHeight="1">
      <c r="A168" s="237"/>
      <c r="B168" s="237"/>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row>
    <row r="169" spans="1:26" ht="12.75" customHeight="1">
      <c r="A169" s="237"/>
      <c r="B169" s="237"/>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row>
    <row r="170" spans="1:26" ht="12.75" customHeight="1">
      <c r="A170" s="237"/>
      <c r="B170" s="237"/>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row>
    <row r="171" spans="1:26" ht="12.75" customHeight="1">
      <c r="A171" s="237"/>
      <c r="B171" s="237"/>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row>
    <row r="172" spans="1:26" ht="12.75" customHeight="1">
      <c r="A172" s="237"/>
      <c r="B172" s="237"/>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row>
    <row r="173" spans="1:26" ht="12.75" customHeight="1">
      <c r="A173" s="237"/>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row>
    <row r="174" spans="1:26" ht="12.75" customHeight="1">
      <c r="A174" s="237"/>
      <c r="B174" s="237"/>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row>
    <row r="175" spans="1:26" ht="12.75" customHeight="1">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row>
    <row r="176" spans="1:26" ht="12.75" customHeight="1">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row>
    <row r="177" spans="1:26" ht="12.75" customHeight="1">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row>
    <row r="178" spans="1:26" ht="12.75" customHeight="1">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row>
    <row r="179" spans="1:26" ht="12.75" customHeight="1">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row>
    <row r="180" spans="1:26" ht="12.75" customHeight="1">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row>
    <row r="181" spans="1:26" ht="12.75" customHeight="1">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row>
    <row r="182" spans="1:26" ht="12.75" customHeight="1">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row>
    <row r="183" spans="1:26" ht="12.75" customHeight="1">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row>
    <row r="184" spans="1:26" ht="12.75" customHeight="1">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row>
    <row r="185" spans="1:26" ht="12.75" customHeight="1">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row>
    <row r="186" spans="1:26" ht="12.75" customHeight="1">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row>
    <row r="187" spans="1:26" ht="12.75" customHeight="1">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row>
    <row r="188" spans="1:26" ht="12.75" customHeight="1">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row>
    <row r="189" spans="1:26" ht="12.75" customHeight="1">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row>
    <row r="190" spans="1:26" ht="12.75" customHeight="1">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row>
    <row r="191" spans="1:26" ht="12.75" customHeight="1">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row>
    <row r="192" spans="1:26" ht="12.75" customHeight="1">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row>
    <row r="193" spans="1:26" ht="12.75" customHeight="1">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row>
    <row r="194" spans="1:26" ht="12.75" customHeight="1">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row>
    <row r="195" spans="1:26" ht="12.75" customHeight="1">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row>
    <row r="196" spans="1:26" ht="12.75" customHeight="1">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row>
    <row r="197" spans="1:26" ht="12.75" customHeight="1">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row>
    <row r="198" spans="1:26" ht="12.75" customHeight="1">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row>
    <row r="199" spans="1:26" ht="12.75" customHeight="1">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row>
    <row r="200" spans="1:26" ht="12.75" customHeight="1">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row>
    <row r="201" spans="1:26" ht="12.75" customHeight="1">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row>
    <row r="202" spans="1:26" ht="12.75" customHeight="1">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row>
    <row r="203" spans="1:26" ht="12.75" customHeight="1">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row>
    <row r="204" spans="1:26" ht="12.75" customHeight="1">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row>
    <row r="205" spans="1:26" ht="12.75" customHeight="1">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row>
    <row r="206" spans="1:26" ht="12.75" customHeight="1">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row>
    <row r="207" spans="1:26" ht="12.75" customHeight="1">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row>
    <row r="208" spans="1:26" ht="12.75" customHeight="1">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row>
    <row r="209" spans="1:26" ht="12.75" customHeight="1">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row>
    <row r="210" spans="1:26" ht="12.75" customHeight="1">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row>
    <row r="211" spans="1:26" ht="12.75" customHeight="1">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row>
    <row r="212" spans="1:26" ht="12.75" customHeight="1">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row>
    <row r="213" spans="1:26" ht="12.75" customHeight="1">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row>
    <row r="214" spans="1:26" ht="12.75" customHeight="1">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row>
    <row r="215" spans="1:26" ht="12.75" customHeight="1">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row>
    <row r="216" spans="1:26" ht="12.75" customHeight="1">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row>
    <row r="217" spans="1:26" ht="12.75" customHeight="1">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row>
    <row r="218" spans="1:26" ht="12.75" customHeight="1">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row>
    <row r="219" spans="1:26" ht="12.75" customHeight="1">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row>
    <row r="220" spans="1:26" ht="12.75" customHeight="1">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pageMargins left="0.75" right="0.75" top="1" bottom="1"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0.109375" defaultRowHeight="15" customHeight="1"/>
  <cols>
    <col min="1" max="1" width="4.21875" customWidth="1"/>
    <col min="2" max="2" width="14.44140625" customWidth="1"/>
    <col min="3" max="10" width="10.44140625" customWidth="1"/>
    <col min="11" max="11" width="35.77734375" customWidth="1"/>
    <col min="12" max="12" width="40.44140625" customWidth="1"/>
    <col min="13" max="26" width="9.109375" customWidth="1"/>
  </cols>
  <sheetData>
    <row r="1" spans="1:26" ht="14.25" customHeight="1">
      <c r="A1" s="252"/>
      <c r="B1" s="253" t="s">
        <v>1533</v>
      </c>
      <c r="C1" s="253" t="s">
        <v>4</v>
      </c>
      <c r="D1" s="252"/>
      <c r="E1" s="252"/>
      <c r="F1" s="252"/>
      <c r="G1" s="252"/>
      <c r="H1" s="252"/>
      <c r="I1" s="252"/>
      <c r="J1" s="252"/>
      <c r="K1" s="252"/>
      <c r="L1" s="252"/>
      <c r="M1" s="252"/>
      <c r="N1" s="252"/>
      <c r="O1" s="252"/>
      <c r="P1" s="252"/>
      <c r="Q1" s="252"/>
      <c r="R1" s="252"/>
      <c r="S1" s="252"/>
      <c r="T1" s="252"/>
      <c r="U1" s="252"/>
      <c r="V1" s="252"/>
      <c r="W1" s="252"/>
      <c r="X1" s="252"/>
      <c r="Y1" s="252"/>
      <c r="Z1" s="252"/>
    </row>
    <row r="2" spans="1:26" ht="14.25" customHeight="1">
      <c r="A2" s="252"/>
      <c r="B2" s="65" t="s">
        <v>1534</v>
      </c>
      <c r="C2" s="254" t="s">
        <v>6</v>
      </c>
      <c r="D2" s="252"/>
      <c r="E2" s="252"/>
      <c r="F2" s="252"/>
      <c r="G2" s="252"/>
      <c r="H2" s="252"/>
      <c r="I2" s="252"/>
      <c r="J2" s="252"/>
      <c r="K2" s="252"/>
      <c r="L2" s="252"/>
      <c r="M2" s="252"/>
      <c r="N2" s="252"/>
      <c r="O2" s="252"/>
      <c r="P2" s="252"/>
      <c r="Q2" s="252"/>
      <c r="R2" s="252"/>
      <c r="S2" s="252"/>
      <c r="T2" s="252"/>
      <c r="U2" s="252"/>
      <c r="V2" s="252"/>
      <c r="W2" s="252"/>
      <c r="X2" s="252"/>
      <c r="Y2" s="252"/>
      <c r="Z2" s="252"/>
    </row>
    <row r="3" spans="1:26" ht="14.25" customHeight="1">
      <c r="A3" s="252"/>
      <c r="B3" s="255" t="s">
        <v>1535</v>
      </c>
      <c r="C3" s="256">
        <f>IFERROR(HLOOKUP(C2,$C$30:$F$31,2,TRUE),"")</f>
        <v>1.2</v>
      </c>
      <c r="D3" s="252"/>
      <c r="E3" s="252"/>
      <c r="F3" s="252"/>
      <c r="G3" s="252"/>
      <c r="H3" s="252"/>
      <c r="I3" s="252"/>
      <c r="J3" s="252"/>
      <c r="K3" s="252"/>
      <c r="L3" s="252"/>
      <c r="M3" s="252"/>
      <c r="N3" s="252"/>
      <c r="O3" s="252"/>
      <c r="P3" s="252"/>
      <c r="Q3" s="252"/>
      <c r="R3" s="252"/>
      <c r="S3" s="252"/>
      <c r="T3" s="252"/>
      <c r="U3" s="252"/>
      <c r="V3" s="252"/>
      <c r="W3" s="252"/>
      <c r="X3" s="252"/>
      <c r="Y3" s="252"/>
      <c r="Z3" s="252"/>
    </row>
    <row r="4" spans="1:26" ht="14.25" customHeight="1">
      <c r="A4" s="252"/>
      <c r="B4" s="255" t="s">
        <v>1536</v>
      </c>
      <c r="C4" s="257">
        <f>IFERROR(HLOOKUP(C2,$C$34:$F$35,2,TRUE),"")</f>
        <v>4960000</v>
      </c>
      <c r="D4" s="252"/>
      <c r="E4" s="252"/>
      <c r="F4" s="252"/>
      <c r="G4" s="252"/>
      <c r="H4" s="252"/>
      <c r="I4" s="252"/>
      <c r="J4" s="252"/>
      <c r="K4" s="252"/>
      <c r="L4" s="252"/>
      <c r="M4" s="252"/>
      <c r="N4" s="252"/>
      <c r="O4" s="252"/>
      <c r="P4" s="252"/>
      <c r="Q4" s="252"/>
      <c r="R4" s="252"/>
      <c r="S4" s="252"/>
      <c r="T4" s="252"/>
      <c r="U4" s="252"/>
      <c r="V4" s="252"/>
      <c r="W4" s="252"/>
      <c r="X4" s="252"/>
      <c r="Y4" s="252"/>
      <c r="Z4" s="252"/>
    </row>
    <row r="5" spans="1:26" ht="14.25" customHeight="1">
      <c r="A5" s="252"/>
      <c r="B5" s="252"/>
      <c r="C5" s="258"/>
      <c r="D5" s="252"/>
      <c r="E5" s="252"/>
      <c r="F5" s="252"/>
      <c r="G5" s="252"/>
      <c r="H5" s="252"/>
      <c r="I5" s="252"/>
      <c r="J5" s="252"/>
      <c r="K5" s="252"/>
      <c r="L5" s="252"/>
      <c r="M5" s="252"/>
      <c r="N5" s="252"/>
      <c r="O5" s="252"/>
      <c r="P5" s="252"/>
      <c r="Q5" s="252"/>
      <c r="R5" s="252"/>
      <c r="S5" s="252"/>
      <c r="T5" s="252"/>
      <c r="U5" s="252"/>
      <c r="V5" s="252"/>
      <c r="W5" s="252"/>
      <c r="X5" s="252"/>
      <c r="Y5" s="252"/>
      <c r="Z5" s="252"/>
    </row>
    <row r="6" spans="1:26" ht="14.25" customHeight="1">
      <c r="A6" s="346" t="s">
        <v>1537</v>
      </c>
      <c r="B6" s="380"/>
      <c r="C6" s="380"/>
      <c r="D6" s="380"/>
      <c r="E6" s="380"/>
      <c r="F6" s="380"/>
      <c r="G6" s="380"/>
      <c r="H6" s="380"/>
      <c r="I6" s="380"/>
      <c r="J6" s="380"/>
      <c r="K6" s="380"/>
      <c r="L6" s="252"/>
      <c r="M6" s="252"/>
      <c r="N6" s="252"/>
      <c r="O6" s="252"/>
      <c r="P6" s="252"/>
      <c r="Q6" s="252"/>
      <c r="R6" s="252"/>
      <c r="S6" s="252"/>
      <c r="T6" s="252"/>
      <c r="U6" s="252"/>
      <c r="V6" s="252"/>
      <c r="W6" s="252"/>
      <c r="X6" s="252"/>
      <c r="Y6" s="252"/>
      <c r="Z6" s="252"/>
    </row>
    <row r="7" spans="1:26" ht="14.25" customHeight="1">
      <c r="A7" s="259"/>
      <c r="B7" s="259"/>
      <c r="C7" s="330"/>
      <c r="D7" s="330"/>
      <c r="E7" s="330"/>
      <c r="F7" s="330"/>
      <c r="G7" s="330"/>
      <c r="H7" s="330"/>
      <c r="I7" s="330"/>
      <c r="J7" s="367" t="s">
        <v>1538</v>
      </c>
      <c r="K7" s="381"/>
      <c r="L7" s="252"/>
      <c r="M7" s="252"/>
      <c r="N7" s="252"/>
      <c r="O7" s="252"/>
      <c r="P7" s="252"/>
      <c r="Q7" s="252"/>
      <c r="R7" s="252"/>
      <c r="S7" s="252"/>
      <c r="T7" s="252"/>
      <c r="U7" s="252"/>
      <c r="V7" s="252"/>
      <c r="W7" s="252"/>
      <c r="X7" s="252"/>
      <c r="Y7" s="252"/>
      <c r="Z7" s="252"/>
    </row>
    <row r="8" spans="1:26" ht="14.25" customHeight="1">
      <c r="A8" s="260" t="s">
        <v>116</v>
      </c>
      <c r="B8" s="260" t="s">
        <v>1539</v>
      </c>
      <c r="C8" s="366" t="s">
        <v>1540</v>
      </c>
      <c r="D8" s="386"/>
      <c r="E8" s="386"/>
      <c r="F8" s="386"/>
      <c r="G8" s="386"/>
      <c r="H8" s="386"/>
      <c r="I8" s="386"/>
      <c r="J8" s="382"/>
      <c r="K8" s="261" t="s">
        <v>5</v>
      </c>
      <c r="L8" s="252"/>
      <c r="M8" s="252"/>
      <c r="N8" s="252"/>
      <c r="O8" s="252"/>
      <c r="P8" s="252"/>
      <c r="Q8" s="252"/>
      <c r="R8" s="252"/>
      <c r="S8" s="252"/>
      <c r="T8" s="252"/>
      <c r="U8" s="252"/>
      <c r="V8" s="252"/>
      <c r="W8" s="252"/>
      <c r="X8" s="252"/>
      <c r="Y8" s="252"/>
      <c r="Z8" s="252"/>
    </row>
    <row r="9" spans="1:26" ht="14.25" customHeight="1">
      <c r="A9" s="262">
        <v>1</v>
      </c>
      <c r="B9" s="263" t="s">
        <v>1541</v>
      </c>
      <c r="C9" s="262" t="s">
        <v>1461</v>
      </c>
      <c r="D9" s="262" t="s">
        <v>1542</v>
      </c>
      <c r="E9" s="262" t="s">
        <v>1543</v>
      </c>
      <c r="F9" s="262" t="s">
        <v>1544</v>
      </c>
      <c r="G9" s="262" t="s">
        <v>1545</v>
      </c>
      <c r="H9" s="262" t="s">
        <v>1546</v>
      </c>
      <c r="I9" s="262" t="s">
        <v>1547</v>
      </c>
      <c r="J9" s="262" t="s">
        <v>1548</v>
      </c>
      <c r="K9" s="264"/>
      <c r="L9" s="252"/>
      <c r="M9" s="252"/>
      <c r="N9" s="252"/>
      <c r="O9" s="252"/>
      <c r="P9" s="252"/>
      <c r="Q9" s="252"/>
      <c r="R9" s="252"/>
      <c r="S9" s="252"/>
      <c r="T9" s="252"/>
      <c r="U9" s="252"/>
      <c r="V9" s="252"/>
      <c r="W9" s="252"/>
      <c r="X9" s="252"/>
      <c r="Y9" s="252"/>
      <c r="Z9" s="252"/>
    </row>
    <row r="10" spans="1:26" ht="14.25" customHeight="1">
      <c r="A10" s="262">
        <v>2</v>
      </c>
      <c r="B10" s="263" t="s">
        <v>1549</v>
      </c>
      <c r="C10" s="164">
        <v>2.34</v>
      </c>
      <c r="D10" s="164">
        <v>2.65</v>
      </c>
      <c r="E10" s="164">
        <v>2.96</v>
      </c>
      <c r="F10" s="164">
        <v>3.27</v>
      </c>
      <c r="G10" s="164">
        <v>3.58</v>
      </c>
      <c r="H10" s="164">
        <v>3.89</v>
      </c>
      <c r="I10" s="164">
        <v>4.2</v>
      </c>
      <c r="J10" s="164">
        <v>4.51</v>
      </c>
      <c r="K10" s="265" t="s">
        <v>1550</v>
      </c>
      <c r="L10" s="252"/>
      <c r="M10" s="252"/>
      <c r="N10" s="252"/>
      <c r="O10" s="252"/>
      <c r="P10" s="252"/>
      <c r="Q10" s="252"/>
      <c r="R10" s="252"/>
      <c r="S10" s="252"/>
      <c r="T10" s="252"/>
      <c r="U10" s="252"/>
      <c r="V10" s="252"/>
      <c r="W10" s="252"/>
      <c r="X10" s="252"/>
      <c r="Y10" s="252"/>
      <c r="Z10" s="252"/>
    </row>
    <row r="11" spans="1:26" ht="14.25" customHeight="1">
      <c r="A11" s="262">
        <v>3</v>
      </c>
      <c r="B11" s="263" t="s">
        <v>1551</v>
      </c>
      <c r="C11" s="266">
        <v>2340000</v>
      </c>
      <c r="D11" s="266">
        <v>2340000</v>
      </c>
      <c r="E11" s="266">
        <v>2340000</v>
      </c>
      <c r="F11" s="266">
        <v>2340000</v>
      </c>
      <c r="G11" s="266">
        <v>2340000</v>
      </c>
      <c r="H11" s="266">
        <v>2340000</v>
      </c>
      <c r="I11" s="266">
        <v>2340000</v>
      </c>
      <c r="J11" s="266">
        <v>2340000</v>
      </c>
      <c r="K11" s="265" t="s">
        <v>1552</v>
      </c>
      <c r="L11" s="252"/>
      <c r="M11" s="252"/>
      <c r="N11" s="252"/>
      <c r="O11" s="252"/>
      <c r="P11" s="252"/>
      <c r="Q11" s="252"/>
      <c r="R11" s="252"/>
      <c r="S11" s="252"/>
      <c r="T11" s="252"/>
      <c r="U11" s="252"/>
      <c r="V11" s="252"/>
      <c r="W11" s="252"/>
      <c r="X11" s="252"/>
      <c r="Y11" s="252"/>
      <c r="Z11" s="252"/>
    </row>
    <row r="12" spans="1:26" ht="14.25" customHeight="1">
      <c r="A12" s="262">
        <v>4</v>
      </c>
      <c r="B12" s="263" t="s">
        <v>1553</v>
      </c>
      <c r="C12" s="267">
        <f t="shared" ref="C12:J12" si="0">$C$3</f>
        <v>1.2</v>
      </c>
      <c r="D12" s="267">
        <f t="shared" si="0"/>
        <v>1.2</v>
      </c>
      <c r="E12" s="267">
        <f t="shared" si="0"/>
        <v>1.2</v>
      </c>
      <c r="F12" s="267">
        <f t="shared" si="0"/>
        <v>1.2</v>
      </c>
      <c r="G12" s="267">
        <f t="shared" si="0"/>
        <v>1.2</v>
      </c>
      <c r="H12" s="267">
        <f t="shared" si="0"/>
        <v>1.2</v>
      </c>
      <c r="I12" s="267">
        <f t="shared" si="0"/>
        <v>1.2</v>
      </c>
      <c r="J12" s="267">
        <f t="shared" si="0"/>
        <v>1.2</v>
      </c>
      <c r="K12" s="268" t="str">
        <f>"Quyết định 129/QĐ-BTTTT ngày 3/2/2021, với địa bàn vùng "&amp;TEXT(C2,0)</f>
        <v>Quyết định 129/QĐ-BTTTT ngày 3/2/2021, với địa bàn vùng I</v>
      </c>
      <c r="L12" s="252"/>
      <c r="M12" s="252"/>
      <c r="N12" s="252"/>
      <c r="O12" s="252"/>
      <c r="P12" s="252"/>
      <c r="Q12" s="252"/>
      <c r="R12" s="252"/>
      <c r="S12" s="252"/>
      <c r="T12" s="252"/>
      <c r="U12" s="252"/>
      <c r="V12" s="252"/>
      <c r="W12" s="252"/>
      <c r="X12" s="252"/>
      <c r="Y12" s="252"/>
      <c r="Z12" s="252"/>
    </row>
    <row r="13" spans="1:26" ht="14.25" customHeight="1">
      <c r="A13" s="262"/>
      <c r="B13" s="263" t="s">
        <v>1554</v>
      </c>
      <c r="C13" s="269">
        <f t="shared" ref="C13:J13" si="1">C10*C11</f>
        <v>5475600</v>
      </c>
      <c r="D13" s="269">
        <f t="shared" si="1"/>
        <v>6201000</v>
      </c>
      <c r="E13" s="269">
        <f t="shared" si="1"/>
        <v>6926400</v>
      </c>
      <c r="F13" s="269">
        <f t="shared" si="1"/>
        <v>7651800</v>
      </c>
      <c r="G13" s="269">
        <f t="shared" si="1"/>
        <v>8377200</v>
      </c>
      <c r="H13" s="269">
        <f t="shared" si="1"/>
        <v>9102600</v>
      </c>
      <c r="I13" s="269">
        <f t="shared" si="1"/>
        <v>9828000</v>
      </c>
      <c r="J13" s="269">
        <f t="shared" si="1"/>
        <v>10553400</v>
      </c>
      <c r="K13" s="270" t="s">
        <v>1555</v>
      </c>
      <c r="L13" s="252"/>
      <c r="M13" s="252"/>
      <c r="N13" s="252"/>
      <c r="O13" s="252"/>
      <c r="P13" s="252"/>
      <c r="Q13" s="252"/>
      <c r="R13" s="252"/>
      <c r="S13" s="252"/>
      <c r="T13" s="252"/>
      <c r="U13" s="252"/>
      <c r="V13" s="252"/>
      <c r="W13" s="252"/>
      <c r="X13" s="252"/>
      <c r="Y13" s="252"/>
      <c r="Z13" s="252"/>
    </row>
    <row r="14" spans="1:26" ht="14.25" customHeight="1">
      <c r="A14" s="262">
        <v>4</v>
      </c>
      <c r="B14" s="263" t="s">
        <v>1556</v>
      </c>
      <c r="C14" s="271">
        <f t="shared" ref="C14:J14" si="2">(1+C12)*C10*C11</f>
        <v>12046320</v>
      </c>
      <c r="D14" s="271">
        <f t="shared" si="2"/>
        <v>13642200</v>
      </c>
      <c r="E14" s="271">
        <f t="shared" si="2"/>
        <v>15238080.000000002</v>
      </c>
      <c r="F14" s="271">
        <f t="shared" si="2"/>
        <v>16833960.000000004</v>
      </c>
      <c r="G14" s="271">
        <f t="shared" si="2"/>
        <v>18429840.000000004</v>
      </c>
      <c r="H14" s="271">
        <f t="shared" si="2"/>
        <v>20025720.000000004</v>
      </c>
      <c r="I14" s="271">
        <f t="shared" si="2"/>
        <v>21621600.000000004</v>
      </c>
      <c r="J14" s="271">
        <f t="shared" si="2"/>
        <v>23217480</v>
      </c>
      <c r="K14" s="270" t="s">
        <v>1557</v>
      </c>
      <c r="L14" s="252"/>
      <c r="M14" s="252"/>
      <c r="N14" s="252"/>
      <c r="O14" s="252"/>
      <c r="P14" s="252"/>
      <c r="Q14" s="252"/>
      <c r="R14" s="252"/>
      <c r="S14" s="252"/>
      <c r="T14" s="252"/>
      <c r="U14" s="252"/>
      <c r="V14" s="252"/>
      <c r="W14" s="252"/>
      <c r="X14" s="252"/>
      <c r="Y14" s="252"/>
      <c r="Z14" s="252"/>
    </row>
    <row r="15" spans="1:26" ht="14.25" customHeight="1">
      <c r="A15" s="262"/>
      <c r="B15" s="263" t="s">
        <v>1558</v>
      </c>
      <c r="C15" s="269">
        <f t="shared" ref="C15:J15" si="3">$C$4</f>
        <v>4960000</v>
      </c>
      <c r="D15" s="269">
        <f t="shared" si="3"/>
        <v>4960000</v>
      </c>
      <c r="E15" s="269">
        <f t="shared" si="3"/>
        <v>4960000</v>
      </c>
      <c r="F15" s="269">
        <f t="shared" si="3"/>
        <v>4960000</v>
      </c>
      <c r="G15" s="269">
        <f t="shared" si="3"/>
        <v>4960000</v>
      </c>
      <c r="H15" s="269">
        <f t="shared" si="3"/>
        <v>4960000</v>
      </c>
      <c r="I15" s="269">
        <f t="shared" si="3"/>
        <v>4960000</v>
      </c>
      <c r="J15" s="269">
        <f t="shared" si="3"/>
        <v>4960000</v>
      </c>
      <c r="K15" s="272" t="s">
        <v>1559</v>
      </c>
      <c r="L15" s="268"/>
      <c r="M15" s="252"/>
      <c r="N15" s="252"/>
      <c r="O15" s="252"/>
      <c r="P15" s="252"/>
      <c r="Q15" s="252"/>
      <c r="R15" s="252"/>
      <c r="S15" s="252"/>
      <c r="T15" s="252"/>
      <c r="U15" s="252"/>
      <c r="V15" s="252"/>
      <c r="W15" s="252"/>
      <c r="X15" s="252"/>
      <c r="Y15" s="252"/>
      <c r="Z15" s="252"/>
    </row>
    <row r="16" spans="1:26" ht="14.25" customHeight="1">
      <c r="A16" s="262">
        <v>6</v>
      </c>
      <c r="B16" s="263" t="s">
        <v>1560</v>
      </c>
      <c r="C16" s="271">
        <f t="shared" ref="C16:J16" si="4">ROUND(IF(C13&gt;=C15,0.235*C13,0.235*C15),0)</f>
        <v>1286766</v>
      </c>
      <c r="D16" s="271">
        <f t="shared" si="4"/>
        <v>1457235</v>
      </c>
      <c r="E16" s="271">
        <f t="shared" si="4"/>
        <v>1627704</v>
      </c>
      <c r="F16" s="271">
        <f t="shared" si="4"/>
        <v>1798173</v>
      </c>
      <c r="G16" s="271">
        <f t="shared" si="4"/>
        <v>1968642</v>
      </c>
      <c r="H16" s="271">
        <f t="shared" si="4"/>
        <v>2139111</v>
      </c>
      <c r="I16" s="271">
        <f t="shared" si="4"/>
        <v>2309580</v>
      </c>
      <c r="J16" s="271">
        <f t="shared" si="4"/>
        <v>2480049</v>
      </c>
      <c r="K16" s="265" t="s">
        <v>1561</v>
      </c>
      <c r="L16" s="252"/>
      <c r="M16" s="252"/>
      <c r="N16" s="252"/>
      <c r="O16" s="252"/>
      <c r="P16" s="252"/>
      <c r="Q16" s="252"/>
      <c r="R16" s="252"/>
      <c r="S16" s="252"/>
      <c r="T16" s="252"/>
      <c r="U16" s="252"/>
      <c r="V16" s="252"/>
      <c r="W16" s="252"/>
      <c r="X16" s="252"/>
      <c r="Y16" s="252"/>
      <c r="Z16" s="252"/>
    </row>
    <row r="17" spans="1:26" ht="14.25" customHeight="1">
      <c r="A17" s="262">
        <v>7</v>
      </c>
      <c r="B17" s="273" t="s">
        <v>1562</v>
      </c>
      <c r="C17" s="269">
        <f t="shared" ref="C17:J17" si="5">C14+C16</f>
        <v>13333086</v>
      </c>
      <c r="D17" s="269">
        <f t="shared" si="5"/>
        <v>15099435</v>
      </c>
      <c r="E17" s="269">
        <f t="shared" si="5"/>
        <v>16865784</v>
      </c>
      <c r="F17" s="269">
        <f t="shared" si="5"/>
        <v>18632133.000000004</v>
      </c>
      <c r="G17" s="269">
        <f t="shared" si="5"/>
        <v>20398482.000000004</v>
      </c>
      <c r="H17" s="269">
        <f t="shared" si="5"/>
        <v>22164831.000000004</v>
      </c>
      <c r="I17" s="269">
        <f t="shared" si="5"/>
        <v>23931180.000000004</v>
      </c>
      <c r="J17" s="269">
        <f t="shared" si="5"/>
        <v>25697529</v>
      </c>
      <c r="K17" s="265" t="s">
        <v>1563</v>
      </c>
      <c r="L17" s="252"/>
      <c r="M17" s="252"/>
      <c r="N17" s="252"/>
      <c r="O17" s="252"/>
      <c r="P17" s="252"/>
      <c r="Q17" s="252"/>
      <c r="R17" s="252"/>
      <c r="S17" s="252"/>
      <c r="T17" s="252"/>
      <c r="U17" s="252"/>
      <c r="V17" s="252"/>
      <c r="W17" s="252"/>
      <c r="X17" s="252"/>
      <c r="Y17" s="252"/>
      <c r="Z17" s="252"/>
    </row>
    <row r="18" spans="1:26" ht="14.25" customHeight="1">
      <c r="A18" s="262">
        <v>8</v>
      </c>
      <c r="B18" s="274" t="s">
        <v>1564</v>
      </c>
      <c r="C18" s="271">
        <f t="shared" ref="C18:J18" si="6">ROUND((C14+C16)/26,0)</f>
        <v>512811</v>
      </c>
      <c r="D18" s="271">
        <f t="shared" si="6"/>
        <v>580748</v>
      </c>
      <c r="E18" s="271">
        <f t="shared" si="6"/>
        <v>648684</v>
      </c>
      <c r="F18" s="271">
        <f t="shared" si="6"/>
        <v>716621</v>
      </c>
      <c r="G18" s="271">
        <f t="shared" si="6"/>
        <v>784557</v>
      </c>
      <c r="H18" s="271">
        <f t="shared" si="6"/>
        <v>852494</v>
      </c>
      <c r="I18" s="271">
        <f t="shared" si="6"/>
        <v>920430</v>
      </c>
      <c r="J18" s="271">
        <f t="shared" si="6"/>
        <v>988367</v>
      </c>
      <c r="K18" s="270" t="s">
        <v>1565</v>
      </c>
      <c r="L18" s="252"/>
      <c r="M18" s="252"/>
      <c r="N18" s="252"/>
      <c r="O18" s="252"/>
      <c r="P18" s="252"/>
      <c r="Q18" s="252"/>
      <c r="R18" s="252"/>
      <c r="S18" s="252"/>
      <c r="T18" s="252"/>
      <c r="U18" s="252"/>
      <c r="V18" s="252"/>
      <c r="W18" s="252"/>
      <c r="X18" s="252"/>
      <c r="Y18" s="252"/>
      <c r="Z18" s="252"/>
    </row>
    <row r="19" spans="1:26" ht="14.25" customHeight="1">
      <c r="A19" s="262">
        <v>9</v>
      </c>
      <c r="B19" s="274" t="s">
        <v>1566</v>
      </c>
      <c r="C19" s="271">
        <f t="shared" ref="C19:J19" si="7">ROUND(C18/8,0)</f>
        <v>64101</v>
      </c>
      <c r="D19" s="271">
        <f t="shared" si="7"/>
        <v>72594</v>
      </c>
      <c r="E19" s="271">
        <f t="shared" si="7"/>
        <v>81086</v>
      </c>
      <c r="F19" s="271">
        <f t="shared" si="7"/>
        <v>89578</v>
      </c>
      <c r="G19" s="271">
        <f t="shared" si="7"/>
        <v>98070</v>
      </c>
      <c r="H19" s="271">
        <f t="shared" si="7"/>
        <v>106562</v>
      </c>
      <c r="I19" s="271">
        <f t="shared" si="7"/>
        <v>115054</v>
      </c>
      <c r="J19" s="271">
        <f t="shared" si="7"/>
        <v>123546</v>
      </c>
      <c r="K19" s="265" t="s">
        <v>1567</v>
      </c>
      <c r="L19" s="252"/>
      <c r="M19" s="252"/>
      <c r="N19" s="252"/>
      <c r="O19" s="252"/>
      <c r="P19" s="252"/>
      <c r="Q19" s="252"/>
      <c r="R19" s="252"/>
      <c r="S19" s="252"/>
      <c r="T19" s="252"/>
      <c r="U19" s="252"/>
      <c r="V19" s="252"/>
      <c r="W19" s="252"/>
      <c r="X19" s="252"/>
      <c r="Y19" s="252"/>
      <c r="Z19" s="252"/>
    </row>
    <row r="20" spans="1:26" ht="14.25" customHeight="1">
      <c r="A20" s="275"/>
      <c r="B20" s="275"/>
      <c r="C20" s="276"/>
      <c r="D20" s="276"/>
      <c r="E20" s="276"/>
      <c r="F20" s="276"/>
      <c r="G20" s="276"/>
      <c r="H20" s="276"/>
      <c r="I20" s="276"/>
      <c r="J20" s="276"/>
      <c r="K20" s="277"/>
      <c r="L20" s="252"/>
      <c r="M20" s="252"/>
      <c r="N20" s="252"/>
      <c r="O20" s="252"/>
      <c r="P20" s="252"/>
      <c r="Q20" s="252"/>
      <c r="R20" s="252"/>
      <c r="S20" s="252"/>
      <c r="T20" s="252"/>
      <c r="U20" s="252"/>
      <c r="V20" s="252"/>
      <c r="W20" s="252"/>
      <c r="X20" s="252"/>
      <c r="Y20" s="252"/>
      <c r="Z20" s="252"/>
    </row>
    <row r="21" spans="1:26" ht="14.25" customHeight="1">
      <c r="A21" s="275"/>
      <c r="B21" s="278" t="s">
        <v>1568</v>
      </c>
      <c r="C21" s="276"/>
      <c r="D21" s="276"/>
      <c r="E21" s="276"/>
      <c r="F21" s="276"/>
      <c r="G21" s="276"/>
      <c r="H21" s="276"/>
      <c r="I21" s="276"/>
      <c r="J21" s="276"/>
      <c r="K21" s="277"/>
      <c r="L21" s="252"/>
      <c r="M21" s="252"/>
      <c r="N21" s="252"/>
      <c r="O21" s="252"/>
      <c r="P21" s="252"/>
      <c r="Q21" s="252"/>
      <c r="R21" s="252"/>
      <c r="S21" s="252"/>
      <c r="T21" s="252"/>
      <c r="U21" s="252"/>
      <c r="V21" s="252"/>
      <c r="W21" s="252"/>
      <c r="X21" s="252"/>
      <c r="Y21" s="252"/>
      <c r="Z21" s="252"/>
    </row>
    <row r="22" spans="1:26" ht="14.25" customHeight="1">
      <c r="A22" s="252"/>
      <c r="B22" s="368" t="s">
        <v>1569</v>
      </c>
      <c r="C22" s="380"/>
      <c r="D22" s="380"/>
      <c r="E22" s="380"/>
      <c r="F22" s="380"/>
      <c r="G22" s="380"/>
      <c r="H22" s="380"/>
      <c r="I22" s="380"/>
      <c r="J22" s="380"/>
      <c r="K22" s="380"/>
      <c r="L22" s="252"/>
      <c r="M22" s="252"/>
      <c r="N22" s="252"/>
      <c r="O22" s="252"/>
      <c r="P22" s="252"/>
      <c r="Q22" s="252"/>
      <c r="R22" s="252"/>
      <c r="S22" s="252"/>
      <c r="T22" s="252"/>
      <c r="U22" s="252"/>
      <c r="V22" s="252"/>
      <c r="W22" s="252"/>
      <c r="X22" s="252"/>
      <c r="Y22" s="252"/>
      <c r="Z22" s="252"/>
    </row>
    <row r="23" spans="1:26" ht="14.25" customHeight="1">
      <c r="A23" s="252"/>
      <c r="B23" s="279" t="s">
        <v>1570</v>
      </c>
      <c r="C23" s="280"/>
      <c r="D23" s="280"/>
      <c r="E23" s="280"/>
      <c r="F23" s="280"/>
      <c r="G23" s="280"/>
      <c r="H23" s="280"/>
      <c r="I23" s="280"/>
      <c r="J23" s="280"/>
      <c r="K23" s="280"/>
      <c r="L23" s="252"/>
      <c r="M23" s="252"/>
      <c r="N23" s="252"/>
      <c r="O23" s="252"/>
      <c r="P23" s="252"/>
      <c r="Q23" s="252"/>
      <c r="R23" s="252"/>
      <c r="S23" s="252"/>
      <c r="T23" s="252"/>
      <c r="U23" s="252"/>
      <c r="V23" s="252"/>
      <c r="W23" s="252"/>
      <c r="X23" s="252"/>
      <c r="Y23" s="252"/>
      <c r="Z23" s="252"/>
    </row>
    <row r="24" spans="1:26" ht="14.25" customHeight="1">
      <c r="A24" s="252"/>
      <c r="B24" s="281" t="s">
        <v>1571</v>
      </c>
      <c r="C24" s="369"/>
      <c r="D24" s="380"/>
      <c r="E24" s="380"/>
      <c r="F24" s="380"/>
      <c r="G24" s="380"/>
      <c r="H24" s="380"/>
      <c r="I24" s="369"/>
      <c r="J24" s="380"/>
      <c r="K24" s="380"/>
      <c r="L24" s="252"/>
      <c r="M24" s="252"/>
      <c r="N24" s="252"/>
      <c r="O24" s="252"/>
      <c r="P24" s="252"/>
      <c r="Q24" s="252"/>
      <c r="R24" s="252"/>
      <c r="S24" s="252"/>
      <c r="T24" s="252"/>
      <c r="U24" s="252"/>
      <c r="V24" s="252"/>
      <c r="W24" s="252"/>
      <c r="X24" s="252"/>
      <c r="Y24" s="252"/>
      <c r="Z24" s="252"/>
    </row>
    <row r="25" spans="1:26" ht="14.25" customHeight="1">
      <c r="A25" s="252"/>
      <c r="B25" s="281" t="s">
        <v>1572</v>
      </c>
      <c r="C25" s="369" t="s">
        <v>1573</v>
      </c>
      <c r="D25" s="380"/>
      <c r="E25" s="380"/>
      <c r="F25" s="380"/>
      <c r="G25" s="380"/>
      <c r="H25" s="380"/>
      <c r="I25" s="369" t="s">
        <v>1574</v>
      </c>
      <c r="J25" s="380"/>
      <c r="K25" s="380"/>
      <c r="L25" s="252"/>
      <c r="M25" s="252"/>
      <c r="N25" s="252"/>
      <c r="O25" s="252"/>
      <c r="P25" s="252"/>
      <c r="Q25" s="252"/>
      <c r="R25" s="252"/>
      <c r="S25" s="252"/>
      <c r="T25" s="252"/>
      <c r="U25" s="252"/>
      <c r="V25" s="252"/>
      <c r="W25" s="252"/>
      <c r="X25" s="252"/>
      <c r="Y25" s="252"/>
      <c r="Z25" s="252"/>
    </row>
    <row r="26" spans="1:26" ht="14.25" customHeight="1">
      <c r="A26" s="252"/>
      <c r="B26" s="281" t="s">
        <v>1575</v>
      </c>
      <c r="C26" s="369" t="s">
        <v>1576</v>
      </c>
      <c r="D26" s="380"/>
      <c r="E26" s="380"/>
      <c r="F26" s="380"/>
      <c r="G26" s="380"/>
      <c r="H26" s="380"/>
      <c r="I26" s="369" t="s">
        <v>1577</v>
      </c>
      <c r="J26" s="380"/>
      <c r="K26" s="380"/>
      <c r="L26" s="252"/>
      <c r="M26" s="252"/>
      <c r="N26" s="252"/>
      <c r="O26" s="252"/>
      <c r="P26" s="252"/>
      <c r="Q26" s="252"/>
      <c r="R26" s="252"/>
      <c r="S26" s="252"/>
      <c r="T26" s="252"/>
      <c r="U26" s="252"/>
      <c r="V26" s="252"/>
      <c r="W26" s="252"/>
      <c r="X26" s="252"/>
      <c r="Y26" s="252"/>
      <c r="Z26" s="252"/>
    </row>
    <row r="27" spans="1:26" ht="14.25" customHeight="1">
      <c r="A27" s="252"/>
      <c r="B27" s="281" t="s">
        <v>1578</v>
      </c>
      <c r="C27" s="369" t="s">
        <v>1579</v>
      </c>
      <c r="D27" s="380"/>
      <c r="E27" s="380"/>
      <c r="F27" s="380"/>
      <c r="G27" s="380"/>
      <c r="H27" s="380"/>
      <c r="I27" s="282" t="s">
        <v>1580</v>
      </c>
      <c r="J27" s="252"/>
      <c r="K27" s="252"/>
      <c r="L27" s="252"/>
      <c r="M27" s="252"/>
      <c r="N27" s="252"/>
      <c r="O27" s="252"/>
      <c r="P27" s="252"/>
      <c r="Q27" s="252"/>
      <c r="R27" s="252"/>
      <c r="S27" s="252"/>
      <c r="T27" s="252"/>
      <c r="U27" s="252"/>
      <c r="V27" s="252"/>
      <c r="W27" s="252"/>
      <c r="X27" s="252"/>
      <c r="Y27" s="252"/>
      <c r="Z27" s="252"/>
    </row>
    <row r="28" spans="1:26" ht="14.25" customHeight="1">
      <c r="A28" s="252"/>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row>
    <row r="29" spans="1:26" ht="14.25" customHeight="1">
      <c r="A29" s="252"/>
      <c r="B29" s="369" t="s">
        <v>1550</v>
      </c>
      <c r="C29" s="380"/>
      <c r="D29" s="380"/>
      <c r="E29" s="380"/>
      <c r="F29" s="380"/>
      <c r="G29" s="380"/>
      <c r="H29" s="380"/>
      <c r="I29" s="380"/>
      <c r="J29" s="380"/>
      <c r="K29" s="252"/>
      <c r="L29" s="252"/>
      <c r="M29" s="252"/>
      <c r="N29" s="252"/>
      <c r="O29" s="252"/>
      <c r="P29" s="252"/>
      <c r="Q29" s="252"/>
      <c r="R29" s="252"/>
      <c r="S29" s="252"/>
      <c r="T29" s="252"/>
      <c r="U29" s="252"/>
      <c r="V29" s="252"/>
      <c r="W29" s="252"/>
      <c r="X29" s="252"/>
      <c r="Y29" s="252"/>
      <c r="Z29" s="252"/>
    </row>
    <row r="30" spans="1:26" ht="14.25" customHeight="1">
      <c r="A30" s="252"/>
      <c r="B30" s="283" t="s">
        <v>1581</v>
      </c>
      <c r="C30" s="283" t="s">
        <v>6</v>
      </c>
      <c r="D30" s="283" t="s">
        <v>24</v>
      </c>
      <c r="E30" s="283" t="s">
        <v>27</v>
      </c>
      <c r="F30" s="283" t="s">
        <v>31</v>
      </c>
      <c r="G30" s="252"/>
      <c r="H30" s="252"/>
      <c r="I30" s="252"/>
      <c r="J30" s="252"/>
      <c r="K30" s="252"/>
      <c r="L30" s="252"/>
      <c r="M30" s="252"/>
      <c r="N30" s="252"/>
      <c r="O30" s="252"/>
      <c r="P30" s="252"/>
      <c r="Q30" s="252"/>
      <c r="R30" s="252"/>
      <c r="S30" s="252"/>
      <c r="T30" s="252"/>
      <c r="U30" s="252"/>
      <c r="V30" s="252"/>
      <c r="W30" s="252"/>
      <c r="X30" s="252"/>
      <c r="Y30" s="252"/>
      <c r="Z30" s="252"/>
    </row>
    <row r="31" spans="1:26" ht="14.25" customHeight="1">
      <c r="A31" s="252"/>
      <c r="B31" s="262" t="s">
        <v>1535</v>
      </c>
      <c r="C31" s="262">
        <v>1.2</v>
      </c>
      <c r="D31" s="262">
        <v>0.9</v>
      </c>
      <c r="E31" s="262">
        <v>0.7</v>
      </c>
      <c r="F31" s="262">
        <v>0.5</v>
      </c>
      <c r="G31" s="252"/>
      <c r="H31" s="252"/>
      <c r="I31" s="252"/>
      <c r="J31" s="252"/>
      <c r="K31" s="252"/>
      <c r="L31" s="252"/>
      <c r="M31" s="252"/>
      <c r="N31" s="252"/>
      <c r="O31" s="252"/>
      <c r="P31" s="252"/>
      <c r="Q31" s="252"/>
      <c r="R31" s="252"/>
      <c r="S31" s="252"/>
      <c r="T31" s="252"/>
      <c r="U31" s="252"/>
      <c r="V31" s="252"/>
      <c r="W31" s="252"/>
      <c r="X31" s="252"/>
      <c r="Y31" s="252"/>
      <c r="Z31" s="252"/>
    </row>
    <row r="32" spans="1:26" ht="14.25" customHeight="1">
      <c r="A32" s="252"/>
      <c r="B32" s="252"/>
      <c r="C32" s="284"/>
      <c r="D32" s="252"/>
      <c r="E32" s="252"/>
      <c r="F32" s="252"/>
      <c r="G32" s="252"/>
      <c r="H32" s="252"/>
      <c r="I32" s="252"/>
      <c r="J32" s="252"/>
      <c r="K32" s="252"/>
      <c r="L32" s="252"/>
      <c r="M32" s="252"/>
      <c r="N32" s="252"/>
      <c r="O32" s="252"/>
      <c r="P32" s="252"/>
      <c r="Q32" s="252"/>
      <c r="R32" s="252"/>
      <c r="S32" s="252"/>
      <c r="T32" s="252"/>
      <c r="U32" s="252"/>
      <c r="V32" s="252"/>
      <c r="W32" s="252"/>
      <c r="X32" s="252"/>
      <c r="Y32" s="252"/>
      <c r="Z32" s="252"/>
    </row>
    <row r="33" spans="1:26" ht="14.25" customHeight="1">
      <c r="A33" s="252"/>
      <c r="B33" s="365" t="s">
        <v>1582</v>
      </c>
      <c r="C33" s="380"/>
      <c r="D33" s="380"/>
      <c r="E33" s="380"/>
      <c r="F33" s="380"/>
      <c r="G33" s="380"/>
      <c r="H33" s="380"/>
      <c r="I33" s="380"/>
      <c r="J33" s="380"/>
      <c r="K33" s="252"/>
      <c r="L33" s="252"/>
      <c r="M33" s="252"/>
      <c r="N33" s="252"/>
      <c r="O33" s="252"/>
      <c r="P33" s="252"/>
      <c r="Q33" s="252"/>
      <c r="R33" s="252"/>
      <c r="S33" s="252"/>
      <c r="T33" s="252"/>
      <c r="U33" s="252"/>
      <c r="V33" s="252"/>
      <c r="W33" s="252"/>
      <c r="X33" s="252"/>
      <c r="Y33" s="252"/>
      <c r="Z33" s="252"/>
    </row>
    <row r="34" spans="1:26" ht="14.25" customHeight="1">
      <c r="A34" s="252"/>
      <c r="B34" s="283" t="s">
        <v>1581</v>
      </c>
      <c r="C34" s="283" t="s">
        <v>6</v>
      </c>
      <c r="D34" s="283" t="s">
        <v>24</v>
      </c>
      <c r="E34" s="283" t="s">
        <v>27</v>
      </c>
      <c r="F34" s="283" t="s">
        <v>31</v>
      </c>
      <c r="G34" s="252"/>
      <c r="H34" s="252"/>
      <c r="I34" s="252"/>
      <c r="J34" s="252"/>
      <c r="K34" s="252"/>
      <c r="L34" s="252"/>
      <c r="M34" s="252"/>
      <c r="N34" s="252"/>
      <c r="O34" s="252"/>
      <c r="P34" s="252"/>
      <c r="Q34" s="252"/>
      <c r="R34" s="252"/>
      <c r="S34" s="252"/>
      <c r="T34" s="252"/>
      <c r="U34" s="252"/>
      <c r="V34" s="252"/>
      <c r="W34" s="252"/>
      <c r="X34" s="252"/>
      <c r="Y34" s="252"/>
      <c r="Z34" s="252"/>
    </row>
    <row r="35" spans="1:26" ht="14.25" customHeight="1">
      <c r="A35" s="252"/>
      <c r="B35" s="262" t="s">
        <v>1583</v>
      </c>
      <c r="C35" s="285">
        <v>4960000</v>
      </c>
      <c r="D35" s="285">
        <v>4410000</v>
      </c>
      <c r="E35" s="285">
        <v>3860000</v>
      </c>
      <c r="F35" s="285">
        <v>3450000</v>
      </c>
      <c r="G35" s="252"/>
      <c r="H35" s="252"/>
      <c r="I35" s="252"/>
      <c r="J35" s="252"/>
      <c r="K35" s="252"/>
      <c r="L35" s="252"/>
      <c r="M35" s="252"/>
      <c r="N35" s="252"/>
      <c r="O35" s="252"/>
      <c r="P35" s="252"/>
      <c r="Q35" s="252"/>
      <c r="R35" s="252"/>
      <c r="S35" s="252"/>
      <c r="T35" s="252"/>
      <c r="U35" s="252"/>
      <c r="V35" s="252"/>
      <c r="W35" s="252"/>
      <c r="X35" s="252"/>
      <c r="Y35" s="252"/>
      <c r="Z35" s="252"/>
    </row>
    <row r="36" spans="1:26" ht="14.25" customHeight="1">
      <c r="A36" s="252"/>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row>
    <row r="37" spans="1:26" ht="14.25" customHeight="1">
      <c r="A37" s="252"/>
      <c r="B37" s="365" t="s">
        <v>1584</v>
      </c>
      <c r="C37" s="380"/>
      <c r="D37" s="380"/>
      <c r="E37" s="380"/>
      <c r="F37" s="380"/>
      <c r="G37" s="380"/>
      <c r="H37" s="380"/>
      <c r="I37" s="380"/>
      <c r="J37" s="380"/>
      <c r="K37" s="252"/>
      <c r="L37" s="252"/>
      <c r="M37" s="252"/>
      <c r="N37" s="252"/>
      <c r="O37" s="252"/>
      <c r="P37" s="252"/>
      <c r="Q37" s="252"/>
      <c r="R37" s="252"/>
      <c r="S37" s="252"/>
      <c r="T37" s="252"/>
      <c r="U37" s="252"/>
      <c r="V37" s="252"/>
      <c r="W37" s="252"/>
      <c r="X37" s="252"/>
      <c r="Y37" s="252"/>
      <c r="Z37" s="252"/>
    </row>
    <row r="38" spans="1:26" ht="14.25" customHeight="1">
      <c r="A38" s="252"/>
      <c r="B38" s="262" t="s">
        <v>1585</v>
      </c>
      <c r="C38" s="285">
        <v>2340000</v>
      </c>
      <c r="D38" s="252"/>
      <c r="E38" s="252"/>
      <c r="F38" s="252"/>
      <c r="G38" s="252"/>
      <c r="H38" s="252"/>
      <c r="I38" s="252"/>
      <c r="J38" s="252"/>
      <c r="K38" s="252"/>
      <c r="L38" s="252"/>
      <c r="M38" s="252"/>
      <c r="N38" s="252"/>
      <c r="O38" s="252"/>
      <c r="P38" s="252"/>
      <c r="Q38" s="252"/>
      <c r="R38" s="252"/>
      <c r="S38" s="252"/>
      <c r="T38" s="252"/>
      <c r="U38" s="252"/>
      <c r="V38" s="252"/>
      <c r="W38" s="252"/>
      <c r="X38" s="252"/>
      <c r="Y38" s="252"/>
      <c r="Z38" s="252"/>
    </row>
    <row r="39" spans="1:26" ht="14.25" customHeight="1">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row>
    <row r="40" spans="1:26" ht="14.25" customHeight="1">
      <c r="A40" s="260" t="s">
        <v>116</v>
      </c>
      <c r="B40" s="260" t="s">
        <v>1539</v>
      </c>
      <c r="C40" s="366" t="s">
        <v>1540</v>
      </c>
      <c r="D40" s="386"/>
      <c r="E40" s="386"/>
      <c r="F40" s="386"/>
      <c r="G40" s="386"/>
      <c r="H40" s="386"/>
      <c r="I40" s="386"/>
      <c r="J40" s="382"/>
      <c r="K40" s="261" t="s">
        <v>5</v>
      </c>
      <c r="L40" s="252"/>
      <c r="M40" s="252"/>
      <c r="N40" s="252"/>
      <c r="O40" s="252"/>
      <c r="P40" s="252"/>
      <c r="Q40" s="252"/>
      <c r="R40" s="252"/>
      <c r="S40" s="252"/>
      <c r="T40" s="252"/>
      <c r="U40" s="252"/>
      <c r="V40" s="252"/>
      <c r="W40" s="252"/>
      <c r="X40" s="252"/>
      <c r="Y40" s="252"/>
      <c r="Z40" s="252"/>
    </row>
    <row r="41" spans="1:26" ht="14.25" customHeight="1">
      <c r="A41" s="262">
        <v>1</v>
      </c>
      <c r="B41" s="263" t="s">
        <v>1586</v>
      </c>
      <c r="C41" s="262" t="s">
        <v>1587</v>
      </c>
      <c r="D41" s="262" t="s">
        <v>1588</v>
      </c>
      <c r="E41" s="262" t="s">
        <v>1589</v>
      </c>
      <c r="F41" s="262" t="s">
        <v>1590</v>
      </c>
      <c r="G41" s="262" t="s">
        <v>1591</v>
      </c>
      <c r="H41" s="262" t="s">
        <v>1592</v>
      </c>
      <c r="I41" s="262" t="s">
        <v>1593</v>
      </c>
      <c r="J41" s="262"/>
      <c r="K41" s="264"/>
      <c r="L41" s="252"/>
      <c r="M41" s="252"/>
      <c r="N41" s="252"/>
      <c r="O41" s="252"/>
      <c r="P41" s="252"/>
      <c r="Q41" s="252"/>
      <c r="R41" s="252"/>
      <c r="S41" s="252"/>
      <c r="T41" s="252"/>
      <c r="U41" s="252"/>
      <c r="V41" s="252"/>
      <c r="W41" s="252"/>
      <c r="X41" s="252"/>
      <c r="Y41" s="252"/>
      <c r="Z41" s="252"/>
    </row>
    <row r="42" spans="1:26" ht="14.25" customHeight="1">
      <c r="A42" s="262">
        <v>2</v>
      </c>
      <c r="B42" s="263" t="s">
        <v>1549</v>
      </c>
      <c r="C42" s="164">
        <v>1.45</v>
      </c>
      <c r="D42" s="164">
        <v>1.71</v>
      </c>
      <c r="E42" s="164">
        <v>2.0299999999999998</v>
      </c>
      <c r="F42" s="164">
        <v>2.39</v>
      </c>
      <c r="G42" s="164">
        <v>2.83</v>
      </c>
      <c r="H42" s="164">
        <v>3.34</v>
      </c>
      <c r="I42" s="164">
        <v>3.95</v>
      </c>
      <c r="J42" s="164"/>
      <c r="K42" s="265" t="s">
        <v>1550</v>
      </c>
      <c r="L42" s="252"/>
      <c r="M42" s="252"/>
      <c r="N42" s="252"/>
      <c r="O42" s="252"/>
      <c r="P42" s="252"/>
      <c r="Q42" s="252"/>
      <c r="R42" s="252"/>
      <c r="S42" s="252"/>
      <c r="T42" s="252"/>
      <c r="U42" s="252"/>
      <c r="V42" s="252"/>
      <c r="W42" s="252"/>
      <c r="X42" s="252"/>
      <c r="Y42" s="252"/>
      <c r="Z42" s="252"/>
    </row>
    <row r="43" spans="1:26" ht="14.25" customHeight="1">
      <c r="A43" s="262">
        <v>3</v>
      </c>
      <c r="B43" s="263" t="s">
        <v>1551</v>
      </c>
      <c r="C43" s="266">
        <f t="shared" ref="C43:I43" si="8">$C$38</f>
        <v>2340000</v>
      </c>
      <c r="D43" s="266">
        <f t="shared" si="8"/>
        <v>2340000</v>
      </c>
      <c r="E43" s="266">
        <f t="shared" si="8"/>
        <v>2340000</v>
      </c>
      <c r="F43" s="266">
        <f t="shared" si="8"/>
        <v>2340000</v>
      </c>
      <c r="G43" s="266">
        <f t="shared" si="8"/>
        <v>2340000</v>
      </c>
      <c r="H43" s="266">
        <f t="shared" si="8"/>
        <v>2340000</v>
      </c>
      <c r="I43" s="266">
        <f t="shared" si="8"/>
        <v>2340000</v>
      </c>
      <c r="J43" s="266"/>
      <c r="K43" s="265" t="s">
        <v>1594</v>
      </c>
      <c r="L43" s="252"/>
      <c r="M43" s="252"/>
      <c r="N43" s="252"/>
      <c r="O43" s="252"/>
      <c r="P43" s="252"/>
      <c r="Q43" s="252"/>
      <c r="R43" s="252"/>
      <c r="S43" s="252"/>
      <c r="T43" s="252"/>
      <c r="U43" s="252"/>
      <c r="V43" s="252"/>
      <c r="W43" s="252"/>
      <c r="X43" s="252"/>
      <c r="Y43" s="252"/>
      <c r="Z43" s="252"/>
    </row>
    <row r="44" spans="1:26" ht="14.25" customHeight="1">
      <c r="A44" s="262">
        <v>4</v>
      </c>
      <c r="B44" s="263" t="s">
        <v>1553</v>
      </c>
      <c r="C44" s="267">
        <f t="shared" ref="C44:I44" si="9">$C$3</f>
        <v>1.2</v>
      </c>
      <c r="D44" s="267">
        <f t="shared" si="9"/>
        <v>1.2</v>
      </c>
      <c r="E44" s="267">
        <f t="shared" si="9"/>
        <v>1.2</v>
      </c>
      <c r="F44" s="267">
        <f t="shared" si="9"/>
        <v>1.2</v>
      </c>
      <c r="G44" s="267">
        <f t="shared" si="9"/>
        <v>1.2</v>
      </c>
      <c r="H44" s="267">
        <f t="shared" si="9"/>
        <v>1.2</v>
      </c>
      <c r="I44" s="267">
        <f t="shared" si="9"/>
        <v>1.2</v>
      </c>
      <c r="J44" s="267"/>
      <c r="K44" s="272" t="s">
        <v>1595</v>
      </c>
      <c r="L44" s="252"/>
      <c r="M44" s="252"/>
      <c r="N44" s="252"/>
      <c r="O44" s="252"/>
      <c r="P44" s="252"/>
      <c r="Q44" s="252"/>
      <c r="R44" s="252"/>
      <c r="S44" s="252"/>
      <c r="T44" s="252"/>
      <c r="U44" s="252"/>
      <c r="V44" s="252"/>
      <c r="W44" s="252"/>
      <c r="X44" s="252"/>
      <c r="Y44" s="252"/>
      <c r="Z44" s="252"/>
    </row>
    <row r="45" spans="1:26" ht="14.25" customHeight="1">
      <c r="A45" s="262"/>
      <c r="B45" s="263" t="s">
        <v>1554</v>
      </c>
      <c r="C45" s="269">
        <f t="shared" ref="C45:I45" si="10">C42*C43</f>
        <v>3393000</v>
      </c>
      <c r="D45" s="269">
        <f t="shared" si="10"/>
        <v>4001400</v>
      </c>
      <c r="E45" s="269">
        <f t="shared" si="10"/>
        <v>4750200</v>
      </c>
      <c r="F45" s="269">
        <f t="shared" si="10"/>
        <v>5592600</v>
      </c>
      <c r="G45" s="269">
        <f t="shared" si="10"/>
        <v>6622200</v>
      </c>
      <c r="H45" s="269">
        <f t="shared" si="10"/>
        <v>7815600</v>
      </c>
      <c r="I45" s="269">
        <f t="shared" si="10"/>
        <v>9243000</v>
      </c>
      <c r="J45" s="269"/>
      <c r="K45" s="270" t="s">
        <v>1555</v>
      </c>
      <c r="L45" s="252"/>
      <c r="M45" s="252"/>
      <c r="N45" s="252"/>
      <c r="O45" s="252"/>
      <c r="P45" s="252"/>
      <c r="Q45" s="252"/>
      <c r="R45" s="252"/>
      <c r="S45" s="252"/>
      <c r="T45" s="252"/>
      <c r="U45" s="252"/>
      <c r="V45" s="252"/>
      <c r="W45" s="252"/>
      <c r="X45" s="252"/>
      <c r="Y45" s="252"/>
      <c r="Z45" s="252"/>
    </row>
    <row r="46" spans="1:26" ht="14.25" customHeight="1">
      <c r="A46" s="262">
        <v>4</v>
      </c>
      <c r="B46" s="263" t="s">
        <v>1556</v>
      </c>
      <c r="C46" s="271">
        <f t="shared" ref="C46:I46" si="11">(1+C44)*C42*C43</f>
        <v>7464600</v>
      </c>
      <c r="D46" s="271">
        <f t="shared" si="11"/>
        <v>8803080</v>
      </c>
      <c r="E46" s="271">
        <f t="shared" si="11"/>
        <v>10450440</v>
      </c>
      <c r="F46" s="271">
        <f t="shared" si="11"/>
        <v>12303720.000000002</v>
      </c>
      <c r="G46" s="271">
        <f t="shared" si="11"/>
        <v>14568840.000000002</v>
      </c>
      <c r="H46" s="271">
        <f t="shared" si="11"/>
        <v>17194320</v>
      </c>
      <c r="I46" s="271">
        <f t="shared" si="11"/>
        <v>20334600.000000004</v>
      </c>
      <c r="J46" s="271"/>
      <c r="K46" s="270" t="s">
        <v>1557</v>
      </c>
      <c r="L46" s="252"/>
      <c r="M46" s="252"/>
      <c r="N46" s="252"/>
      <c r="O46" s="252"/>
      <c r="P46" s="252"/>
      <c r="Q46" s="252"/>
      <c r="R46" s="252"/>
      <c r="S46" s="252"/>
      <c r="T46" s="252"/>
      <c r="U46" s="252"/>
      <c r="V46" s="252"/>
      <c r="W46" s="252"/>
      <c r="X46" s="252"/>
      <c r="Y46" s="252"/>
      <c r="Z46" s="252"/>
    </row>
    <row r="47" spans="1:26" ht="14.25" customHeight="1">
      <c r="A47" s="262"/>
      <c r="B47" s="263" t="s">
        <v>1558</v>
      </c>
      <c r="C47" s="269">
        <f t="shared" ref="C47:I47" si="12">$C$4</f>
        <v>4960000</v>
      </c>
      <c r="D47" s="269">
        <f t="shared" si="12"/>
        <v>4960000</v>
      </c>
      <c r="E47" s="269">
        <f t="shared" si="12"/>
        <v>4960000</v>
      </c>
      <c r="F47" s="269">
        <f t="shared" si="12"/>
        <v>4960000</v>
      </c>
      <c r="G47" s="269">
        <f t="shared" si="12"/>
        <v>4960000</v>
      </c>
      <c r="H47" s="269">
        <f t="shared" si="12"/>
        <v>4960000</v>
      </c>
      <c r="I47" s="269">
        <f t="shared" si="12"/>
        <v>4960000</v>
      </c>
      <c r="J47" s="269"/>
      <c r="K47" s="272" t="s">
        <v>1559</v>
      </c>
      <c r="L47" s="272" t="s">
        <v>1596</v>
      </c>
      <c r="M47" s="252"/>
      <c r="N47" s="252"/>
      <c r="O47" s="252"/>
      <c r="P47" s="252"/>
      <c r="Q47" s="252"/>
      <c r="R47" s="252"/>
      <c r="S47" s="252"/>
      <c r="T47" s="252"/>
      <c r="U47" s="252"/>
      <c r="V47" s="252"/>
      <c r="W47" s="252"/>
      <c r="X47" s="252"/>
      <c r="Y47" s="252"/>
      <c r="Z47" s="252"/>
    </row>
    <row r="48" spans="1:26" ht="14.25" customHeight="1">
      <c r="A48" s="262">
        <v>6</v>
      </c>
      <c r="B48" s="263" t="s">
        <v>1560</v>
      </c>
      <c r="C48" s="271">
        <f t="shared" ref="C48:I48" si="13">ROUND(IF(C45&gt;=C47,0.235*C45,0.235*C47),0)</f>
        <v>1165600</v>
      </c>
      <c r="D48" s="271">
        <f t="shared" si="13"/>
        <v>1165600</v>
      </c>
      <c r="E48" s="271">
        <f t="shared" si="13"/>
        <v>1165600</v>
      </c>
      <c r="F48" s="271">
        <f t="shared" si="13"/>
        <v>1314261</v>
      </c>
      <c r="G48" s="271">
        <f t="shared" si="13"/>
        <v>1556217</v>
      </c>
      <c r="H48" s="271">
        <f t="shared" si="13"/>
        <v>1836666</v>
      </c>
      <c r="I48" s="271">
        <f t="shared" si="13"/>
        <v>2172105</v>
      </c>
      <c r="J48" s="271"/>
      <c r="K48" s="265" t="s">
        <v>1561</v>
      </c>
      <c r="L48" s="252"/>
      <c r="M48" s="252"/>
      <c r="N48" s="252"/>
      <c r="O48" s="252"/>
      <c r="P48" s="252"/>
      <c r="Q48" s="252"/>
      <c r="R48" s="252"/>
      <c r="S48" s="252"/>
      <c r="T48" s="252"/>
      <c r="U48" s="252"/>
      <c r="V48" s="252"/>
      <c r="W48" s="252"/>
      <c r="X48" s="252"/>
      <c r="Y48" s="252"/>
      <c r="Z48" s="252"/>
    </row>
    <row r="49" spans="1:26" ht="14.25" customHeight="1">
      <c r="A49" s="262">
        <v>7</v>
      </c>
      <c r="B49" s="273" t="s">
        <v>1562</v>
      </c>
      <c r="C49" s="269">
        <f t="shared" ref="C49:I49" si="14">C46+C48</f>
        <v>8630200</v>
      </c>
      <c r="D49" s="269">
        <f t="shared" si="14"/>
        <v>9968680</v>
      </c>
      <c r="E49" s="269">
        <f t="shared" si="14"/>
        <v>11616040</v>
      </c>
      <c r="F49" s="269">
        <f t="shared" si="14"/>
        <v>13617981.000000002</v>
      </c>
      <c r="G49" s="269">
        <f t="shared" si="14"/>
        <v>16125057.000000002</v>
      </c>
      <c r="H49" s="269">
        <f t="shared" si="14"/>
        <v>19030986</v>
      </c>
      <c r="I49" s="269">
        <f t="shared" si="14"/>
        <v>22506705.000000004</v>
      </c>
      <c r="J49" s="269"/>
      <c r="K49" s="265" t="s">
        <v>1563</v>
      </c>
      <c r="L49" s="252"/>
      <c r="M49" s="252"/>
      <c r="N49" s="252"/>
      <c r="O49" s="252"/>
      <c r="P49" s="252"/>
      <c r="Q49" s="252"/>
      <c r="R49" s="252"/>
      <c r="S49" s="252"/>
      <c r="T49" s="252"/>
      <c r="U49" s="252"/>
      <c r="V49" s="252"/>
      <c r="W49" s="252"/>
      <c r="X49" s="252"/>
      <c r="Y49" s="252"/>
      <c r="Z49" s="252"/>
    </row>
    <row r="50" spans="1:26" ht="14.25" customHeight="1">
      <c r="A50" s="262">
        <v>8</v>
      </c>
      <c r="B50" s="274" t="s">
        <v>1564</v>
      </c>
      <c r="C50" s="271">
        <f t="shared" ref="C50:I50" si="15">ROUND((C46+C48)/26,0)</f>
        <v>331931</v>
      </c>
      <c r="D50" s="271">
        <f t="shared" si="15"/>
        <v>383411</v>
      </c>
      <c r="E50" s="271">
        <f t="shared" si="15"/>
        <v>446771</v>
      </c>
      <c r="F50" s="271">
        <f t="shared" si="15"/>
        <v>523769</v>
      </c>
      <c r="G50" s="271">
        <f t="shared" si="15"/>
        <v>620195</v>
      </c>
      <c r="H50" s="271">
        <f t="shared" si="15"/>
        <v>731961</v>
      </c>
      <c r="I50" s="271">
        <f t="shared" si="15"/>
        <v>865643</v>
      </c>
      <c r="J50" s="271"/>
      <c r="K50" s="270" t="s">
        <v>1565</v>
      </c>
      <c r="L50" s="252"/>
      <c r="M50" s="252"/>
      <c r="N50" s="252"/>
      <c r="O50" s="252"/>
      <c r="P50" s="252"/>
      <c r="Q50" s="252"/>
      <c r="R50" s="252"/>
      <c r="S50" s="252"/>
      <c r="T50" s="252"/>
      <c r="U50" s="252"/>
      <c r="V50" s="252"/>
      <c r="W50" s="252"/>
      <c r="X50" s="252"/>
      <c r="Y50" s="252"/>
      <c r="Z50" s="252"/>
    </row>
    <row r="51" spans="1:26" ht="14.25" customHeight="1">
      <c r="A51" s="262">
        <v>9</v>
      </c>
      <c r="B51" s="274" t="s">
        <v>1566</v>
      </c>
      <c r="C51" s="271">
        <f t="shared" ref="C51:I51" si="16">ROUND(C50/8,0)</f>
        <v>41491</v>
      </c>
      <c r="D51" s="271">
        <f t="shared" si="16"/>
        <v>47926</v>
      </c>
      <c r="E51" s="271">
        <f t="shared" si="16"/>
        <v>55846</v>
      </c>
      <c r="F51" s="271">
        <f t="shared" si="16"/>
        <v>65471</v>
      </c>
      <c r="G51" s="271">
        <f t="shared" si="16"/>
        <v>77524</v>
      </c>
      <c r="H51" s="271">
        <f t="shared" si="16"/>
        <v>91495</v>
      </c>
      <c r="I51" s="271">
        <f t="shared" si="16"/>
        <v>108205</v>
      </c>
      <c r="J51" s="271"/>
      <c r="K51" s="265" t="s">
        <v>1567</v>
      </c>
      <c r="L51" s="252"/>
      <c r="M51" s="252"/>
      <c r="N51" s="252"/>
      <c r="O51" s="252"/>
      <c r="P51" s="252"/>
      <c r="Q51" s="252"/>
      <c r="R51" s="252"/>
      <c r="S51" s="252"/>
      <c r="T51" s="252"/>
      <c r="U51" s="252"/>
      <c r="V51" s="252"/>
      <c r="W51" s="252"/>
      <c r="X51" s="252"/>
      <c r="Y51" s="252"/>
      <c r="Z51" s="252"/>
    </row>
    <row r="52" spans="1:26" ht="14.25" customHeight="1">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row>
    <row r="53" spans="1:26" ht="14.25" customHeight="1">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row>
    <row r="54" spans="1:26" ht="14.25" customHeight="1">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row>
    <row r="55" spans="1:26" ht="14.25" customHeight="1">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row>
    <row r="56" spans="1:26" ht="14.25" customHeight="1">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row>
    <row r="57" spans="1:26" ht="14.25" customHeight="1">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row>
    <row r="58" spans="1:26" ht="14.25" customHeight="1">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row>
    <row r="59" spans="1:26" ht="14.25" customHeight="1">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row>
    <row r="60" spans="1:26" ht="14.25" customHeight="1">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row>
    <row r="61" spans="1:26" ht="14.25" customHeight="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row>
    <row r="62" spans="1:26" ht="14.25" customHeight="1">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row>
    <row r="63" spans="1:26" ht="14.25" customHeight="1">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row>
    <row r="64" spans="1:26" ht="14.25" customHeight="1">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row>
    <row r="65" spans="1:26" ht="14.25" customHeight="1">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row>
    <row r="66" spans="1:26" ht="14.25" customHeight="1">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row>
    <row r="67" spans="1:26" ht="14.25" customHeight="1">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row>
    <row r="68" spans="1:26" ht="14.25" customHeight="1">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row>
    <row r="69" spans="1:26" ht="14.25" customHeight="1">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row>
    <row r="70" spans="1:26" ht="14.25" customHeight="1">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row>
    <row r="71" spans="1:26" ht="14.25" customHeight="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row>
    <row r="72" spans="1:26" ht="14.25" customHeight="1">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row>
    <row r="73" spans="1:26" ht="14.25" customHeight="1">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row>
    <row r="74" spans="1:26" ht="14.25" customHeight="1">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row>
    <row r="75" spans="1:26" ht="14.25" customHeight="1">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row>
    <row r="76" spans="1:26" ht="14.25" customHeight="1">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row>
    <row r="77" spans="1:26" ht="14.25" customHeight="1">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row>
    <row r="78" spans="1:26" ht="14.25" customHeight="1">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row>
    <row r="79" spans="1:26" ht="14.25" customHeight="1">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row>
    <row r="80" spans="1:26" ht="14.25" customHeight="1">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row>
    <row r="81" spans="1:26" ht="14.25" customHeight="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row>
    <row r="82" spans="1:26" ht="14.25" customHeight="1">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row>
    <row r="83" spans="1:26" ht="14.25" customHeight="1">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row>
    <row r="84" spans="1:26" ht="14.25" customHeight="1">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row>
    <row r="85" spans="1:26" ht="14.25" customHeight="1">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row>
    <row r="86" spans="1:26" ht="14.25" customHeight="1">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row>
    <row r="87" spans="1:26" ht="14.25" customHeight="1">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row>
    <row r="88" spans="1:26" ht="14.25" customHeight="1">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row>
    <row r="89" spans="1:26" ht="14.25" customHeight="1">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row>
    <row r="90" spans="1:26" ht="14.25" customHeight="1">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row>
    <row r="91" spans="1:26" ht="14.25" customHeight="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row>
    <row r="92" spans="1:26" ht="14.25" customHeight="1">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row>
    <row r="93" spans="1:26" ht="14.25" customHeight="1">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row>
    <row r="94" spans="1:26" ht="14.25" customHeight="1">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row>
    <row r="95" spans="1:26" ht="14.25" customHeight="1">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row>
    <row r="96" spans="1:26" ht="14.25" customHeight="1">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row>
    <row r="97" spans="1:26" ht="14.25" customHeight="1">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row>
    <row r="98" spans="1:26" ht="14.25" customHeight="1">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row>
    <row r="99" spans="1:26" ht="14.25" customHeight="1">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row>
    <row r="100" spans="1:26" ht="14.25" customHeight="1">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row>
    <row r="101" spans="1:26" ht="14.25" customHeight="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row>
    <row r="102" spans="1:26" ht="14.25" customHeight="1">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row>
    <row r="103" spans="1:26" ht="14.25" customHeight="1">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row>
    <row r="104" spans="1:26" ht="14.25" customHeight="1">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row>
    <row r="105" spans="1:26" ht="14.25" customHeight="1">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row>
    <row r="106" spans="1:26" ht="14.25" customHeight="1">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row>
    <row r="107" spans="1:26" ht="14.25" customHeight="1">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row>
    <row r="108" spans="1:26" ht="14.25" customHeight="1">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row>
    <row r="109" spans="1:26" ht="14.25" customHeight="1">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row>
    <row r="110" spans="1:26" ht="14.25" customHeight="1">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row>
    <row r="111" spans="1:26" ht="14.25" customHeight="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row>
    <row r="112" spans="1:26" ht="14.25" customHeight="1">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row>
    <row r="113" spans="1:26" ht="14.25" customHeight="1">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row>
    <row r="114" spans="1:26" ht="14.25" customHeight="1">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row>
    <row r="115" spans="1:26" ht="14.25" customHeight="1">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row>
    <row r="116" spans="1:26" ht="14.25" customHeight="1">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row>
    <row r="117" spans="1:26" ht="14.25" customHeight="1">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row>
    <row r="118" spans="1:26" ht="14.25" customHeight="1">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row>
    <row r="119" spans="1:26" ht="14.25" customHeight="1">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row>
    <row r="120" spans="1:26" ht="14.25" customHeight="1">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row>
    <row r="121" spans="1:26" ht="14.25" customHeight="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row>
    <row r="122" spans="1:26" ht="14.25" customHeight="1">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row>
    <row r="123" spans="1:26" ht="14.25" customHeight="1">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row>
    <row r="124" spans="1:26" ht="14.25" customHeight="1">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row>
    <row r="125" spans="1:26" ht="14.25" customHeight="1">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row>
    <row r="126" spans="1:26" ht="14.25" customHeight="1">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row>
    <row r="127" spans="1:26" ht="14.25" customHeight="1">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row>
    <row r="128" spans="1:26" ht="14.25" customHeight="1">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row>
    <row r="129" spans="1:26" ht="14.25" customHeight="1">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row>
    <row r="130" spans="1:26" ht="14.25" customHeight="1">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row>
    <row r="131" spans="1:26" ht="14.25" customHeight="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row>
    <row r="132" spans="1:26" ht="14.25" customHeight="1">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row>
    <row r="133" spans="1:26" ht="14.25" customHeight="1">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row>
    <row r="134" spans="1:26" ht="14.25" customHeight="1">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row>
    <row r="135" spans="1:26" ht="14.25" customHeight="1">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row>
    <row r="136" spans="1:26" ht="14.25" customHeight="1">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row>
    <row r="137" spans="1:26" ht="14.25" customHeight="1">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row>
    <row r="138" spans="1:26" ht="14.25" customHeight="1">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row>
    <row r="139" spans="1:26" ht="14.25" customHeight="1">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row>
    <row r="140" spans="1:26" ht="14.25" customHeight="1">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row>
    <row r="141" spans="1:26" ht="14.25" customHeight="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row>
    <row r="142" spans="1:26" ht="14.25" customHeight="1">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row>
    <row r="143" spans="1:26" ht="14.25" customHeight="1">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row>
    <row r="144" spans="1:26" ht="14.25" customHeight="1">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row>
    <row r="145" spans="1:26" ht="14.25" customHeight="1">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row>
    <row r="146" spans="1:26" ht="14.25" customHeight="1">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row>
    <row r="147" spans="1:26" ht="14.25" customHeight="1">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row>
    <row r="148" spans="1:26" ht="14.25" customHeight="1">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row>
    <row r="149" spans="1:26" ht="14.25" customHeight="1">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row>
    <row r="150" spans="1:26" ht="14.25" customHeight="1">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row>
    <row r="151" spans="1:26" ht="14.25" customHeight="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row>
    <row r="152" spans="1:26" ht="14.25" customHeight="1">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row>
    <row r="153" spans="1:26" ht="14.25" customHeight="1">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row>
    <row r="154" spans="1:26" ht="14.25" customHeight="1">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row>
    <row r="155" spans="1:26" ht="14.25" customHeight="1">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row>
    <row r="156" spans="1:26" ht="14.25" customHeight="1">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row>
    <row r="157" spans="1:26" ht="14.25" customHeight="1">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row>
    <row r="158" spans="1:26" ht="14.25" customHeight="1">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row>
    <row r="159" spans="1:26" ht="14.25" customHeight="1">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row>
    <row r="160" spans="1:26" ht="14.25" customHeight="1">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row>
    <row r="161" spans="1:26" ht="14.25" customHeight="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row>
    <row r="162" spans="1:26" ht="14.25" customHeight="1">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row>
    <row r="163" spans="1:26" ht="14.25" customHeight="1">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row>
    <row r="164" spans="1:26" ht="14.25" customHeight="1">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row>
    <row r="165" spans="1:26" ht="14.25" customHeight="1">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row>
    <row r="166" spans="1:26" ht="14.25" customHeight="1">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row>
    <row r="167" spans="1:26" ht="14.25" customHeight="1">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row>
    <row r="168" spans="1:26" ht="14.25" customHeight="1">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row>
    <row r="169" spans="1:26" ht="14.25" customHeight="1">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row>
    <row r="170" spans="1:26" ht="14.25" customHeight="1">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row>
    <row r="171" spans="1:26" ht="14.25" customHeight="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row>
    <row r="172" spans="1:26" ht="14.25" customHeight="1">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row>
    <row r="173" spans="1:26" ht="14.25" customHeight="1">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row>
    <row r="174" spans="1:26" ht="14.25" customHeight="1">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row>
    <row r="175" spans="1:26" ht="14.25" customHeight="1">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row>
    <row r="176" spans="1:26" ht="14.25" customHeight="1">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row>
    <row r="177" spans="1:26" ht="14.25" customHeight="1">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row>
    <row r="178" spans="1:26" ht="14.25" customHeight="1">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row>
    <row r="179" spans="1:26" ht="14.25" customHeight="1">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row>
    <row r="180" spans="1:26" ht="14.25" customHeight="1">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row>
    <row r="181" spans="1:26" ht="14.25" customHeight="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row>
    <row r="182" spans="1:26" ht="14.25" customHeight="1">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row>
    <row r="183" spans="1:26" ht="14.25" customHeight="1">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row>
    <row r="184" spans="1:26" ht="14.25" customHeight="1">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row>
    <row r="185" spans="1:26" ht="14.25" customHeight="1">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row>
    <row r="186" spans="1:26" ht="14.25" customHeight="1">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row>
    <row r="187" spans="1:26" ht="14.25" customHeight="1">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row>
    <row r="188" spans="1:26" ht="14.25" customHeight="1">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row>
    <row r="189" spans="1:26" ht="14.25" customHeight="1">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row>
    <row r="190" spans="1:26" ht="14.25" customHeight="1">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row>
    <row r="191" spans="1:26" ht="14.25" customHeight="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row>
    <row r="192" spans="1:26" ht="14.25" customHeight="1">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row>
    <row r="193" spans="1:26" ht="14.25" customHeight="1">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row>
    <row r="194" spans="1:26" ht="14.25" customHeight="1">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row>
    <row r="195" spans="1:26" ht="14.25" customHeight="1">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row>
    <row r="196" spans="1:26" ht="14.25" customHeight="1">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row>
    <row r="197" spans="1:26" ht="14.25" customHeight="1">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row>
    <row r="198" spans="1:26" ht="14.25" customHeight="1">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row>
    <row r="199" spans="1:26" ht="14.25" customHeight="1">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row>
    <row r="200" spans="1:26" ht="14.25" customHeight="1">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row>
    <row r="201" spans="1:26" ht="14.25" customHeight="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row>
    <row r="202" spans="1:26" ht="14.25" customHeight="1">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row>
    <row r="203" spans="1:26" ht="14.25" customHeight="1">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row>
    <row r="204" spans="1:26" ht="14.25" customHeight="1">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row>
    <row r="205" spans="1:26" ht="14.25" customHeight="1">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row>
    <row r="206" spans="1:26" ht="14.25" customHeight="1">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row>
    <row r="207" spans="1:26" ht="14.25" customHeight="1">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row>
    <row r="208" spans="1:26" ht="14.25" customHeight="1">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row>
    <row r="209" spans="1:26" ht="14.25" customHeight="1">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row>
    <row r="210" spans="1:26" ht="14.25" customHeight="1">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row>
    <row r="211" spans="1:26" ht="14.25" customHeight="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row>
    <row r="212" spans="1:26" ht="14.25" customHeight="1">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row>
    <row r="213" spans="1:26" ht="14.25" customHeight="1">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row>
    <row r="214" spans="1:26" ht="14.25" customHeight="1">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row>
    <row r="215" spans="1:26" ht="14.25" customHeight="1">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row>
    <row r="216" spans="1:26" ht="14.25" customHeight="1">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row>
    <row r="217" spans="1:26" ht="14.25" customHeight="1">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row>
    <row r="218" spans="1:26" ht="14.25" customHeight="1">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row>
    <row r="219" spans="1:26" ht="14.25" customHeight="1">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row>
    <row r="220" spans="1:26" ht="14.25" customHeight="1">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row>
    <row r="221" spans="1:26" ht="14.25" customHeight="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row>
    <row r="222" spans="1:26" ht="14.25" customHeight="1">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row>
    <row r="223" spans="1:26" ht="14.25" customHeight="1">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row>
    <row r="224" spans="1:26" ht="14.25" customHeight="1">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row>
    <row r="225" spans="1:26" ht="14.25" customHeight="1">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row>
    <row r="226" spans="1:26" ht="14.25" customHeight="1">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row>
    <row r="227" spans="1:26" ht="14.25" customHeight="1">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row>
    <row r="228" spans="1:26" ht="14.25" customHeight="1">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row>
    <row r="229" spans="1:26" ht="14.25" customHeight="1">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row>
    <row r="230" spans="1:26" ht="14.25" customHeight="1">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row>
    <row r="231" spans="1:26" ht="14.25" customHeight="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row>
    <row r="232" spans="1:26" ht="14.25" customHeight="1">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row>
    <row r="233" spans="1:26" ht="14.25" customHeight="1">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row>
    <row r="234" spans="1:26" ht="14.25" customHeight="1">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row>
    <row r="235" spans="1:26" ht="14.25" customHeight="1">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row>
    <row r="236" spans="1:26" ht="14.25" customHeight="1">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row>
    <row r="237" spans="1:26" ht="14.25" customHeight="1">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row>
    <row r="238" spans="1:26" ht="14.25" customHeight="1">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row>
    <row r="239" spans="1:26" ht="14.25" customHeight="1">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row>
    <row r="240" spans="1:26" ht="14.25" customHeight="1">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row>
    <row r="241" spans="1:26" ht="14.25" customHeight="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row>
    <row r="242" spans="1:26" ht="14.25" customHeight="1">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row>
    <row r="243" spans="1:26" ht="14.25" customHeight="1">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row>
    <row r="244" spans="1:26" ht="14.25" customHeight="1">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row>
    <row r="245" spans="1:26" ht="14.25" customHeight="1">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row>
    <row r="246" spans="1:26" ht="14.25" customHeight="1">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row>
    <row r="247" spans="1:26" ht="14.25" customHeight="1">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row>
    <row r="248" spans="1:26" ht="14.25" customHeight="1">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row>
    <row r="249" spans="1:26" ht="14.25" customHeight="1">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row>
    <row r="250" spans="1:26" ht="14.25" customHeight="1">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row>
    <row r="251" spans="1:26" ht="14.25" customHeight="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row>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33:J33"/>
    <mergeCell ref="B37:J37"/>
    <mergeCell ref="C40:J40"/>
    <mergeCell ref="A6:K6"/>
    <mergeCell ref="J7:K7"/>
    <mergeCell ref="C8:J8"/>
    <mergeCell ref="B22:K22"/>
    <mergeCell ref="C24:H24"/>
    <mergeCell ref="I24:K24"/>
    <mergeCell ref="I25:K25"/>
    <mergeCell ref="C25:H25"/>
    <mergeCell ref="C26:H26"/>
    <mergeCell ref="I26:K26"/>
    <mergeCell ref="C27:H27"/>
    <mergeCell ref="B29:J29"/>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heetViews>
  <sheetFormatPr defaultColWidth="10.109375" defaultRowHeight="15" customHeight="1"/>
  <cols>
    <col min="1" max="1" width="6.33203125" customWidth="1"/>
    <col min="3" max="3" width="30.21875" customWidth="1"/>
  </cols>
  <sheetData>
    <row r="1" spans="1:26" ht="15" customHeight="1">
      <c r="A1" s="1"/>
      <c r="B1" s="1"/>
      <c r="C1" s="1"/>
      <c r="D1" s="1"/>
      <c r="E1" s="1"/>
      <c r="F1" s="1"/>
      <c r="G1" s="1"/>
      <c r="H1" s="1"/>
      <c r="I1" s="1"/>
      <c r="J1" s="1"/>
      <c r="K1" s="1"/>
      <c r="L1" s="1"/>
      <c r="M1" s="1"/>
      <c r="N1" s="1"/>
      <c r="O1" s="1"/>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2" t="s">
        <v>1597</v>
      </c>
      <c r="C3" s="1"/>
      <c r="D3" s="1"/>
      <c r="E3" s="1"/>
      <c r="F3" s="1"/>
      <c r="G3" s="1"/>
      <c r="H3" s="1"/>
      <c r="I3" s="1"/>
      <c r="J3" s="1"/>
      <c r="K3" s="1"/>
      <c r="L3" s="1"/>
      <c r="M3" s="1"/>
      <c r="N3" s="1"/>
      <c r="O3" s="1"/>
      <c r="P3" s="1"/>
      <c r="Q3" s="1"/>
      <c r="R3" s="1"/>
      <c r="S3" s="1"/>
      <c r="T3" s="1"/>
      <c r="U3" s="1"/>
      <c r="V3" s="1"/>
      <c r="W3" s="1"/>
      <c r="X3" s="1"/>
      <c r="Y3" s="1"/>
      <c r="Z3" s="1"/>
    </row>
    <row r="4" spans="1:26" ht="15" customHeight="1">
      <c r="A4" s="1"/>
      <c r="B4" s="286"/>
      <c r="C4" s="1"/>
      <c r="D4" s="1"/>
      <c r="E4" s="1"/>
      <c r="F4" s="1"/>
      <c r="G4" s="1"/>
      <c r="H4" s="1"/>
      <c r="I4" s="1"/>
      <c r="J4" s="1"/>
      <c r="K4" s="1"/>
      <c r="L4" s="1"/>
      <c r="M4" s="1"/>
      <c r="N4" s="1"/>
      <c r="O4" s="1"/>
      <c r="P4" s="1"/>
      <c r="Q4" s="1"/>
      <c r="R4" s="1"/>
      <c r="S4" s="1"/>
      <c r="T4" s="1"/>
      <c r="U4" s="1"/>
      <c r="V4" s="1"/>
      <c r="W4" s="1"/>
      <c r="X4" s="1"/>
      <c r="Y4" s="1"/>
      <c r="Z4" s="1"/>
    </row>
    <row r="5" spans="1:26" ht="15" customHeight="1">
      <c r="A5" s="1"/>
      <c r="B5" s="1" t="s">
        <v>1598</v>
      </c>
      <c r="C5" s="1"/>
      <c r="D5" s="1"/>
      <c r="E5" s="1"/>
      <c r="F5" s="1"/>
      <c r="G5" s="1"/>
      <c r="H5" s="1"/>
      <c r="I5" s="1"/>
      <c r="J5" s="1"/>
      <c r="K5" s="1"/>
      <c r="L5" s="1" t="s">
        <v>1599</v>
      </c>
      <c r="M5" s="1"/>
      <c r="N5" s="1"/>
      <c r="O5" s="1"/>
      <c r="P5" s="1"/>
      <c r="Q5" s="1"/>
      <c r="R5" s="1"/>
      <c r="S5" s="1"/>
      <c r="T5" s="1"/>
      <c r="U5" s="1"/>
      <c r="V5" s="1"/>
      <c r="W5" s="1"/>
      <c r="X5" s="1"/>
      <c r="Y5" s="1"/>
      <c r="Z5" s="1"/>
    </row>
    <row r="6" spans="1:26" ht="15" customHeight="1">
      <c r="A6" s="1"/>
      <c r="B6" s="387" t="s">
        <v>1</v>
      </c>
      <c r="C6" s="372" t="s">
        <v>1600</v>
      </c>
      <c r="D6" s="372" t="s">
        <v>1601</v>
      </c>
      <c r="E6" s="388"/>
      <c r="F6" s="388"/>
      <c r="G6" s="388"/>
      <c r="H6" s="388"/>
      <c r="I6" s="388"/>
      <c r="J6" s="388"/>
      <c r="K6" s="388"/>
      <c r="L6" s="388"/>
      <c r="M6" s="389"/>
      <c r="N6" s="1"/>
      <c r="O6" s="1"/>
      <c r="P6" s="1"/>
      <c r="Q6" s="1"/>
      <c r="R6" s="1"/>
      <c r="S6" s="1"/>
      <c r="T6" s="1"/>
      <c r="U6" s="1"/>
      <c r="V6" s="1"/>
      <c r="W6" s="1"/>
      <c r="X6" s="1"/>
      <c r="Y6" s="1"/>
      <c r="Z6" s="1"/>
    </row>
    <row r="7" spans="1:26" ht="15" customHeight="1">
      <c r="A7" s="1"/>
      <c r="B7" s="383"/>
      <c r="C7" s="383"/>
      <c r="D7" s="331" t="s">
        <v>1602</v>
      </c>
      <c r="E7" s="331">
        <v>15</v>
      </c>
      <c r="F7" s="331">
        <v>20</v>
      </c>
      <c r="G7" s="331">
        <v>30</v>
      </c>
      <c r="H7" s="331">
        <v>50</v>
      </c>
      <c r="I7" s="331">
        <v>100</v>
      </c>
      <c r="J7" s="331">
        <v>150</v>
      </c>
      <c r="K7" s="331">
        <v>200</v>
      </c>
      <c r="L7" s="331">
        <v>500</v>
      </c>
      <c r="M7" s="287">
        <v>1000</v>
      </c>
      <c r="N7" s="1"/>
      <c r="O7" s="1"/>
      <c r="P7" s="1"/>
      <c r="Q7" s="1"/>
      <c r="R7" s="1"/>
      <c r="S7" s="1"/>
      <c r="T7" s="1"/>
      <c r="U7" s="1"/>
      <c r="V7" s="1"/>
      <c r="W7" s="1"/>
      <c r="X7" s="1"/>
      <c r="Y7" s="1"/>
      <c r="Z7" s="1"/>
    </row>
    <row r="8" spans="1:26" ht="15" customHeight="1">
      <c r="A8" s="1"/>
      <c r="B8" s="6">
        <v>1</v>
      </c>
      <c r="C8" s="332" t="s">
        <v>1603</v>
      </c>
      <c r="D8" s="6">
        <v>2.6440000000000001</v>
      </c>
      <c r="E8" s="6">
        <v>2.1840000000000002</v>
      </c>
      <c r="F8" s="6">
        <v>1.913</v>
      </c>
      <c r="G8" s="6">
        <v>1.7470000000000001</v>
      </c>
      <c r="H8" s="6">
        <v>1.3240000000000001</v>
      </c>
      <c r="I8" s="6">
        <v>1.0449999999999999</v>
      </c>
      <c r="J8" s="6">
        <v>1.0069999999999999</v>
      </c>
      <c r="K8" s="6">
        <v>0.97499999999999998</v>
      </c>
      <c r="L8" s="6">
        <v>0.84099999999999997</v>
      </c>
      <c r="M8" s="6">
        <v>0.69599999999999995</v>
      </c>
      <c r="N8" s="1"/>
      <c r="O8" s="1"/>
      <c r="P8" s="1"/>
      <c r="Q8" s="1"/>
      <c r="R8" s="1"/>
      <c r="S8" s="1"/>
      <c r="T8" s="1"/>
      <c r="U8" s="1"/>
      <c r="V8" s="1"/>
      <c r="W8" s="1"/>
      <c r="X8" s="1"/>
      <c r="Y8" s="1"/>
      <c r="Z8" s="1"/>
    </row>
    <row r="9" spans="1:26" ht="15" customHeight="1">
      <c r="A9" s="1"/>
      <c r="B9" s="6">
        <v>2</v>
      </c>
      <c r="C9" s="332" t="s">
        <v>1604</v>
      </c>
      <c r="D9" s="288">
        <f t="shared" ref="D9:M9" si="0">D8*0.84</f>
        <v>2.2209599999999998</v>
      </c>
      <c r="E9" s="288">
        <f t="shared" si="0"/>
        <v>1.83456</v>
      </c>
      <c r="F9" s="288">
        <f t="shared" si="0"/>
        <v>1.6069199999999999</v>
      </c>
      <c r="G9" s="288">
        <f t="shared" si="0"/>
        <v>1.4674800000000001</v>
      </c>
      <c r="H9" s="288">
        <f t="shared" si="0"/>
        <v>1.11216</v>
      </c>
      <c r="I9" s="288">
        <f t="shared" si="0"/>
        <v>0.87779999999999991</v>
      </c>
      <c r="J9" s="288">
        <f t="shared" si="0"/>
        <v>0.84587999999999985</v>
      </c>
      <c r="K9" s="288">
        <f t="shared" si="0"/>
        <v>0.81899999999999995</v>
      </c>
      <c r="L9" s="288">
        <f t="shared" si="0"/>
        <v>0.70643999999999996</v>
      </c>
      <c r="M9" s="288">
        <f t="shared" si="0"/>
        <v>0.58463999999999994</v>
      </c>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c r="A11" s="1"/>
      <c r="B11" s="1" t="s">
        <v>1605</v>
      </c>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c r="A12" s="1"/>
      <c r="B12" s="1" t="s">
        <v>1606</v>
      </c>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c r="A14" s="1"/>
      <c r="B14" s="1" t="s">
        <v>1607</v>
      </c>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c r="A15" s="1"/>
      <c r="B15" s="1"/>
      <c r="C15" s="1"/>
      <c r="D15" s="1"/>
      <c r="E15" s="1"/>
      <c r="F15" s="1"/>
      <c r="G15" s="1"/>
      <c r="H15" s="1"/>
      <c r="I15" s="1"/>
      <c r="J15" s="1" t="s">
        <v>1599</v>
      </c>
      <c r="K15" s="1"/>
      <c r="L15" s="1"/>
      <c r="M15" s="1"/>
      <c r="N15" s="1"/>
      <c r="O15" s="1"/>
      <c r="P15" s="1"/>
      <c r="Q15" s="1"/>
      <c r="R15" s="1"/>
      <c r="S15" s="1"/>
      <c r="T15" s="1"/>
      <c r="U15" s="1"/>
      <c r="V15" s="1"/>
      <c r="W15" s="1"/>
      <c r="X15" s="1"/>
      <c r="Y15" s="1"/>
      <c r="Z15" s="1"/>
    </row>
    <row r="16" spans="1:26" ht="15" customHeight="1">
      <c r="A16" s="1"/>
      <c r="B16" s="390" t="s">
        <v>1</v>
      </c>
      <c r="C16" s="371" t="s">
        <v>1600</v>
      </c>
      <c r="D16" s="373" t="s">
        <v>1608</v>
      </c>
      <c r="E16" s="386"/>
      <c r="F16" s="386"/>
      <c r="G16" s="386"/>
      <c r="H16" s="386"/>
      <c r="I16" s="386"/>
      <c r="J16" s="386"/>
      <c r="K16" s="382"/>
      <c r="L16" s="1"/>
      <c r="M16" s="1"/>
      <c r="N16" s="1"/>
      <c r="O16" s="1"/>
      <c r="P16" s="1"/>
      <c r="Q16" s="1"/>
      <c r="R16" s="1"/>
      <c r="S16" s="1"/>
      <c r="T16" s="1"/>
      <c r="U16" s="1"/>
      <c r="V16" s="1"/>
      <c r="W16" s="1"/>
      <c r="X16" s="1"/>
      <c r="Y16" s="1"/>
      <c r="Z16" s="1"/>
    </row>
    <row r="17" spans="1:26" ht="15" customHeight="1">
      <c r="A17" s="1"/>
      <c r="B17" s="385"/>
      <c r="C17" s="391"/>
      <c r="D17" s="333" t="s">
        <v>1602</v>
      </c>
      <c r="E17" s="333">
        <v>15</v>
      </c>
      <c r="F17" s="333">
        <v>20</v>
      </c>
      <c r="G17" s="333">
        <v>30</v>
      </c>
      <c r="H17" s="333">
        <v>50</v>
      </c>
      <c r="I17" s="333">
        <v>100</v>
      </c>
      <c r="J17" s="333">
        <v>150</v>
      </c>
      <c r="K17" s="333">
        <v>200</v>
      </c>
      <c r="L17" s="1"/>
      <c r="M17" s="1"/>
      <c r="N17" s="1"/>
      <c r="O17" s="1"/>
      <c r="P17" s="1"/>
      <c r="Q17" s="1"/>
      <c r="R17" s="1"/>
      <c r="S17" s="1"/>
      <c r="T17" s="1"/>
      <c r="U17" s="1"/>
      <c r="V17" s="1"/>
      <c r="W17" s="1"/>
      <c r="X17" s="1"/>
      <c r="Y17" s="1"/>
      <c r="Z17" s="1"/>
    </row>
    <row r="18" spans="1:26" ht="15" customHeight="1">
      <c r="A18" s="1"/>
      <c r="B18" s="334">
        <v>2</v>
      </c>
      <c r="C18" s="335" t="s">
        <v>1609</v>
      </c>
      <c r="D18" s="336">
        <v>2.8090000000000002</v>
      </c>
      <c r="E18" s="336">
        <v>2.133</v>
      </c>
      <c r="F18" s="336">
        <v>1.964</v>
      </c>
      <c r="G18" s="336">
        <v>1.782</v>
      </c>
      <c r="H18" s="336">
        <v>1.71</v>
      </c>
      <c r="I18" s="336">
        <v>1.3460000000000001</v>
      </c>
      <c r="J18" s="336">
        <v>1.2869999999999999</v>
      </c>
      <c r="K18" s="336">
        <v>1.248</v>
      </c>
      <c r="L18" s="1"/>
      <c r="M18" s="1"/>
      <c r="N18" s="1"/>
      <c r="O18" s="1"/>
      <c r="P18" s="1"/>
      <c r="Q18" s="1"/>
      <c r="R18" s="1"/>
      <c r="S18" s="1"/>
      <c r="T18" s="1"/>
      <c r="U18" s="1"/>
      <c r="V18" s="1"/>
      <c r="W18" s="1"/>
      <c r="X18" s="1"/>
      <c r="Y18" s="1"/>
      <c r="Z18" s="1"/>
    </row>
    <row r="19" spans="1:26" ht="15" customHeight="1">
      <c r="A19" s="1"/>
      <c r="B19" s="334">
        <v>3</v>
      </c>
      <c r="C19" s="335" t="s">
        <v>1610</v>
      </c>
      <c r="D19" s="336">
        <v>1.855</v>
      </c>
      <c r="E19" s="336">
        <v>1.532</v>
      </c>
      <c r="F19" s="289"/>
      <c r="G19" s="289"/>
      <c r="H19" s="289"/>
      <c r="I19" s="289"/>
      <c r="J19" s="289"/>
      <c r="K19" s="289"/>
      <c r="L19" s="1"/>
      <c r="M19" s="1"/>
      <c r="N19" s="1"/>
      <c r="O19" s="1"/>
      <c r="P19" s="1"/>
      <c r="Q19" s="1"/>
      <c r="R19" s="1"/>
      <c r="S19" s="1"/>
      <c r="T19" s="1"/>
      <c r="U19" s="1"/>
      <c r="V19" s="1"/>
      <c r="W19" s="1"/>
      <c r="X19" s="1"/>
      <c r="Y19" s="1"/>
      <c r="Z19" s="1"/>
    </row>
    <row r="20" spans="1:26" ht="15" customHeight="1">
      <c r="A20" s="1"/>
      <c r="B20" s="286"/>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c r="A21" s="1"/>
      <c r="B21" s="1" t="s">
        <v>1611</v>
      </c>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c r="A22" s="1"/>
      <c r="B22" s="1" t="s">
        <v>1612</v>
      </c>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c r="A24" s="1"/>
      <c r="B24" s="2" t="s">
        <v>1613</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c r="A25" s="1"/>
      <c r="B25" s="1" t="s">
        <v>1598</v>
      </c>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223" t="s">
        <v>1599</v>
      </c>
      <c r="M26" s="1"/>
      <c r="N26" s="1"/>
      <c r="O26" s="1"/>
      <c r="P26" s="1"/>
      <c r="Q26" s="1"/>
      <c r="R26" s="1"/>
      <c r="S26" s="1"/>
      <c r="T26" s="1"/>
      <c r="U26" s="1"/>
      <c r="V26" s="1"/>
      <c r="W26" s="1"/>
      <c r="X26" s="1"/>
      <c r="Y26" s="1"/>
      <c r="Z26" s="1"/>
    </row>
    <row r="27" spans="1:26" ht="15" customHeight="1">
      <c r="A27" s="1"/>
      <c r="B27" s="370" t="s">
        <v>1</v>
      </c>
      <c r="C27" s="370" t="s">
        <v>1600</v>
      </c>
      <c r="D27" s="350" t="s">
        <v>1601</v>
      </c>
      <c r="E27" s="386"/>
      <c r="F27" s="386"/>
      <c r="G27" s="386"/>
      <c r="H27" s="386"/>
      <c r="I27" s="386"/>
      <c r="J27" s="386"/>
      <c r="K27" s="386"/>
      <c r="L27" s="386"/>
      <c r="M27" s="382"/>
      <c r="N27" s="1"/>
      <c r="O27" s="1"/>
      <c r="P27" s="1"/>
      <c r="Q27" s="1"/>
      <c r="R27" s="1"/>
      <c r="S27" s="1"/>
      <c r="T27" s="1"/>
      <c r="U27" s="1"/>
      <c r="V27" s="1"/>
      <c r="W27" s="1"/>
      <c r="X27" s="1"/>
      <c r="Y27" s="1"/>
      <c r="Z27" s="1"/>
    </row>
    <row r="28" spans="1:26" ht="15" customHeight="1">
      <c r="A28" s="1"/>
      <c r="B28" s="385"/>
      <c r="C28" s="385"/>
      <c r="D28" s="4" t="s">
        <v>1602</v>
      </c>
      <c r="E28" s="4">
        <v>15</v>
      </c>
      <c r="F28" s="4">
        <v>20</v>
      </c>
      <c r="G28" s="4">
        <v>30</v>
      </c>
      <c r="H28" s="4">
        <v>50</v>
      </c>
      <c r="I28" s="4">
        <v>100</v>
      </c>
      <c r="J28" s="4">
        <v>150</v>
      </c>
      <c r="K28" s="4">
        <v>200</v>
      </c>
      <c r="L28" s="4">
        <v>500</v>
      </c>
      <c r="M28" s="4">
        <v>1000</v>
      </c>
      <c r="N28" s="1"/>
      <c r="O28" s="1"/>
      <c r="P28" s="1"/>
      <c r="Q28" s="1"/>
      <c r="R28" s="1"/>
      <c r="S28" s="1"/>
      <c r="T28" s="1"/>
      <c r="U28" s="1"/>
      <c r="V28" s="1"/>
      <c r="W28" s="1"/>
      <c r="X28" s="1"/>
      <c r="Y28" s="1"/>
      <c r="Z28" s="1"/>
    </row>
    <row r="29" spans="1:26" ht="15" customHeight="1">
      <c r="A29" s="1"/>
      <c r="B29" s="6">
        <v>1</v>
      </c>
      <c r="C29" s="73" t="s">
        <v>1603</v>
      </c>
      <c r="D29" s="6">
        <v>0.99199999999999999</v>
      </c>
      <c r="E29" s="6">
        <v>0.73899999999999999</v>
      </c>
      <c r="F29" s="6">
        <v>0.65200000000000002</v>
      </c>
      <c r="G29" s="6">
        <v>0.53300000000000003</v>
      </c>
      <c r="H29" s="6">
        <v>0.42</v>
      </c>
      <c r="I29" s="6">
        <v>0.31</v>
      </c>
      <c r="J29" s="6">
        <v>0.253</v>
      </c>
      <c r="K29" s="6">
        <v>0.20499999999999999</v>
      </c>
      <c r="L29" s="6">
        <v>0.16400000000000001</v>
      </c>
      <c r="M29" s="6">
        <v>0.14399999999999999</v>
      </c>
      <c r="N29" s="1"/>
      <c r="O29" s="1"/>
      <c r="P29" s="1"/>
      <c r="Q29" s="1"/>
      <c r="R29" s="1"/>
      <c r="S29" s="1"/>
      <c r="T29" s="1"/>
      <c r="U29" s="1"/>
      <c r="V29" s="1"/>
      <c r="W29" s="1"/>
      <c r="X29" s="1"/>
      <c r="Y29" s="1"/>
      <c r="Z29" s="1"/>
    </row>
    <row r="30" spans="1:26" ht="15" customHeight="1">
      <c r="A30" s="1"/>
      <c r="B30" s="6">
        <v>2</v>
      </c>
      <c r="C30" s="73" t="s">
        <v>1614</v>
      </c>
      <c r="D30" s="290">
        <f t="shared" ref="D30:M30" si="1">D29*1.65</f>
        <v>1.6367999999999998</v>
      </c>
      <c r="E30" s="290">
        <f t="shared" si="1"/>
        <v>1.2193499999999999</v>
      </c>
      <c r="F30" s="290">
        <f t="shared" si="1"/>
        <v>1.0758000000000001</v>
      </c>
      <c r="G30" s="290">
        <f t="shared" si="1"/>
        <v>0.87944999999999995</v>
      </c>
      <c r="H30" s="290">
        <f t="shared" si="1"/>
        <v>0.69299999999999995</v>
      </c>
      <c r="I30" s="290">
        <f t="shared" si="1"/>
        <v>0.51149999999999995</v>
      </c>
      <c r="J30" s="290">
        <f t="shared" si="1"/>
        <v>0.41744999999999999</v>
      </c>
      <c r="K30" s="290">
        <f t="shared" si="1"/>
        <v>0.33824999999999994</v>
      </c>
      <c r="L30" s="290">
        <f t="shared" si="1"/>
        <v>0.27060000000000001</v>
      </c>
      <c r="M30" s="290">
        <f t="shared" si="1"/>
        <v>0.23759999999999998</v>
      </c>
      <c r="N30" s="1"/>
      <c r="O30" s="1"/>
      <c r="P30" s="1"/>
      <c r="Q30" s="1"/>
      <c r="R30" s="1"/>
      <c r="S30" s="1"/>
      <c r="T30" s="1"/>
      <c r="U30" s="1"/>
      <c r="V30" s="1"/>
      <c r="W30" s="1"/>
      <c r="X30" s="1"/>
      <c r="Y30" s="1"/>
      <c r="Z30" s="1"/>
    </row>
    <row r="31" spans="1:26"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customHeight="1">
      <c r="A32" s="1"/>
      <c r="B32" s="1" t="s">
        <v>1615</v>
      </c>
      <c r="C32" s="1"/>
      <c r="D32" s="1"/>
      <c r="E32" s="1"/>
      <c r="F32" s="1"/>
      <c r="G32" s="1"/>
      <c r="H32" s="1"/>
      <c r="I32" s="1"/>
      <c r="J32" s="1"/>
      <c r="K32" s="1"/>
      <c r="L32" s="1"/>
      <c r="M32" s="1"/>
      <c r="N32" s="1"/>
      <c r="O32" s="1"/>
      <c r="P32" s="1"/>
      <c r="Q32" s="1"/>
      <c r="R32" s="1"/>
      <c r="S32" s="1"/>
      <c r="T32" s="1"/>
      <c r="U32" s="1"/>
      <c r="V32" s="1"/>
      <c r="W32" s="1"/>
      <c r="X32" s="1"/>
      <c r="Y32" s="1"/>
      <c r="Z32" s="1"/>
    </row>
    <row r="33" spans="1:26" ht="15" customHeight="1">
      <c r="A33" s="1"/>
      <c r="B33" s="1" t="s">
        <v>1616</v>
      </c>
      <c r="C33" s="1"/>
      <c r="D33" s="1"/>
      <c r="E33" s="1"/>
      <c r="F33" s="1"/>
      <c r="G33" s="1"/>
      <c r="H33" s="1"/>
      <c r="I33" s="1"/>
      <c r="J33" s="1"/>
      <c r="K33" s="1"/>
      <c r="L33" s="1"/>
      <c r="M33" s="1"/>
      <c r="N33" s="1"/>
      <c r="O33" s="1"/>
      <c r="P33" s="1"/>
      <c r="Q33" s="1"/>
      <c r="R33" s="1"/>
      <c r="S33" s="1"/>
      <c r="T33" s="1"/>
      <c r="U33" s="1"/>
      <c r="V33" s="1"/>
      <c r="W33" s="1"/>
      <c r="X33" s="1"/>
      <c r="Y33" s="1"/>
      <c r="Z33" s="1"/>
    </row>
    <row r="34" spans="1:26"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c r="A35" s="1"/>
      <c r="B35" s="1" t="s">
        <v>1607</v>
      </c>
      <c r="C35" s="1"/>
      <c r="D35" s="1"/>
      <c r="E35" s="1"/>
      <c r="F35" s="1"/>
      <c r="G35" s="1"/>
      <c r="H35" s="1"/>
      <c r="I35" s="1"/>
      <c r="J35" s="1"/>
      <c r="K35" s="1"/>
      <c r="L35" s="1"/>
      <c r="M35" s="1"/>
      <c r="N35" s="1"/>
      <c r="O35" s="1"/>
      <c r="P35" s="1"/>
      <c r="Q35" s="1"/>
      <c r="R35" s="1"/>
      <c r="S35" s="1"/>
      <c r="T35" s="1"/>
      <c r="U35" s="1"/>
      <c r="V35" s="1"/>
      <c r="W35" s="1"/>
      <c r="X35" s="1"/>
      <c r="Y35" s="1"/>
      <c r="Z35" s="1"/>
    </row>
    <row r="36" spans="1:26" ht="15" customHeight="1">
      <c r="A36" s="1"/>
      <c r="B36" s="1"/>
      <c r="C36" s="1"/>
      <c r="D36" s="1"/>
      <c r="E36" s="1"/>
      <c r="F36" s="1"/>
      <c r="G36" s="1"/>
      <c r="H36" s="1"/>
      <c r="I36" s="1"/>
      <c r="J36" s="223" t="s">
        <v>1599</v>
      </c>
      <c r="K36" s="1"/>
      <c r="L36" s="1"/>
      <c r="M36" s="1"/>
      <c r="N36" s="1"/>
      <c r="O36" s="1"/>
      <c r="P36" s="1"/>
      <c r="Q36" s="1"/>
      <c r="R36" s="1"/>
      <c r="S36" s="1"/>
      <c r="T36" s="1"/>
      <c r="U36" s="1"/>
      <c r="V36" s="1"/>
      <c r="W36" s="1"/>
      <c r="X36" s="1"/>
      <c r="Y36" s="1"/>
      <c r="Z36" s="1"/>
    </row>
    <row r="37" spans="1:26" ht="15" customHeight="1">
      <c r="A37" s="1"/>
      <c r="B37" s="370" t="s">
        <v>1</v>
      </c>
      <c r="C37" s="371" t="s">
        <v>1600</v>
      </c>
      <c r="D37" s="373" t="s">
        <v>1608</v>
      </c>
      <c r="E37" s="386"/>
      <c r="F37" s="386"/>
      <c r="G37" s="386"/>
      <c r="H37" s="386"/>
      <c r="I37" s="386"/>
      <c r="J37" s="386"/>
      <c r="K37" s="382"/>
      <c r="L37" s="1"/>
      <c r="M37" s="1"/>
      <c r="N37" s="1"/>
      <c r="O37" s="1"/>
      <c r="P37" s="1"/>
      <c r="Q37" s="1"/>
      <c r="R37" s="1"/>
      <c r="S37" s="1"/>
      <c r="T37" s="1"/>
      <c r="U37" s="1"/>
      <c r="V37" s="1"/>
      <c r="W37" s="1"/>
      <c r="X37" s="1"/>
      <c r="Y37" s="1"/>
      <c r="Z37" s="1"/>
    </row>
    <row r="38" spans="1:26" ht="15" customHeight="1">
      <c r="A38" s="1"/>
      <c r="B38" s="385"/>
      <c r="C38" s="391"/>
      <c r="D38" s="333" t="s">
        <v>1602</v>
      </c>
      <c r="E38" s="333">
        <v>15</v>
      </c>
      <c r="F38" s="333">
        <v>20</v>
      </c>
      <c r="G38" s="333">
        <v>30</v>
      </c>
      <c r="H38" s="333">
        <v>50</v>
      </c>
      <c r="I38" s="333">
        <v>100</v>
      </c>
      <c r="J38" s="333">
        <v>150</v>
      </c>
      <c r="K38" s="333">
        <v>200</v>
      </c>
      <c r="L38" s="1"/>
      <c r="M38" s="1"/>
      <c r="N38" s="1"/>
      <c r="O38" s="1"/>
      <c r="P38" s="1"/>
      <c r="Q38" s="1"/>
      <c r="R38" s="1"/>
      <c r="S38" s="1"/>
      <c r="T38" s="1"/>
      <c r="U38" s="1"/>
      <c r="V38" s="1"/>
      <c r="W38" s="1"/>
      <c r="X38" s="1"/>
      <c r="Y38" s="1"/>
      <c r="Z38" s="1"/>
    </row>
    <row r="39" spans="1:26" ht="15.75" customHeight="1">
      <c r="A39" s="1"/>
      <c r="B39" s="337">
        <v>2</v>
      </c>
      <c r="C39" s="335" t="s">
        <v>1609</v>
      </c>
      <c r="D39" s="336">
        <v>0.99199999999999999</v>
      </c>
      <c r="E39" s="336">
        <v>0.90600000000000003</v>
      </c>
      <c r="F39" s="336">
        <v>0.81200000000000006</v>
      </c>
      <c r="G39" s="336">
        <v>0.76300000000000001</v>
      </c>
      <c r="H39" s="336">
        <v>0.64800000000000002</v>
      </c>
      <c r="I39" s="336">
        <v>0.48499999999999999</v>
      </c>
      <c r="J39" s="336">
        <v>0.437</v>
      </c>
      <c r="K39" s="336">
        <v>0.38100000000000001</v>
      </c>
      <c r="L39" s="1"/>
      <c r="M39" s="1"/>
      <c r="N39" s="1"/>
      <c r="O39" s="1"/>
      <c r="P39" s="1"/>
      <c r="Q39" s="1"/>
      <c r="R39" s="1"/>
      <c r="S39" s="1"/>
      <c r="T39" s="1"/>
      <c r="U39" s="1"/>
      <c r="V39" s="1"/>
      <c r="W39" s="1"/>
      <c r="X39" s="1"/>
      <c r="Y39" s="1"/>
      <c r="Z39" s="1"/>
    </row>
    <row r="40" spans="1:26" ht="15.75" customHeight="1">
      <c r="A40" s="1"/>
      <c r="B40" s="337">
        <v>3</v>
      </c>
      <c r="C40" s="335" t="s">
        <v>1610</v>
      </c>
      <c r="D40" s="336">
        <v>3.64</v>
      </c>
      <c r="E40" s="336">
        <v>3.24</v>
      </c>
      <c r="F40" s="289"/>
      <c r="G40" s="289"/>
      <c r="H40" s="289"/>
      <c r="I40" s="289"/>
      <c r="J40" s="289"/>
      <c r="K40" s="289"/>
      <c r="L40" s="1"/>
      <c r="M40" s="1"/>
      <c r="N40" s="1"/>
      <c r="O40" s="1"/>
      <c r="P40" s="1"/>
      <c r="Q40" s="1"/>
      <c r="R40" s="1"/>
      <c r="S40" s="1"/>
      <c r="T40" s="1"/>
      <c r="U40" s="1"/>
      <c r="V40" s="1"/>
      <c r="W40" s="1"/>
      <c r="X40" s="1"/>
      <c r="Y40" s="1"/>
      <c r="Z40" s="1"/>
    </row>
    <row r="41" spans="1:26" ht="15.75" customHeight="1">
      <c r="A41" s="1"/>
      <c r="B41" s="28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t="s">
        <v>1617</v>
      </c>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t="s">
        <v>1618</v>
      </c>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291" t="s">
        <v>1568</v>
      </c>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t="s">
        <v>1619</v>
      </c>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t="s">
        <v>1620</v>
      </c>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2" t="s">
        <v>1621</v>
      </c>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t="s">
        <v>1598</v>
      </c>
      <c r="C49" s="1"/>
      <c r="D49" s="1"/>
      <c r="E49" s="1"/>
      <c r="F49" s="1"/>
      <c r="G49" s="1"/>
      <c r="H49" s="1"/>
      <c r="I49" s="1"/>
      <c r="J49" s="1"/>
      <c r="K49" s="1"/>
      <c r="L49" s="223" t="s">
        <v>1599</v>
      </c>
      <c r="M49" s="1"/>
      <c r="N49" s="1"/>
      <c r="O49" s="1"/>
      <c r="P49" s="1"/>
      <c r="Q49" s="1"/>
      <c r="R49" s="1"/>
      <c r="S49" s="1"/>
      <c r="T49" s="1"/>
      <c r="U49" s="1"/>
      <c r="V49" s="1"/>
      <c r="W49" s="1"/>
      <c r="X49" s="1"/>
      <c r="Y49" s="1"/>
      <c r="Z49" s="1"/>
    </row>
    <row r="50" spans="1:26" ht="15.75" customHeight="1">
      <c r="A50" s="1"/>
      <c r="B50" s="374" t="s">
        <v>1</v>
      </c>
      <c r="C50" s="375" t="s">
        <v>1600</v>
      </c>
      <c r="D50" s="376" t="s">
        <v>1601</v>
      </c>
      <c r="E50" s="386"/>
      <c r="F50" s="386"/>
      <c r="G50" s="386"/>
      <c r="H50" s="386"/>
      <c r="I50" s="386"/>
      <c r="J50" s="386"/>
      <c r="K50" s="386"/>
      <c r="L50" s="386"/>
      <c r="M50" s="382"/>
      <c r="N50" s="1"/>
      <c r="O50" s="1"/>
      <c r="P50" s="1"/>
      <c r="Q50" s="1"/>
      <c r="R50" s="1"/>
      <c r="S50" s="1"/>
      <c r="T50" s="1"/>
      <c r="U50" s="1"/>
      <c r="V50" s="1"/>
      <c r="W50" s="1"/>
      <c r="X50" s="1"/>
      <c r="Y50" s="1"/>
      <c r="Z50" s="1"/>
    </row>
    <row r="51" spans="1:26" ht="15.75" customHeight="1">
      <c r="A51" s="1"/>
      <c r="B51" s="385"/>
      <c r="C51" s="391"/>
      <c r="D51" s="292" t="s">
        <v>1602</v>
      </c>
      <c r="E51" s="292">
        <v>15</v>
      </c>
      <c r="F51" s="292">
        <v>20</v>
      </c>
      <c r="G51" s="292">
        <v>30</v>
      </c>
      <c r="H51" s="292">
        <v>50</v>
      </c>
      <c r="I51" s="292">
        <v>100</v>
      </c>
      <c r="J51" s="292">
        <v>150</v>
      </c>
      <c r="K51" s="292">
        <v>200</v>
      </c>
      <c r="L51" s="292">
        <v>500</v>
      </c>
      <c r="M51" s="292">
        <v>1000</v>
      </c>
      <c r="N51" s="1"/>
      <c r="O51" s="1"/>
      <c r="P51" s="1"/>
      <c r="Q51" s="1"/>
      <c r="R51" s="1"/>
      <c r="S51" s="1"/>
      <c r="T51" s="1"/>
      <c r="U51" s="1"/>
      <c r="V51" s="1"/>
      <c r="W51" s="1"/>
      <c r="X51" s="1"/>
      <c r="Y51" s="1"/>
      <c r="Z51" s="1"/>
    </row>
    <row r="52" spans="1:26" ht="15.75" customHeight="1">
      <c r="A52" s="1"/>
      <c r="B52" s="337">
        <v>1</v>
      </c>
      <c r="C52" s="335" t="s">
        <v>1603</v>
      </c>
      <c r="D52" s="336">
        <v>1.4990000000000001</v>
      </c>
      <c r="E52" s="336">
        <v>1.198</v>
      </c>
      <c r="F52" s="336">
        <v>0.99099999999999999</v>
      </c>
      <c r="G52" s="336">
        <v>0.82</v>
      </c>
      <c r="H52" s="336">
        <v>0.64600000000000002</v>
      </c>
      <c r="I52" s="336">
        <v>0.52200000000000002</v>
      </c>
      <c r="J52" s="336">
        <v>0.46100000000000002</v>
      </c>
      <c r="K52" s="336">
        <v>0.41099999999999998</v>
      </c>
      <c r="L52" s="336">
        <v>0.32100000000000001</v>
      </c>
      <c r="M52" s="336">
        <v>0.24</v>
      </c>
      <c r="N52" s="1"/>
      <c r="O52" s="1"/>
      <c r="P52" s="1"/>
      <c r="Q52" s="1"/>
      <c r="R52" s="1"/>
      <c r="S52" s="1"/>
      <c r="T52" s="1"/>
      <c r="U52" s="1"/>
      <c r="V52" s="1"/>
      <c r="W52" s="1"/>
      <c r="X52" s="1"/>
      <c r="Y52" s="1"/>
      <c r="Z52" s="1"/>
    </row>
    <row r="53" spans="1:26" ht="15.75" customHeight="1">
      <c r="A53" s="1"/>
      <c r="B53" s="28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t="s">
        <v>1607</v>
      </c>
      <c r="C54" s="1"/>
      <c r="D54" s="1"/>
      <c r="E54" s="1"/>
      <c r="F54" s="1"/>
      <c r="G54" s="1"/>
      <c r="H54" s="1"/>
      <c r="I54" s="1"/>
      <c r="J54" s="223" t="s">
        <v>1599</v>
      </c>
      <c r="K54" s="1"/>
      <c r="L54" s="1"/>
      <c r="M54" s="1"/>
      <c r="N54" s="1"/>
      <c r="O54" s="1"/>
      <c r="P54" s="1"/>
      <c r="Q54" s="1"/>
      <c r="R54" s="1"/>
      <c r="S54" s="1"/>
      <c r="T54" s="1"/>
      <c r="U54" s="1"/>
      <c r="V54" s="1"/>
      <c r="W54" s="1"/>
      <c r="X54" s="1"/>
      <c r="Y54" s="1"/>
      <c r="Z54" s="1"/>
    </row>
    <row r="55" spans="1:26" ht="15.75" customHeight="1">
      <c r="A55" s="1"/>
      <c r="B55" s="374" t="s">
        <v>1</v>
      </c>
      <c r="C55" s="375" t="s">
        <v>1600</v>
      </c>
      <c r="D55" s="377" t="s">
        <v>1622</v>
      </c>
      <c r="E55" s="386"/>
      <c r="F55" s="386"/>
      <c r="G55" s="386"/>
      <c r="H55" s="386"/>
      <c r="I55" s="386"/>
      <c r="J55" s="386"/>
      <c r="K55" s="382"/>
      <c r="L55" s="1"/>
      <c r="M55" s="1"/>
      <c r="N55" s="1"/>
      <c r="O55" s="1"/>
      <c r="P55" s="1"/>
      <c r="Q55" s="1"/>
      <c r="R55" s="1"/>
      <c r="S55" s="1"/>
      <c r="T55" s="1"/>
      <c r="U55" s="1"/>
      <c r="V55" s="1"/>
      <c r="W55" s="1"/>
      <c r="X55" s="1"/>
      <c r="Y55" s="1"/>
      <c r="Z55" s="1"/>
    </row>
    <row r="56" spans="1:26" ht="15.75" customHeight="1">
      <c r="A56" s="1"/>
      <c r="B56" s="385"/>
      <c r="C56" s="391"/>
      <c r="D56" s="292" t="s">
        <v>1602</v>
      </c>
      <c r="E56" s="292">
        <v>15</v>
      </c>
      <c r="F56" s="292">
        <v>20</v>
      </c>
      <c r="G56" s="292">
        <v>30</v>
      </c>
      <c r="H56" s="292">
        <v>50</v>
      </c>
      <c r="I56" s="292">
        <v>100</v>
      </c>
      <c r="J56" s="292">
        <v>150</v>
      </c>
      <c r="K56" s="292">
        <v>200</v>
      </c>
      <c r="L56" s="1"/>
      <c r="M56" s="1"/>
      <c r="N56" s="1"/>
      <c r="O56" s="1"/>
      <c r="P56" s="1"/>
      <c r="Q56" s="1"/>
      <c r="R56" s="1"/>
      <c r="S56" s="1"/>
      <c r="T56" s="1"/>
      <c r="U56" s="1"/>
      <c r="V56" s="1"/>
      <c r="W56" s="1"/>
      <c r="X56" s="1"/>
      <c r="Y56" s="1"/>
      <c r="Z56" s="1"/>
    </row>
    <row r="57" spans="1:26" ht="15.75" customHeight="1">
      <c r="A57" s="1"/>
      <c r="B57" s="337">
        <v>2</v>
      </c>
      <c r="C57" s="335" t="s">
        <v>1609</v>
      </c>
      <c r="D57" s="336">
        <v>3.3759999999999999</v>
      </c>
      <c r="E57" s="336">
        <v>3.1549999999999998</v>
      </c>
      <c r="F57" s="336">
        <v>3.0230000000000001</v>
      </c>
      <c r="G57" s="336">
        <v>2.847</v>
      </c>
      <c r="H57" s="336">
        <v>2.5059999999999998</v>
      </c>
      <c r="I57" s="336">
        <v>2.2109999999999999</v>
      </c>
      <c r="J57" s="336">
        <v>2.0910000000000002</v>
      </c>
      <c r="K57" s="336">
        <v>1.9750000000000001</v>
      </c>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2" t="s">
        <v>1623</v>
      </c>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t="s">
        <v>1598</v>
      </c>
      <c r="C60" s="1"/>
      <c r="D60" s="1"/>
      <c r="E60" s="1"/>
      <c r="F60" s="1"/>
      <c r="G60" s="1"/>
      <c r="H60" s="1"/>
      <c r="I60" s="1"/>
      <c r="J60" s="1"/>
      <c r="K60" s="1"/>
      <c r="L60" s="223" t="s">
        <v>1599</v>
      </c>
      <c r="M60" s="1"/>
      <c r="N60" s="1"/>
      <c r="O60" s="1"/>
      <c r="P60" s="1"/>
      <c r="Q60" s="1"/>
      <c r="R60" s="1"/>
      <c r="S60" s="1"/>
      <c r="T60" s="1"/>
      <c r="U60" s="1"/>
      <c r="V60" s="1"/>
      <c r="W60" s="1"/>
      <c r="X60" s="1"/>
      <c r="Y60" s="1"/>
      <c r="Z60" s="1"/>
    </row>
    <row r="61" spans="1:26" ht="15.75" customHeight="1">
      <c r="A61" s="1"/>
      <c r="B61" s="378" t="s">
        <v>1</v>
      </c>
      <c r="C61" s="378" t="s">
        <v>1600</v>
      </c>
      <c r="D61" s="378" t="s">
        <v>1601</v>
      </c>
      <c r="E61" s="388"/>
      <c r="F61" s="388"/>
      <c r="G61" s="388"/>
      <c r="H61" s="388"/>
      <c r="I61" s="388"/>
      <c r="J61" s="388"/>
      <c r="K61" s="388"/>
      <c r="L61" s="388"/>
      <c r="M61" s="389"/>
      <c r="N61" s="1"/>
      <c r="O61" s="1"/>
      <c r="P61" s="1"/>
      <c r="Q61" s="1"/>
      <c r="R61" s="1"/>
      <c r="S61" s="1"/>
      <c r="T61" s="1"/>
      <c r="U61" s="1"/>
      <c r="V61" s="1"/>
      <c r="W61" s="1"/>
      <c r="X61" s="1"/>
      <c r="Y61" s="1"/>
      <c r="Z61" s="1"/>
    </row>
    <row r="62" spans="1:26" ht="15.75" customHeight="1">
      <c r="A62" s="1"/>
      <c r="B62" s="383"/>
      <c r="C62" s="383"/>
      <c r="D62" s="295" t="s">
        <v>1602</v>
      </c>
      <c r="E62" s="295">
        <v>15</v>
      </c>
      <c r="F62" s="295">
        <v>20</v>
      </c>
      <c r="G62" s="295">
        <v>30</v>
      </c>
      <c r="H62" s="295">
        <v>50</v>
      </c>
      <c r="I62" s="295">
        <v>100</v>
      </c>
      <c r="J62" s="295">
        <v>150</v>
      </c>
      <c r="K62" s="295">
        <v>200</v>
      </c>
      <c r="L62" s="295">
        <v>500</v>
      </c>
      <c r="M62" s="294">
        <v>1000</v>
      </c>
      <c r="N62" s="1"/>
      <c r="O62" s="1"/>
      <c r="P62" s="1"/>
      <c r="Q62" s="1"/>
      <c r="R62" s="1"/>
      <c r="S62" s="1"/>
      <c r="T62" s="1"/>
      <c r="U62" s="1"/>
      <c r="V62" s="1"/>
      <c r="W62" s="1"/>
      <c r="X62" s="1"/>
      <c r="Y62" s="1"/>
      <c r="Z62" s="1"/>
    </row>
    <row r="63" spans="1:26" ht="15.75" customHeight="1">
      <c r="A63" s="1"/>
      <c r="B63" s="338">
        <v>1</v>
      </c>
      <c r="C63" s="332" t="s">
        <v>1603</v>
      </c>
      <c r="D63" s="338">
        <v>0.105</v>
      </c>
      <c r="E63" s="338">
        <v>7.3999999999999996E-2</v>
      </c>
      <c r="F63" s="338">
        <v>6.6000000000000003E-2</v>
      </c>
      <c r="G63" s="338">
        <v>5.8999999999999997E-2</v>
      </c>
      <c r="H63" s="338">
        <v>4.7E-2</v>
      </c>
      <c r="I63" s="338">
        <v>3.5000000000000003E-2</v>
      </c>
      <c r="J63" s="338">
        <v>0.03</v>
      </c>
      <c r="K63" s="338">
        <v>2.5999999999999999E-2</v>
      </c>
      <c r="L63" s="338">
        <v>1.52E-2</v>
      </c>
      <c r="M63" s="6">
        <v>1.4200000000000001E-2</v>
      </c>
      <c r="N63" s="1"/>
      <c r="O63" s="1"/>
      <c r="P63" s="1"/>
      <c r="Q63" s="1"/>
      <c r="R63" s="1"/>
      <c r="S63" s="1"/>
      <c r="T63" s="1"/>
      <c r="U63" s="1"/>
      <c r="V63" s="1"/>
      <c r="W63" s="1"/>
      <c r="X63" s="1"/>
      <c r="Y63" s="1"/>
      <c r="Z63" s="1"/>
    </row>
    <row r="64" spans="1:26" ht="15.75" customHeight="1">
      <c r="A64" s="1"/>
      <c r="B64" s="28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t="s">
        <v>1607</v>
      </c>
      <c r="C65" s="1"/>
      <c r="D65" s="1"/>
      <c r="E65" s="1"/>
      <c r="F65" s="1"/>
      <c r="G65" s="1"/>
      <c r="H65" s="1"/>
      <c r="I65" s="1"/>
      <c r="J65" s="223" t="s">
        <v>1599</v>
      </c>
      <c r="K65" s="1"/>
      <c r="L65" s="1"/>
      <c r="M65" s="1"/>
      <c r="N65" s="1"/>
      <c r="O65" s="1"/>
      <c r="P65" s="1"/>
      <c r="Q65" s="1"/>
      <c r="R65" s="1"/>
      <c r="S65" s="1"/>
      <c r="T65" s="1"/>
      <c r="U65" s="1"/>
      <c r="V65" s="1"/>
      <c r="W65" s="1"/>
      <c r="X65" s="1"/>
      <c r="Y65" s="1"/>
      <c r="Z65" s="1"/>
    </row>
    <row r="66" spans="1:26" ht="15.75" customHeight="1">
      <c r="A66" s="1"/>
      <c r="B66" s="374" t="s">
        <v>1</v>
      </c>
      <c r="C66" s="375" t="s">
        <v>1600</v>
      </c>
      <c r="D66" s="376" t="s">
        <v>1608</v>
      </c>
      <c r="E66" s="386"/>
      <c r="F66" s="386"/>
      <c r="G66" s="386"/>
      <c r="H66" s="386"/>
      <c r="I66" s="386"/>
      <c r="J66" s="386"/>
      <c r="K66" s="382"/>
      <c r="L66" s="1"/>
      <c r="M66" s="1"/>
      <c r="N66" s="1"/>
      <c r="O66" s="1"/>
      <c r="P66" s="1"/>
      <c r="Q66" s="1"/>
      <c r="R66" s="1"/>
      <c r="S66" s="1"/>
      <c r="T66" s="1"/>
      <c r="U66" s="1"/>
      <c r="V66" s="1"/>
      <c r="W66" s="1"/>
      <c r="X66" s="1"/>
      <c r="Y66" s="1"/>
      <c r="Z66" s="1"/>
    </row>
    <row r="67" spans="1:26" ht="15.75" customHeight="1">
      <c r="A67" s="1"/>
      <c r="B67" s="385"/>
      <c r="C67" s="391"/>
      <c r="D67" s="292" t="s">
        <v>1602</v>
      </c>
      <c r="E67" s="292">
        <v>15</v>
      </c>
      <c r="F67" s="292">
        <v>20</v>
      </c>
      <c r="G67" s="292">
        <v>30</v>
      </c>
      <c r="H67" s="292">
        <v>50</v>
      </c>
      <c r="I67" s="292">
        <v>100</v>
      </c>
      <c r="J67" s="292">
        <v>150</v>
      </c>
      <c r="K67" s="292">
        <v>200</v>
      </c>
      <c r="L67" s="1"/>
      <c r="M67" s="1"/>
      <c r="N67" s="1"/>
      <c r="O67" s="1"/>
      <c r="P67" s="1"/>
      <c r="Q67" s="1"/>
      <c r="R67" s="1"/>
      <c r="S67" s="1"/>
      <c r="T67" s="1"/>
      <c r="U67" s="1"/>
      <c r="V67" s="1"/>
      <c r="W67" s="1"/>
      <c r="X67" s="1"/>
      <c r="Y67" s="1"/>
      <c r="Z67" s="1"/>
    </row>
    <row r="68" spans="1:26" ht="15.75" customHeight="1">
      <c r="A68" s="1"/>
      <c r="B68" s="337">
        <v>2</v>
      </c>
      <c r="C68" s="335" t="s">
        <v>1609</v>
      </c>
      <c r="D68" s="336">
        <v>0.126</v>
      </c>
      <c r="E68" s="336">
        <v>8.7999999999999995E-2</v>
      </c>
      <c r="F68" s="336">
        <v>8.5000000000000006E-2</v>
      </c>
      <c r="G68" s="336">
        <v>7.6999999999999999E-2</v>
      </c>
      <c r="H68" s="336">
        <v>6.5000000000000002E-2</v>
      </c>
      <c r="I68" s="336">
        <v>5.0999999999999997E-2</v>
      </c>
      <c r="J68" s="336">
        <v>4.2000000000000003E-2</v>
      </c>
      <c r="K68" s="336">
        <v>3.5999999999999997E-2</v>
      </c>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291" t="s">
        <v>1568</v>
      </c>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t="s">
        <v>1624</v>
      </c>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t="s">
        <v>1625</v>
      </c>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2" t="s">
        <v>1626</v>
      </c>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t="s">
        <v>1598</v>
      </c>
      <c r="C75" s="1"/>
      <c r="D75" s="1"/>
      <c r="E75" s="1"/>
      <c r="F75" s="1"/>
      <c r="G75" s="1"/>
      <c r="H75" s="1"/>
      <c r="I75" s="1"/>
      <c r="J75" s="1"/>
      <c r="K75" s="1"/>
      <c r="L75" s="223" t="s">
        <v>1599</v>
      </c>
      <c r="M75" s="1"/>
      <c r="N75" s="1"/>
      <c r="O75" s="1"/>
      <c r="P75" s="1"/>
      <c r="Q75" s="1"/>
      <c r="R75" s="1"/>
      <c r="S75" s="1"/>
      <c r="T75" s="1"/>
      <c r="U75" s="1"/>
      <c r="V75" s="1"/>
      <c r="W75" s="1"/>
      <c r="X75" s="1"/>
      <c r="Y75" s="1"/>
      <c r="Z75" s="1"/>
    </row>
    <row r="76" spans="1:26" ht="15.75" customHeight="1">
      <c r="A76" s="1"/>
      <c r="B76" s="374" t="s">
        <v>1</v>
      </c>
      <c r="C76" s="375" t="s">
        <v>1600</v>
      </c>
      <c r="D76" s="376" t="s">
        <v>1601</v>
      </c>
      <c r="E76" s="386"/>
      <c r="F76" s="386"/>
      <c r="G76" s="386"/>
      <c r="H76" s="386"/>
      <c r="I76" s="386"/>
      <c r="J76" s="386"/>
      <c r="K76" s="386"/>
      <c r="L76" s="386"/>
      <c r="M76" s="382"/>
      <c r="N76" s="1"/>
      <c r="O76" s="1"/>
      <c r="P76" s="1"/>
      <c r="Q76" s="1"/>
      <c r="R76" s="1"/>
      <c r="S76" s="1"/>
      <c r="T76" s="1"/>
      <c r="U76" s="1"/>
      <c r="V76" s="1"/>
      <c r="W76" s="1"/>
      <c r="X76" s="1"/>
      <c r="Y76" s="1"/>
      <c r="Z76" s="1"/>
    </row>
    <row r="77" spans="1:26" ht="15.75" customHeight="1">
      <c r="A77" s="1"/>
      <c r="B77" s="385"/>
      <c r="C77" s="391"/>
      <c r="D77" s="292" t="s">
        <v>1602</v>
      </c>
      <c r="E77" s="292">
        <v>15</v>
      </c>
      <c r="F77" s="292">
        <v>20</v>
      </c>
      <c r="G77" s="292">
        <v>30</v>
      </c>
      <c r="H77" s="292">
        <v>50</v>
      </c>
      <c r="I77" s="292">
        <v>100</v>
      </c>
      <c r="J77" s="292">
        <v>150</v>
      </c>
      <c r="K77" s="292">
        <v>200</v>
      </c>
      <c r="L77" s="292">
        <v>500</v>
      </c>
      <c r="M77" s="292">
        <v>1000</v>
      </c>
      <c r="N77" s="1"/>
      <c r="O77" s="1"/>
      <c r="P77" s="1"/>
      <c r="Q77" s="1"/>
      <c r="R77" s="1"/>
      <c r="S77" s="1"/>
      <c r="T77" s="1"/>
      <c r="U77" s="1"/>
      <c r="V77" s="1"/>
      <c r="W77" s="1"/>
      <c r="X77" s="1"/>
      <c r="Y77" s="1"/>
      <c r="Z77" s="1"/>
    </row>
    <row r="78" spans="1:26" ht="15.75" customHeight="1">
      <c r="A78" s="1"/>
      <c r="B78" s="337">
        <v>1</v>
      </c>
      <c r="C78" s="335" t="s">
        <v>1603</v>
      </c>
      <c r="D78" s="336">
        <v>8.6999999999999994E-2</v>
      </c>
      <c r="E78" s="336">
        <v>6.0999999999999999E-2</v>
      </c>
      <c r="F78" s="336">
        <v>5.3999999999999999E-2</v>
      </c>
      <c r="G78" s="336">
        <v>4.2999999999999997E-2</v>
      </c>
      <c r="H78" s="336">
        <v>0.03</v>
      </c>
      <c r="I78" s="336">
        <v>2.1999999999999999E-2</v>
      </c>
      <c r="J78" s="336">
        <v>1.9E-2</v>
      </c>
      <c r="K78" s="336">
        <v>1.6E-2</v>
      </c>
      <c r="L78" s="336">
        <v>1.0999999999999999E-2</v>
      </c>
      <c r="M78" s="336">
        <v>8.0000000000000002E-3</v>
      </c>
      <c r="N78" s="1"/>
      <c r="O78" s="1"/>
      <c r="P78" s="1"/>
      <c r="Q78" s="1"/>
      <c r="R78" s="1"/>
      <c r="S78" s="1"/>
      <c r="T78" s="1"/>
      <c r="U78" s="1"/>
      <c r="V78" s="1"/>
      <c r="W78" s="1"/>
      <c r="X78" s="1"/>
      <c r="Y78" s="1"/>
      <c r="Z78" s="1"/>
    </row>
    <row r="79" spans="1:26" ht="15.75" customHeight="1">
      <c r="A79" s="1"/>
      <c r="B79" s="28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t="s">
        <v>1607</v>
      </c>
      <c r="C80" s="1"/>
      <c r="D80" s="1"/>
      <c r="E80" s="1"/>
      <c r="F80" s="1"/>
      <c r="G80" s="1"/>
      <c r="H80" s="1"/>
      <c r="I80" s="1"/>
      <c r="J80" s="1" t="s">
        <v>1599</v>
      </c>
      <c r="K80" s="1"/>
      <c r="L80" s="1"/>
      <c r="M80" s="1"/>
      <c r="N80" s="1"/>
      <c r="O80" s="1"/>
      <c r="P80" s="1"/>
      <c r="Q80" s="1"/>
      <c r="R80" s="1"/>
      <c r="S80" s="1"/>
      <c r="T80" s="1"/>
      <c r="U80" s="1"/>
      <c r="V80" s="1"/>
      <c r="W80" s="1"/>
      <c r="X80" s="1"/>
      <c r="Y80" s="1"/>
      <c r="Z80" s="1"/>
    </row>
    <row r="81" spans="1:26" ht="15.75" customHeight="1">
      <c r="A81" s="1"/>
      <c r="B81" s="374" t="s">
        <v>1</v>
      </c>
      <c r="C81" s="375" t="s">
        <v>1600</v>
      </c>
      <c r="D81" s="377" t="s">
        <v>1627</v>
      </c>
      <c r="E81" s="386"/>
      <c r="F81" s="386"/>
      <c r="G81" s="386"/>
      <c r="H81" s="386"/>
      <c r="I81" s="386"/>
      <c r="J81" s="386"/>
      <c r="K81" s="382"/>
      <c r="L81" s="1"/>
      <c r="M81" s="1"/>
      <c r="N81" s="1"/>
      <c r="O81" s="1"/>
      <c r="P81" s="1"/>
      <c r="Q81" s="1"/>
      <c r="R81" s="1"/>
      <c r="S81" s="1"/>
      <c r="T81" s="1"/>
      <c r="U81" s="1"/>
      <c r="V81" s="1"/>
      <c r="W81" s="1"/>
      <c r="X81" s="1"/>
      <c r="Y81" s="1"/>
      <c r="Z81" s="1"/>
    </row>
    <row r="82" spans="1:26" ht="15.75" customHeight="1">
      <c r="A82" s="1"/>
      <c r="B82" s="385"/>
      <c r="C82" s="391"/>
      <c r="D82" s="292" t="s">
        <v>1602</v>
      </c>
      <c r="E82" s="292">
        <v>15</v>
      </c>
      <c r="F82" s="292">
        <v>20</v>
      </c>
      <c r="G82" s="292">
        <v>30</v>
      </c>
      <c r="H82" s="292">
        <v>50</v>
      </c>
      <c r="I82" s="292">
        <v>100</v>
      </c>
      <c r="J82" s="292">
        <v>150</v>
      </c>
      <c r="K82" s="292">
        <v>200</v>
      </c>
      <c r="L82" s="1"/>
      <c r="M82" s="1"/>
      <c r="N82" s="1"/>
      <c r="O82" s="1"/>
      <c r="P82" s="1"/>
      <c r="Q82" s="1"/>
      <c r="R82" s="1"/>
      <c r="S82" s="1"/>
      <c r="T82" s="1"/>
      <c r="U82" s="1"/>
      <c r="V82" s="1"/>
      <c r="W82" s="1"/>
      <c r="X82" s="1"/>
      <c r="Y82" s="1"/>
      <c r="Z82" s="1"/>
    </row>
    <row r="83" spans="1:26" ht="15.75" customHeight="1">
      <c r="A83" s="1"/>
      <c r="B83" s="337">
        <v>2</v>
      </c>
      <c r="C83" s="335" t="s">
        <v>1609</v>
      </c>
      <c r="D83" s="336">
        <v>9.5000000000000001E-2</v>
      </c>
      <c r="E83" s="336">
        <v>6.6000000000000003E-2</v>
      </c>
      <c r="F83" s="336">
        <v>5.8999999999999997E-2</v>
      </c>
      <c r="G83" s="336">
        <v>4.7E-2</v>
      </c>
      <c r="H83" s="336">
        <v>3.2000000000000001E-2</v>
      </c>
      <c r="I83" s="336">
        <v>2.4E-2</v>
      </c>
      <c r="J83" s="336">
        <v>0.02</v>
      </c>
      <c r="K83" s="336">
        <v>1.7000000000000001E-2</v>
      </c>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291" t="s">
        <v>1568</v>
      </c>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t="s">
        <v>1628</v>
      </c>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28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2" t="s">
        <v>1629</v>
      </c>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28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t="s">
        <v>1598</v>
      </c>
      <c r="C90" s="1"/>
      <c r="D90" s="1"/>
      <c r="E90" s="1"/>
      <c r="F90" s="1"/>
      <c r="G90" s="1"/>
      <c r="H90" s="1"/>
      <c r="I90" s="1"/>
      <c r="J90" s="1"/>
      <c r="K90" s="1"/>
      <c r="L90" s="1" t="s">
        <v>1599</v>
      </c>
      <c r="M90" s="1"/>
      <c r="N90" s="1"/>
      <c r="O90" s="1"/>
      <c r="P90" s="1"/>
      <c r="Q90" s="1"/>
      <c r="R90" s="1"/>
      <c r="S90" s="1"/>
      <c r="T90" s="1"/>
      <c r="U90" s="1"/>
      <c r="V90" s="1"/>
      <c r="W90" s="1"/>
      <c r="X90" s="1"/>
      <c r="Y90" s="1"/>
      <c r="Z90" s="1"/>
    </row>
    <row r="91" spans="1:26" ht="15.75" customHeight="1">
      <c r="A91" s="1"/>
      <c r="B91" s="370" t="s">
        <v>1</v>
      </c>
      <c r="C91" s="371" t="s">
        <v>1600</v>
      </c>
      <c r="D91" s="373" t="s">
        <v>1601</v>
      </c>
      <c r="E91" s="386"/>
      <c r="F91" s="386"/>
      <c r="G91" s="386"/>
      <c r="H91" s="386"/>
      <c r="I91" s="386"/>
      <c r="J91" s="386"/>
      <c r="K91" s="386"/>
      <c r="L91" s="386"/>
      <c r="M91" s="382"/>
      <c r="N91" s="1"/>
      <c r="O91" s="1"/>
      <c r="P91" s="1"/>
      <c r="Q91" s="1"/>
      <c r="R91" s="1"/>
      <c r="S91" s="1"/>
      <c r="T91" s="1"/>
      <c r="U91" s="1"/>
      <c r="V91" s="1"/>
      <c r="W91" s="1"/>
      <c r="X91" s="1"/>
      <c r="Y91" s="1"/>
      <c r="Z91" s="1"/>
    </row>
    <row r="92" spans="1:26" ht="15.75" customHeight="1">
      <c r="A92" s="1"/>
      <c r="B92" s="385"/>
      <c r="C92" s="391"/>
      <c r="D92" s="333" t="s">
        <v>1602</v>
      </c>
      <c r="E92" s="333">
        <v>15</v>
      </c>
      <c r="F92" s="333">
        <v>20</v>
      </c>
      <c r="G92" s="333">
        <v>30</v>
      </c>
      <c r="H92" s="333">
        <v>50</v>
      </c>
      <c r="I92" s="333">
        <v>100</v>
      </c>
      <c r="J92" s="333">
        <v>150</v>
      </c>
      <c r="K92" s="333">
        <v>200</v>
      </c>
      <c r="L92" s="333">
        <v>500</v>
      </c>
      <c r="M92" s="333">
        <v>1000</v>
      </c>
      <c r="N92" s="1"/>
      <c r="O92" s="1"/>
      <c r="P92" s="1"/>
      <c r="Q92" s="1"/>
      <c r="R92" s="1"/>
      <c r="S92" s="1"/>
      <c r="T92" s="1"/>
      <c r="U92" s="1"/>
      <c r="V92" s="1"/>
      <c r="W92" s="1"/>
      <c r="X92" s="1"/>
      <c r="Y92" s="1"/>
      <c r="Z92" s="1"/>
    </row>
    <row r="93" spans="1:26" ht="15.75" customHeight="1">
      <c r="A93" s="1"/>
      <c r="B93" s="337">
        <v>1</v>
      </c>
      <c r="C93" s="335" t="s">
        <v>1603</v>
      </c>
      <c r="D93" s="336">
        <v>7.8E-2</v>
      </c>
      <c r="E93" s="336">
        <v>0.05</v>
      </c>
      <c r="F93" s="336">
        <v>4.3999999999999997E-2</v>
      </c>
      <c r="G93" s="336">
        <v>3.4000000000000002E-2</v>
      </c>
      <c r="H93" s="336">
        <v>2.5999999999999999E-2</v>
      </c>
      <c r="I93" s="336">
        <v>1.7999999999999999E-2</v>
      </c>
      <c r="J93" s="336">
        <v>1.4999999999999999E-2</v>
      </c>
      <c r="K93" s="336">
        <v>1.2999999999999999E-2</v>
      </c>
      <c r="L93" s="336">
        <v>0.01</v>
      </c>
      <c r="M93" s="336">
        <v>7.0000000000000001E-3</v>
      </c>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t="s">
        <v>1607</v>
      </c>
      <c r="C95" s="1"/>
      <c r="D95" s="1"/>
      <c r="E95" s="1"/>
      <c r="F95" s="1"/>
      <c r="G95" s="1"/>
      <c r="H95" s="1"/>
      <c r="I95" s="1"/>
      <c r="J95" s="223" t="s">
        <v>1599</v>
      </c>
      <c r="K95" s="1"/>
      <c r="L95" s="1"/>
      <c r="M95" s="1"/>
      <c r="N95" s="1"/>
      <c r="O95" s="1"/>
      <c r="P95" s="1"/>
      <c r="Q95" s="1"/>
      <c r="R95" s="1"/>
      <c r="S95" s="1"/>
      <c r="T95" s="1"/>
      <c r="U95" s="1"/>
      <c r="V95" s="1"/>
      <c r="W95" s="1"/>
      <c r="X95" s="1"/>
      <c r="Y95" s="1"/>
      <c r="Z95" s="1"/>
    </row>
    <row r="96" spans="1:26" ht="15.75" customHeight="1">
      <c r="A96" s="1"/>
      <c r="B96" s="370" t="s">
        <v>1</v>
      </c>
      <c r="C96" s="371" t="s">
        <v>1600</v>
      </c>
      <c r="D96" s="379" t="s">
        <v>1630</v>
      </c>
      <c r="E96" s="386"/>
      <c r="F96" s="386"/>
      <c r="G96" s="386"/>
      <c r="H96" s="386"/>
      <c r="I96" s="386"/>
      <c r="J96" s="386"/>
      <c r="K96" s="382"/>
      <c r="L96" s="1"/>
      <c r="M96" s="1"/>
      <c r="N96" s="1"/>
      <c r="O96" s="1"/>
      <c r="P96" s="1"/>
      <c r="Q96" s="1"/>
      <c r="R96" s="1"/>
      <c r="S96" s="1"/>
      <c r="T96" s="1"/>
      <c r="U96" s="1"/>
      <c r="V96" s="1"/>
      <c r="W96" s="1"/>
      <c r="X96" s="1"/>
      <c r="Y96" s="1"/>
      <c r="Z96" s="1"/>
    </row>
    <row r="97" spans="1:26" ht="15.75" customHeight="1">
      <c r="A97" s="1"/>
      <c r="B97" s="385"/>
      <c r="C97" s="391"/>
      <c r="D97" s="333" t="s">
        <v>1602</v>
      </c>
      <c r="E97" s="333">
        <v>15</v>
      </c>
      <c r="F97" s="333">
        <v>20</v>
      </c>
      <c r="G97" s="333">
        <v>30</v>
      </c>
      <c r="H97" s="333">
        <v>50</v>
      </c>
      <c r="I97" s="333">
        <v>100</v>
      </c>
      <c r="J97" s="333">
        <v>150</v>
      </c>
      <c r="K97" s="333">
        <v>200</v>
      </c>
      <c r="L97" s="1"/>
      <c r="M97" s="1"/>
      <c r="N97" s="1"/>
      <c r="O97" s="1"/>
      <c r="P97" s="1"/>
      <c r="Q97" s="1"/>
      <c r="R97" s="1"/>
      <c r="S97" s="1"/>
      <c r="T97" s="1"/>
      <c r="U97" s="1"/>
      <c r="V97" s="1"/>
      <c r="W97" s="1"/>
      <c r="X97" s="1"/>
      <c r="Y97" s="1"/>
      <c r="Z97" s="1"/>
    </row>
    <row r="98" spans="1:26" ht="15.75" customHeight="1">
      <c r="A98" s="1"/>
      <c r="B98" s="337">
        <v>2</v>
      </c>
      <c r="C98" s="335" t="s">
        <v>1609</v>
      </c>
      <c r="D98" s="336">
        <v>8.5000000000000006E-2</v>
      </c>
      <c r="E98" s="336">
        <v>5.3999999999999999E-2</v>
      </c>
      <c r="F98" s="336">
        <v>4.8000000000000001E-2</v>
      </c>
      <c r="G98" s="336">
        <v>3.6999999999999998E-2</v>
      </c>
      <c r="H98" s="336">
        <v>2.8000000000000001E-2</v>
      </c>
      <c r="I98" s="336">
        <v>1.9E-2</v>
      </c>
      <c r="J98" s="336">
        <v>1.6E-2</v>
      </c>
      <c r="K98" s="336">
        <v>1.4E-2</v>
      </c>
      <c r="L98" s="1"/>
      <c r="M98" s="1"/>
      <c r="N98" s="1"/>
      <c r="O98" s="1"/>
      <c r="P98" s="1"/>
      <c r="Q98" s="1"/>
      <c r="R98" s="1"/>
      <c r="S98" s="1"/>
      <c r="T98" s="1"/>
      <c r="U98" s="1"/>
      <c r="V98" s="1"/>
      <c r="W98" s="1"/>
      <c r="X98" s="1"/>
      <c r="Y98" s="1"/>
      <c r="Z98" s="1"/>
    </row>
    <row r="99" spans="1:26" ht="15.75" customHeight="1">
      <c r="A99" s="1"/>
      <c r="B99" s="28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291" t="s">
        <v>1568</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286"/>
      <c r="C101" s="1" t="s">
        <v>1631</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2" t="s">
        <v>1632</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t="s">
        <v>1598</v>
      </c>
      <c r="C104" s="1"/>
      <c r="D104" s="1"/>
      <c r="E104" s="1"/>
      <c r="F104" s="1"/>
      <c r="G104" s="1"/>
      <c r="H104" s="1"/>
      <c r="I104" s="1"/>
      <c r="J104" s="1"/>
      <c r="K104" s="1"/>
      <c r="L104" s="1" t="s">
        <v>1599</v>
      </c>
      <c r="M104" s="1"/>
      <c r="N104" s="1"/>
      <c r="O104" s="1"/>
      <c r="P104" s="1"/>
      <c r="Q104" s="1"/>
      <c r="R104" s="1"/>
      <c r="S104" s="1"/>
      <c r="T104" s="1"/>
      <c r="U104" s="1"/>
      <c r="V104" s="1"/>
      <c r="W104" s="1"/>
      <c r="X104" s="1"/>
      <c r="Y104" s="1"/>
      <c r="Z104" s="1"/>
    </row>
    <row r="105" spans="1:26" ht="15.75" customHeight="1">
      <c r="A105" s="1"/>
      <c r="B105" s="372" t="s">
        <v>1</v>
      </c>
      <c r="C105" s="372" t="s">
        <v>1600</v>
      </c>
      <c r="D105" s="372" t="s">
        <v>1633</v>
      </c>
      <c r="E105" s="388"/>
      <c r="F105" s="388"/>
      <c r="G105" s="388"/>
      <c r="H105" s="388"/>
      <c r="I105" s="388"/>
      <c r="J105" s="388"/>
      <c r="K105" s="388"/>
      <c r="L105" s="388"/>
      <c r="M105" s="389"/>
      <c r="N105" s="1"/>
      <c r="O105" s="1"/>
      <c r="P105" s="1"/>
      <c r="Q105" s="1"/>
      <c r="R105" s="1"/>
      <c r="S105" s="1"/>
      <c r="T105" s="1"/>
      <c r="U105" s="1"/>
      <c r="V105" s="1"/>
      <c r="W105" s="1"/>
      <c r="X105" s="1"/>
      <c r="Y105" s="1"/>
      <c r="Z105" s="1"/>
    </row>
    <row r="106" spans="1:26" ht="15.75" customHeight="1">
      <c r="A106" s="1"/>
      <c r="B106" s="383"/>
      <c r="C106" s="383"/>
      <c r="D106" s="331" t="s">
        <v>1602</v>
      </c>
      <c r="E106" s="331">
        <v>15</v>
      </c>
      <c r="F106" s="331">
        <v>20</v>
      </c>
      <c r="G106" s="331">
        <v>30</v>
      </c>
      <c r="H106" s="331">
        <v>50</v>
      </c>
      <c r="I106" s="331">
        <v>100</v>
      </c>
      <c r="J106" s="331">
        <v>150</v>
      </c>
      <c r="K106" s="331">
        <v>200</v>
      </c>
      <c r="L106" s="331">
        <v>500</v>
      </c>
      <c r="M106" s="287">
        <v>1000</v>
      </c>
      <c r="N106" s="1"/>
      <c r="O106" s="1"/>
      <c r="P106" s="1"/>
      <c r="Q106" s="1"/>
      <c r="R106" s="1"/>
      <c r="S106" s="1"/>
      <c r="T106" s="1"/>
      <c r="U106" s="1"/>
      <c r="V106" s="1"/>
      <c r="W106" s="1"/>
      <c r="X106" s="1"/>
      <c r="Y106" s="1"/>
      <c r="Z106" s="1"/>
    </row>
    <row r="107" spans="1:26" ht="15.75" customHeight="1">
      <c r="A107" s="1"/>
      <c r="B107" s="339">
        <v>1</v>
      </c>
      <c r="C107" s="332" t="s">
        <v>1603</v>
      </c>
      <c r="D107" s="338">
        <v>0.36199999999999999</v>
      </c>
      <c r="E107" s="338">
        <v>0.33900000000000002</v>
      </c>
      <c r="F107" s="338">
        <v>0.30499999999999999</v>
      </c>
      <c r="G107" s="338">
        <v>0.255</v>
      </c>
      <c r="H107" s="338">
        <v>0.16400000000000001</v>
      </c>
      <c r="I107" s="338">
        <v>9.9000000000000005E-2</v>
      </c>
      <c r="J107" s="338">
        <v>7.9000000000000001E-2</v>
      </c>
      <c r="K107" s="338">
        <v>6.3E-2</v>
      </c>
      <c r="L107" s="338">
        <v>4.7E-2</v>
      </c>
      <c r="M107" s="6">
        <v>2.8000000000000001E-2</v>
      </c>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291" t="s">
        <v>1568</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286"/>
      <c r="C110" s="1" t="s">
        <v>1634</v>
      </c>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293" t="s">
        <v>1635</v>
      </c>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286"/>
      <c r="C112" s="293" t="s">
        <v>1636</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t="s">
        <v>1637</v>
      </c>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286"/>
      <c r="C114" s="1" t="s">
        <v>1638</v>
      </c>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2" t="s">
        <v>1639</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t="s">
        <v>1598</v>
      </c>
      <c r="C117" s="1"/>
      <c r="D117" s="1"/>
      <c r="E117" s="1"/>
      <c r="F117" s="1"/>
      <c r="G117" s="1"/>
      <c r="H117" s="1"/>
      <c r="I117" s="1"/>
      <c r="J117" s="1"/>
      <c r="K117" s="1"/>
      <c r="L117" s="223" t="s">
        <v>1599</v>
      </c>
      <c r="M117" s="1"/>
      <c r="N117" s="1"/>
      <c r="O117" s="1"/>
      <c r="P117" s="1"/>
      <c r="Q117" s="1"/>
      <c r="R117" s="1"/>
      <c r="S117" s="1"/>
      <c r="T117" s="1"/>
      <c r="U117" s="1"/>
      <c r="V117" s="1"/>
      <c r="W117" s="1"/>
      <c r="X117" s="1"/>
      <c r="Y117" s="1"/>
      <c r="Z117" s="1"/>
    </row>
    <row r="118" spans="1:26" ht="15.75" customHeight="1">
      <c r="A118" s="1"/>
      <c r="B118" s="370" t="s">
        <v>1</v>
      </c>
      <c r="C118" s="371" t="s">
        <v>1600</v>
      </c>
      <c r="D118" s="373" t="s">
        <v>1608</v>
      </c>
      <c r="E118" s="386"/>
      <c r="F118" s="386"/>
      <c r="G118" s="386"/>
      <c r="H118" s="386"/>
      <c r="I118" s="386"/>
      <c r="J118" s="386"/>
      <c r="K118" s="386"/>
      <c r="L118" s="386"/>
      <c r="M118" s="382"/>
      <c r="N118" s="1"/>
      <c r="O118" s="1"/>
      <c r="P118" s="1"/>
      <c r="Q118" s="1"/>
      <c r="R118" s="1"/>
      <c r="S118" s="1"/>
      <c r="T118" s="1"/>
      <c r="U118" s="1"/>
      <c r="V118" s="1"/>
      <c r="W118" s="1"/>
      <c r="X118" s="1"/>
      <c r="Y118" s="1"/>
      <c r="Z118" s="1"/>
    </row>
    <row r="119" spans="1:26" ht="15.75" customHeight="1">
      <c r="A119" s="1"/>
      <c r="B119" s="385"/>
      <c r="C119" s="391"/>
      <c r="D119" s="333" t="s">
        <v>1602</v>
      </c>
      <c r="E119" s="333">
        <v>15</v>
      </c>
      <c r="F119" s="333">
        <v>20</v>
      </c>
      <c r="G119" s="333">
        <v>30</v>
      </c>
      <c r="H119" s="333">
        <v>50</v>
      </c>
      <c r="I119" s="333">
        <v>100</v>
      </c>
      <c r="J119" s="333">
        <v>150</v>
      </c>
      <c r="K119" s="333">
        <v>200</v>
      </c>
      <c r="L119" s="333">
        <v>500</v>
      </c>
      <c r="M119" s="333">
        <v>1000</v>
      </c>
      <c r="N119" s="1"/>
      <c r="O119" s="1"/>
      <c r="P119" s="1"/>
      <c r="Q119" s="1"/>
      <c r="R119" s="1"/>
      <c r="S119" s="1"/>
      <c r="T119" s="1"/>
      <c r="U119" s="1"/>
      <c r="V119" s="1"/>
      <c r="W119" s="1"/>
      <c r="X119" s="1"/>
      <c r="Y119" s="1"/>
      <c r="Z119" s="1"/>
    </row>
    <row r="120" spans="1:26" ht="15.75" customHeight="1">
      <c r="A120" s="1"/>
      <c r="B120" s="337">
        <v>1</v>
      </c>
      <c r="C120" s="335" t="s">
        <v>1640</v>
      </c>
      <c r="D120" s="336">
        <v>0.28299999999999997</v>
      </c>
      <c r="E120" s="336">
        <v>0.22800000000000001</v>
      </c>
      <c r="F120" s="336">
        <v>0.20599999999999999</v>
      </c>
      <c r="G120" s="336">
        <v>0.17199999999999999</v>
      </c>
      <c r="H120" s="336">
        <v>0.12</v>
      </c>
      <c r="I120" s="336">
        <v>7.8E-2</v>
      </c>
      <c r="J120" s="336">
        <v>7.1999999999999995E-2</v>
      </c>
      <c r="K120" s="336">
        <v>6.4000000000000001E-2</v>
      </c>
      <c r="L120" s="336">
        <v>5.2999999999999999E-2</v>
      </c>
      <c r="M120" s="336">
        <v>4.1000000000000002E-2</v>
      </c>
      <c r="N120" s="1"/>
      <c r="O120" s="1"/>
      <c r="P120" s="1"/>
      <c r="Q120" s="1"/>
      <c r="R120" s="1"/>
      <c r="S120" s="1"/>
      <c r="T120" s="1"/>
      <c r="U120" s="1"/>
      <c r="V120" s="1"/>
      <c r="W120" s="1"/>
      <c r="X120" s="1"/>
      <c r="Y120" s="1"/>
      <c r="Z120" s="1"/>
    </row>
    <row r="121" spans="1:26" ht="15.75" customHeight="1">
      <c r="A121" s="1"/>
      <c r="B121" s="28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t="s">
        <v>1607</v>
      </c>
      <c r="C122" s="1"/>
      <c r="D122" s="1"/>
      <c r="E122" s="1"/>
      <c r="F122" s="1"/>
      <c r="G122" s="1"/>
      <c r="H122" s="1"/>
      <c r="I122" s="1"/>
      <c r="J122" s="223" t="s">
        <v>1599</v>
      </c>
      <c r="K122" s="1"/>
      <c r="L122" s="1"/>
      <c r="M122" s="1"/>
      <c r="N122" s="1"/>
      <c r="O122" s="1"/>
      <c r="P122" s="1"/>
      <c r="Q122" s="1"/>
      <c r="R122" s="1"/>
      <c r="S122" s="1"/>
      <c r="T122" s="1"/>
      <c r="U122" s="1"/>
      <c r="V122" s="1"/>
      <c r="W122" s="1"/>
      <c r="X122" s="1"/>
      <c r="Y122" s="1"/>
      <c r="Z122" s="1"/>
    </row>
    <row r="123" spans="1:26" ht="15.75" customHeight="1">
      <c r="A123" s="1"/>
      <c r="B123" s="370" t="s">
        <v>1</v>
      </c>
      <c r="C123" s="371" t="s">
        <v>1600</v>
      </c>
      <c r="D123" s="373" t="s">
        <v>1608</v>
      </c>
      <c r="E123" s="386"/>
      <c r="F123" s="386"/>
      <c r="G123" s="386"/>
      <c r="H123" s="386"/>
      <c r="I123" s="386"/>
      <c r="J123" s="386"/>
      <c r="K123" s="382"/>
      <c r="L123" s="1"/>
      <c r="M123" s="1"/>
      <c r="N123" s="1"/>
      <c r="O123" s="1"/>
      <c r="P123" s="1"/>
      <c r="Q123" s="1"/>
      <c r="R123" s="1"/>
      <c r="S123" s="1"/>
      <c r="T123" s="1"/>
      <c r="U123" s="1"/>
      <c r="V123" s="1"/>
      <c r="W123" s="1"/>
      <c r="X123" s="1"/>
      <c r="Y123" s="1"/>
      <c r="Z123" s="1"/>
    </row>
    <row r="124" spans="1:26" ht="15.75" customHeight="1">
      <c r="A124" s="1"/>
      <c r="B124" s="385"/>
      <c r="C124" s="391"/>
      <c r="D124" s="333" t="s">
        <v>1602</v>
      </c>
      <c r="E124" s="333">
        <v>15</v>
      </c>
      <c r="F124" s="333">
        <v>20</v>
      </c>
      <c r="G124" s="333">
        <v>30</v>
      </c>
      <c r="H124" s="333">
        <v>50</v>
      </c>
      <c r="I124" s="333">
        <v>100</v>
      </c>
      <c r="J124" s="333">
        <v>150</v>
      </c>
      <c r="K124" s="333">
        <v>200</v>
      </c>
      <c r="L124" s="1"/>
      <c r="M124" s="1"/>
      <c r="N124" s="1"/>
      <c r="O124" s="1"/>
      <c r="P124" s="1"/>
      <c r="Q124" s="1"/>
      <c r="R124" s="1"/>
      <c r="S124" s="1"/>
      <c r="T124" s="1"/>
      <c r="U124" s="1"/>
      <c r="V124" s="1"/>
      <c r="W124" s="1"/>
      <c r="X124" s="1"/>
      <c r="Y124" s="1"/>
      <c r="Z124" s="1"/>
    </row>
    <row r="125" spans="1:26" ht="15.75" customHeight="1">
      <c r="A125" s="1"/>
      <c r="B125" s="337">
        <v>2</v>
      </c>
      <c r="C125" s="335" t="s">
        <v>1609</v>
      </c>
      <c r="D125" s="336">
        <v>0.40500000000000003</v>
      </c>
      <c r="E125" s="336">
        <v>0.33600000000000002</v>
      </c>
      <c r="F125" s="336">
        <v>0.311</v>
      </c>
      <c r="G125" s="336">
        <v>0.26500000000000001</v>
      </c>
      <c r="H125" s="336">
        <v>0.182</v>
      </c>
      <c r="I125" s="336">
        <v>0.11899999999999999</v>
      </c>
      <c r="J125" s="336">
        <v>0.109</v>
      </c>
      <c r="K125" s="336">
        <v>0.10199999999999999</v>
      </c>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291" t="s">
        <v>1568</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t="s">
        <v>1641</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286"/>
      <c r="C129" s="293" t="s">
        <v>1635</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293" t="s">
        <v>1636</v>
      </c>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t="s">
        <v>1637</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t="s">
        <v>1642</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28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2" t="s">
        <v>1643</v>
      </c>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t="s">
        <v>1598</v>
      </c>
      <c r="C135" s="1"/>
      <c r="D135" s="1"/>
      <c r="E135" s="1"/>
      <c r="F135" s="1"/>
      <c r="G135" s="1"/>
      <c r="H135" s="1"/>
      <c r="I135" s="1"/>
      <c r="J135" s="1"/>
      <c r="K135" s="1"/>
      <c r="L135" s="1" t="s">
        <v>1599</v>
      </c>
      <c r="M135" s="1"/>
      <c r="N135" s="1"/>
      <c r="O135" s="1"/>
      <c r="P135" s="1"/>
      <c r="Q135" s="1"/>
      <c r="R135" s="1"/>
      <c r="S135" s="1"/>
      <c r="T135" s="1"/>
      <c r="U135" s="1"/>
      <c r="V135" s="1"/>
      <c r="W135" s="1"/>
      <c r="X135" s="1"/>
      <c r="Y135" s="1"/>
      <c r="Z135" s="1"/>
    </row>
    <row r="136" spans="1:26" ht="15.75" customHeight="1">
      <c r="A136" s="1"/>
      <c r="B136" s="370" t="s">
        <v>1</v>
      </c>
      <c r="C136" s="371" t="s">
        <v>1644</v>
      </c>
      <c r="D136" s="373" t="s">
        <v>1645</v>
      </c>
      <c r="E136" s="386"/>
      <c r="F136" s="386"/>
      <c r="G136" s="386"/>
      <c r="H136" s="386"/>
      <c r="I136" s="386"/>
      <c r="J136" s="386"/>
      <c r="K136" s="386"/>
      <c r="L136" s="386"/>
      <c r="M136" s="382"/>
      <c r="N136" s="1"/>
      <c r="O136" s="1"/>
      <c r="P136" s="1"/>
      <c r="Q136" s="1"/>
      <c r="R136" s="1"/>
      <c r="S136" s="1"/>
      <c r="T136" s="1"/>
      <c r="U136" s="1"/>
      <c r="V136" s="1"/>
      <c r="W136" s="1"/>
      <c r="X136" s="1"/>
      <c r="Y136" s="1"/>
      <c r="Z136" s="1"/>
    </row>
    <row r="137" spans="1:26" ht="15.75" customHeight="1">
      <c r="A137" s="1"/>
      <c r="B137" s="385"/>
      <c r="C137" s="391"/>
      <c r="D137" s="333" t="s">
        <v>1602</v>
      </c>
      <c r="E137" s="333">
        <v>15</v>
      </c>
      <c r="F137" s="333">
        <v>20</v>
      </c>
      <c r="G137" s="333">
        <v>30</v>
      </c>
      <c r="H137" s="333">
        <v>50</v>
      </c>
      <c r="I137" s="333">
        <v>100</v>
      </c>
      <c r="J137" s="333">
        <v>150</v>
      </c>
      <c r="K137" s="333">
        <v>200</v>
      </c>
      <c r="L137" s="333">
        <v>500</v>
      </c>
      <c r="M137" s="340">
        <v>1000</v>
      </c>
      <c r="N137" s="1"/>
      <c r="O137" s="1"/>
      <c r="P137" s="1"/>
      <c r="Q137" s="1"/>
      <c r="R137" s="1"/>
      <c r="S137" s="1"/>
      <c r="T137" s="1"/>
      <c r="U137" s="1"/>
      <c r="V137" s="1"/>
      <c r="W137" s="1"/>
      <c r="X137" s="1"/>
      <c r="Y137" s="1"/>
      <c r="Z137" s="1"/>
    </row>
    <row r="138" spans="1:26" ht="15.75" customHeight="1">
      <c r="A138" s="1"/>
      <c r="B138" s="337">
        <v>1</v>
      </c>
      <c r="C138" s="335" t="s">
        <v>1603</v>
      </c>
      <c r="D138" s="336">
        <v>0.71799999999999997</v>
      </c>
      <c r="E138" s="336">
        <v>0.60199999999999998</v>
      </c>
      <c r="F138" s="336">
        <v>0.58299999999999996</v>
      </c>
      <c r="G138" s="336">
        <v>0.52300000000000002</v>
      </c>
      <c r="H138" s="336">
        <v>0.46800000000000003</v>
      </c>
      <c r="I138" s="336">
        <v>0.311</v>
      </c>
      <c r="J138" s="336">
        <v>0.27800000000000002</v>
      </c>
      <c r="K138" s="336">
        <v>0.25</v>
      </c>
      <c r="L138" s="336">
        <v>0.217</v>
      </c>
      <c r="M138" s="336">
        <v>0.14299999999999999</v>
      </c>
      <c r="N138" s="1"/>
      <c r="O138" s="1"/>
      <c r="P138" s="1"/>
      <c r="Q138" s="1"/>
      <c r="R138" s="1"/>
      <c r="S138" s="1"/>
      <c r="T138" s="1"/>
      <c r="U138" s="1"/>
      <c r="V138" s="1"/>
      <c r="W138" s="1"/>
      <c r="X138" s="1"/>
      <c r="Y138" s="1"/>
      <c r="Z138" s="1"/>
    </row>
    <row r="139" spans="1:26" ht="15.75" customHeight="1">
      <c r="A139" s="1"/>
      <c r="B139" s="28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t="s">
        <v>1607</v>
      </c>
      <c r="C140" s="1"/>
      <c r="D140" s="1"/>
      <c r="E140" s="1"/>
      <c r="F140" s="1"/>
      <c r="G140" s="1"/>
      <c r="H140" s="1"/>
      <c r="I140" s="1"/>
      <c r="J140" s="1" t="s">
        <v>1599</v>
      </c>
      <c r="K140" s="1"/>
      <c r="L140" s="1"/>
      <c r="M140" s="1"/>
      <c r="N140" s="1"/>
      <c r="O140" s="1"/>
      <c r="P140" s="1"/>
      <c r="Q140" s="1"/>
      <c r="R140" s="1"/>
      <c r="S140" s="1"/>
      <c r="T140" s="1"/>
      <c r="U140" s="1"/>
      <c r="V140" s="1"/>
      <c r="W140" s="1"/>
      <c r="X140" s="1"/>
      <c r="Y140" s="1"/>
      <c r="Z140" s="1"/>
    </row>
    <row r="141" spans="1:26" ht="15.75" customHeight="1">
      <c r="A141" s="1"/>
      <c r="B141" s="370" t="s">
        <v>1</v>
      </c>
      <c r="C141" s="371" t="s">
        <v>1600</v>
      </c>
      <c r="D141" s="373" t="s">
        <v>1608</v>
      </c>
      <c r="E141" s="386"/>
      <c r="F141" s="386"/>
      <c r="G141" s="386"/>
      <c r="H141" s="386"/>
      <c r="I141" s="386"/>
      <c r="J141" s="386"/>
      <c r="K141" s="382"/>
      <c r="L141" s="1"/>
      <c r="M141" s="1"/>
      <c r="N141" s="1"/>
      <c r="O141" s="1"/>
      <c r="P141" s="1"/>
      <c r="Q141" s="1"/>
      <c r="R141" s="1"/>
      <c r="S141" s="1"/>
      <c r="T141" s="1"/>
      <c r="U141" s="1"/>
      <c r="V141" s="1"/>
      <c r="W141" s="1"/>
      <c r="X141" s="1"/>
      <c r="Y141" s="1"/>
      <c r="Z141" s="1"/>
    </row>
    <row r="142" spans="1:26" ht="15.75" customHeight="1">
      <c r="A142" s="1"/>
      <c r="B142" s="385"/>
      <c r="C142" s="391"/>
      <c r="D142" s="333" t="s">
        <v>1602</v>
      </c>
      <c r="E142" s="333">
        <v>15</v>
      </c>
      <c r="F142" s="333">
        <v>20</v>
      </c>
      <c r="G142" s="333">
        <v>30</v>
      </c>
      <c r="H142" s="333">
        <v>50</v>
      </c>
      <c r="I142" s="333">
        <v>100</v>
      </c>
      <c r="J142" s="333">
        <v>150</v>
      </c>
      <c r="K142" s="333">
        <v>200</v>
      </c>
      <c r="L142" s="1"/>
      <c r="M142" s="1"/>
      <c r="N142" s="1"/>
      <c r="O142" s="1"/>
      <c r="P142" s="1"/>
      <c r="Q142" s="1"/>
      <c r="R142" s="1"/>
      <c r="S142" s="1"/>
      <c r="T142" s="1"/>
      <c r="U142" s="1"/>
      <c r="V142" s="1"/>
      <c r="W142" s="1"/>
      <c r="X142" s="1"/>
      <c r="Y142" s="1"/>
      <c r="Z142" s="1"/>
    </row>
    <row r="143" spans="1:26" ht="15.75" customHeight="1">
      <c r="A143" s="1"/>
      <c r="B143" s="337">
        <v>2</v>
      </c>
      <c r="C143" s="335" t="s">
        <v>1609</v>
      </c>
      <c r="D143" s="336">
        <v>2.0630000000000002</v>
      </c>
      <c r="E143" s="336">
        <v>1.931</v>
      </c>
      <c r="F143" s="336">
        <v>1.833</v>
      </c>
      <c r="G143" s="336">
        <v>1.736</v>
      </c>
      <c r="H143" s="336">
        <v>1.595</v>
      </c>
      <c r="I143" s="336">
        <v>1.22</v>
      </c>
      <c r="J143" s="336">
        <v>1.091</v>
      </c>
      <c r="K143" s="336">
        <v>0.95599999999999996</v>
      </c>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291" t="s">
        <v>1568</v>
      </c>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t="s">
        <v>1646</v>
      </c>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286"/>
      <c r="C147" s="1" t="s">
        <v>1647</v>
      </c>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286"/>
      <c r="C151" s="1"/>
      <c r="D151" s="223">
        <v>180000</v>
      </c>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28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28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D123:K123"/>
    <mergeCell ref="D136:M136"/>
    <mergeCell ref="D141:K141"/>
    <mergeCell ref="D96:K96"/>
    <mergeCell ref="B105:B106"/>
    <mergeCell ref="C105:C106"/>
    <mergeCell ref="D105:M105"/>
    <mergeCell ref="D118:M118"/>
    <mergeCell ref="B141:B142"/>
    <mergeCell ref="C141:C142"/>
    <mergeCell ref="B123:B124"/>
    <mergeCell ref="C123:C124"/>
    <mergeCell ref="B136:B137"/>
    <mergeCell ref="C136:C137"/>
    <mergeCell ref="B55:B56"/>
    <mergeCell ref="D76:M76"/>
    <mergeCell ref="D81:K81"/>
    <mergeCell ref="D91:M91"/>
    <mergeCell ref="C55:C56"/>
    <mergeCell ref="D55:K55"/>
    <mergeCell ref="B61:B62"/>
    <mergeCell ref="C61:C62"/>
    <mergeCell ref="D61:M61"/>
    <mergeCell ref="C66:C67"/>
    <mergeCell ref="D66:K66"/>
    <mergeCell ref="B66:B67"/>
    <mergeCell ref="B76:B77"/>
    <mergeCell ref="C76:C77"/>
    <mergeCell ref="B81:B82"/>
    <mergeCell ref="C81:C82"/>
    <mergeCell ref="B37:B38"/>
    <mergeCell ref="C37:C38"/>
    <mergeCell ref="D37:K37"/>
    <mergeCell ref="B50:B51"/>
    <mergeCell ref="C50:C51"/>
    <mergeCell ref="D50:M50"/>
    <mergeCell ref="C27:C28"/>
    <mergeCell ref="D27:M27"/>
    <mergeCell ref="B6:B7"/>
    <mergeCell ref="C6:C7"/>
    <mergeCell ref="D6:M6"/>
    <mergeCell ref="B16:B17"/>
    <mergeCell ref="C16:C17"/>
    <mergeCell ref="D16:K16"/>
    <mergeCell ref="B27:B28"/>
    <mergeCell ref="B91:B92"/>
    <mergeCell ref="C91:C92"/>
    <mergeCell ref="B96:B97"/>
    <mergeCell ref="C96:C97"/>
    <mergeCell ref="B118:B119"/>
    <mergeCell ref="C118:C119"/>
  </mergeCells>
  <hyperlinks>
    <hyperlink ref="D55" r:id="rId1" location="_ftn3" xr:uid="{00000000-0004-0000-0E00-000000000000}"/>
    <hyperlink ref="D81" r:id="rId2" location="_ftn6" xr:uid="{00000000-0004-0000-0E00-000001000000}"/>
    <hyperlink ref="D96" r:id="rId3" location="_ftn8" xr:uid="{00000000-0004-0000-0E00-000002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6BA827-92DA-4EEB-A720-F851E49EACB7}"/>
</file>

<file path=customXml/itemProps2.xml><?xml version="1.0" encoding="utf-8"?>
<ds:datastoreItem xmlns:ds="http://schemas.openxmlformats.org/officeDocument/2006/customXml" ds:itemID="{C9953F2C-9679-4934-BB47-10FF6F5586EF}"/>
</file>

<file path=customXml/itemProps3.xml><?xml version="1.0" encoding="utf-8"?>
<ds:datastoreItem xmlns:ds="http://schemas.openxmlformats.org/officeDocument/2006/customXml" ds:itemID="{83354607-FF51-49CF-A9A1-C9F92833BA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Hoa Ninh Thi</cp:lastModifiedBy>
  <cp:revision/>
  <dcterms:created xsi:type="dcterms:W3CDTF">2022-03-24T07:31:23Z</dcterms:created>
  <dcterms:modified xsi:type="dcterms:W3CDTF">2026-04-20T07:53:31Z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